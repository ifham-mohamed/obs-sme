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Obsidian\sme\10-Highlights\report\"/>
    </mc:Choice>
  </mc:AlternateContent>
  <xr:revisionPtr revIDLastSave="0" documentId="13_ncr:1_{0DB7818B-88D2-4731-AF2D-448C0F32CBB6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ummary" sheetId="1" r:id="rId1"/>
    <sheet name="Feature Register" sheetId="2" r:id="rId2"/>
    <sheet name="Roadmap vs Actual" sheetId="3" r:id="rId3"/>
    <sheet name="Manual Test Plan" sheetId="4" r:id="rId4"/>
    <sheet name="Status Rollup" sheetId="5" r:id="rId5"/>
    <sheet name="Gaps &amp; Next" sheetId="6" r:id="rId6"/>
  </sheets>
  <definedNames>
    <definedName name="_xlnm._FilterDatabase" localSheetId="1" hidden="1">'Feature Register'!$A$1:$E$216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5" l="1"/>
  <c r="B8" i="5"/>
  <c r="B10" i="5" s="1"/>
  <c r="B7" i="5"/>
  <c r="B6" i="5"/>
  <c r="B5" i="5"/>
  <c r="B4" i="5"/>
  <c r="B6" i="4"/>
  <c r="B5" i="4"/>
  <c r="B4" i="4"/>
  <c r="H20" i="3"/>
  <c r="H19" i="3"/>
  <c r="H18" i="3"/>
  <c r="B16" i="1" s="1"/>
  <c r="H17" i="3"/>
  <c r="H16" i="3"/>
  <c r="H15" i="3"/>
  <c r="H14" i="3"/>
  <c r="H13" i="3"/>
  <c r="H12" i="3"/>
  <c r="H11" i="3"/>
  <c r="H10" i="3"/>
  <c r="B14" i="1" s="1"/>
  <c r="H9" i="3"/>
  <c r="H8" i="3"/>
  <c r="H7" i="3"/>
  <c r="H6" i="3"/>
  <c r="H5" i="3"/>
  <c r="H4" i="3"/>
  <c r="B13" i="1" s="1"/>
  <c r="H3" i="3"/>
  <c r="H2" i="3"/>
  <c r="B12" i="1" s="1"/>
  <c r="B15" i="1"/>
  <c r="B11" i="1"/>
  <c r="B10" i="1"/>
  <c r="B9" i="1"/>
  <c r="B8" i="1"/>
  <c r="B7" i="1"/>
  <c r="B6" i="1"/>
  <c r="B5" i="1"/>
  <c r="C9" i="5" l="1"/>
  <c r="C5" i="5"/>
  <c r="C8" i="5"/>
  <c r="C4" i="5"/>
  <c r="C7" i="5"/>
  <c r="C6" i="5"/>
</calcChain>
</file>

<file path=xl/sharedStrings.xml><?xml version="1.0" encoding="utf-8"?>
<sst xmlns="http://schemas.openxmlformats.org/spreadsheetml/2006/main" count="1498" uniqueCount="831">
  <si>
    <t>Enigmatrix — Module 1 Development Evaluation</t>
  </si>
  <si>
    <t>Whole-project build vs the 16_M1_Development_Roadmap · owner Mohamed M.R.I (215075J) · generated 2026-06-30 (through Session 69, F-238)</t>
  </si>
  <si>
    <t>Metric</t>
  </si>
  <si>
    <t>Value</t>
  </si>
  <si>
    <t>Notes</t>
  </si>
  <si>
    <t>Total features tracked</t>
  </si>
  <si>
    <t>F-01 … F-238</t>
  </si>
  <si>
    <t>Features Done</t>
  </si>
  <si>
    <t>done</t>
  </si>
  <si>
    <t>Features In Progress</t>
  </si>
  <si>
    <t>scaffolded/partial</t>
  </si>
  <si>
    <t>Features Not Started</t>
  </si>
  <si>
    <t>planned</t>
  </si>
  <si>
    <t>Feature completion %</t>
  </si>
  <si>
    <t>Done / total</t>
  </si>
  <si>
    <t>Roadmap completion (weighted)</t>
  </si>
  <si>
    <t>Done=1, In Progress=0.5</t>
  </si>
  <si>
    <t>Manual tests runnable now</t>
  </si>
  <si>
    <t>flows runnable today</t>
  </si>
  <si>
    <t>Phase 1</t>
  </si>
  <si>
    <t>complete</t>
  </si>
  <si>
    <t>Phase 2</t>
  </si>
  <si>
    <t>complete (+upgrade)</t>
  </si>
  <si>
    <t>Phase 3</t>
  </si>
  <si>
    <t>model/eval/wiring built; 3c pending</t>
  </si>
  <si>
    <t>Phase 4</t>
  </si>
  <si>
    <t>4a/4b/4c code-complete</t>
  </si>
  <si>
    <t>Phase 5</t>
  </si>
  <si>
    <t>5b built; survey+5c pending</t>
  </si>
  <si>
    <t>Verdict</t>
  </si>
  <si>
    <t>Phases 1–2 shipped in production. Phase 3 classifier is code-complete (model, eval, ONNX inference wiring) pending gold labels (3c) + a GPU training run. Phase 4 is code-complete end-to-end — watchers → propagation events (4a), sector-matched alerts + a public/SME website /alerts feed (4b), and nightly lag materialized views + KL drift (4c) — pending migrations + live data. Phase 5 has the F1–F6 findings notebooks built (5b, on a synthetic demo) pending the survey (5a) + real data. Remaining pure-code piece: 5c retraining/rollback.</t>
  </si>
  <si>
    <t>ID</t>
  </si>
  <si>
    <t>Session</t>
  </si>
  <si>
    <t>Area</t>
  </si>
  <si>
    <t>Status</t>
  </si>
  <si>
    <t>Feature</t>
  </si>
  <si>
    <t>F-01</t>
  </si>
  <si>
    <t>—</t>
  </si>
  <si>
    <t>Platform/Foundation</t>
  </si>
  <si>
    <t>Done</t>
  </si>
  <si>
    <t>Monorepo scaffold (`backend/ frontend/ ml/ infra/ docs/tracker/ scripts/`) + root configs | 🟢 | `BUILD_02 §1–§6` | `tree -L 2` matches §1 layout |</t>
  </si>
  <si>
    <t>F-02</t>
  </si>
  <si>
    <t>Dev infrastructure: `docker-compose.dev.yml` + `infra/postgres/init.sql` | 🟢 | `BUILD_04 §2` | `make up` brings Postgres healthy |</t>
  </si>
  <si>
    <t>F-03</t>
  </si>
  <si>
    <t>`.gitignore`, `.env.example`, `Makefile`, root `README.md`, pre-commit | 🟢 | `BUILD_01 §6` | `pre-commit install` succeeds |</t>
  </si>
  <si>
    <t>F-04</t>
  </si>
  <si>
    <t>Tracker bootstrap (`docs/tracker/{README,FEATURES,SESSIONS,CHANGES}.md`) | 🟢 | this plan | All four files exist |</t>
  </si>
  <si>
    <t>F-05</t>
  </si>
  <si>
    <t>FastAPI app: `main.py`, `settings.py`, `logging_config.py`, `exceptions.py`, `deps.py` | 🟢 | `BUILD_03 §3–§7` | `GET /health` returns 200 (verified on</t>
  </si>
  <si>
    <t>F-06</t>
  </si>
  <si>
    <t>Pydantic v2 settings with `DATABASE_URL` (asyncpg) + `JWT_SECRET` + `CORS_ORIGINS` | 🟢 | `BUILD_03 §3` | `app/settings.py` boots with `.env` |</t>
  </si>
  <si>
    <t>F-07</t>
  </si>
  <si>
    <t>SQLAlchemy 2.0 async session + `DeclarativeBase` + `TimestampMixin` | 🟢 | `BUILD_04 §3` | `db_session` fixture in `conftest.py` validates round-trip |</t>
  </si>
  <si>
    <t>F-08</t>
  </si>
  <si>
    <t>M1 Awareness</t>
  </si>
  <si>
    <t>ORM models: `User`, `SMEProfile`, `SurveyResponse`, `AuditLog` | 🟢 | `BUILD_04 §5` + `research/06 §4` | `python -m compileall app` clean; models regis</t>
  </si>
  <si>
    <t>F-09</t>
  </si>
  <si>
    <t>Alembic init + initial migration (`202605080001_initial_schema.py`) | 🟢 | `BUILD_04 §4` | `alembic upgrade head` succeeds on fresh DB (verified at run</t>
  </si>
  <si>
    <t>F-10</t>
  </si>
  <si>
    <t>Auth: `core/security.py` (bcrypt + HS256 JWT access/refresh) | 🟢 | `BUILD_06 §2` | `tests/unit/test_security.py` round-trips access + refresh |</t>
  </si>
  <si>
    <t>F-11</t>
  </si>
  <si>
    <t>Auth service + schemas + router (`/auth/register`, `/auth/login`, `/auth/refresh`) | 🟢 | `BUILD_06 §3–§5` | Integration test passes register + login |</t>
  </si>
  <si>
    <t>F-12</t>
  </si>
  <si>
    <t xml:space="preserve">RBAC: `get_current_user`, `require_admin`, `require_annotator` deps | 🟢 | `BUILD_03 §6` + `BUILD_06 §6` | Integration test asserts SME → 403 on admin </t>
  </si>
  <si>
    <t>F-13</t>
  </si>
  <si>
    <t>Inbound rate limit on `/auth/login` and `/auth/register` (slowapi) | 🟢 | `BUILD_06 §9` | `core/rate_limit.py` wired in `main.py`; auth router decorate</t>
  </si>
  <si>
    <t>F-14</t>
  </si>
  <si>
    <t>`users.py` router: `GET /api/v1/users/me`, admin-only `GET /api/v1/users` | 🟢 | `BUILD_03 §13` | `api/v1/users.py` returns user + profile |</t>
  </si>
  <si>
    <t>F-15</t>
  </si>
  <si>
    <t>M0/Survey</t>
  </si>
  <si>
    <t>`surveys.py` router: `POST /surveys/{instrument}/submit`, `GET /surveys/{instrument}/responses` (admin) | 🟢 | this plan | Integration test exercises b</t>
  </si>
  <si>
    <t>F-16</t>
  </si>
  <si>
    <t>Audit-log writes on auth events | 🟢 | `BUILD_06 §10` | `auth_service` writes `auth.register`, `auth.login.success/failure`, `auth.refresh` rows |</t>
  </si>
  <si>
    <t>F-17</t>
  </si>
  <si>
    <t>M3 Risk</t>
  </si>
  <si>
    <t xml:space="preserve">Module-router 501 stubs (`regulations`, `qa`, `risk`, `verify`) | 🟢 | this plan | Integration test asserts each returns 501 + `code: not_implemented` </t>
  </si>
  <si>
    <t>F-18</t>
  </si>
  <si>
    <t>`seed_dev.py`: admin + annotator + sample SME | 🟢 | `BUILD_04 §8` | `make seed` is idempotent |</t>
  </si>
  <si>
    <t>F-19</t>
  </si>
  <si>
    <t>Next.js 14 app (App Router, TS, Tailwind) | 🟢 | `BUILD_05 §1` | `package.json` + `next.config.mjs` + `app/layout.tsx` present |</t>
  </si>
  <si>
    <t>F-20</t>
  </si>
  <si>
    <t xml:space="preserve">shadcn-pattern primitives: button, input, label, card, badge, alert, skeleton, dropdown-menu, select, radio-group, checkbox, table, toaster, textarea </t>
  </si>
  <si>
    <t>F-21</t>
  </si>
  <si>
    <t>Domain-tuned theme tokens (trust-blue 217 91% 50% + amber 38 92% 50%) for light + dark | 🟢 | this plan + `BUILD_05 §2` | `app/globals.css` defines all</t>
  </si>
  <si>
    <t>F-22</t>
  </si>
  <si>
    <t>`next-themes` light/dark/system toggle in topbar | 🟢 | this plan | `components/layout/theme-toggle.tsx` mounted in `Topbar` |</t>
  </si>
  <si>
    <t>F-23</t>
  </si>
  <si>
    <t>Multilingual fonts via `next/font` (Inter + Noto Sans Sinhala + Noto Sans Tamil) | 🟢 | `BUILD_05 §3` | `app/layout.tsx` registers all three font CSS v</t>
  </si>
  <si>
    <t>F-24</t>
  </si>
  <si>
    <t>`next-intl` with `en/si/ta`; locale switcher in topbar | 🟢 | `BUILD_05 §4` | `i18n.ts` + 3 messages files; `LocaleSwitcher` writes `NEXT_LOCALE` cooki</t>
  </si>
  <si>
    <t>F-25</t>
  </si>
  <si>
    <t>API client (`lib/api/client.ts`) with `ApiError` + bearer token plumb | 🟢 | `BUILD_05 §5` | `lib/api/{client,auth,surveys,users}.ts` |</t>
  </si>
  <si>
    <t>F-26</t>
  </si>
  <si>
    <t>`lib/auth/{session,roles}.ts` — server-side `requireUser()` / `requireRole()` | 🟢 | `BUILD_06 §8` | `(app)` and `(admin)` layouts call them |</t>
  </si>
  <si>
    <t>F-27</t>
  </si>
  <si>
    <t>TanStack Query + theme provider in `components/providers.tsx` | 🟢 | `BUILD_05 §9` | Query client mounted under `ThemeProvider` |</t>
  </si>
  <si>
    <t>F-28</t>
  </si>
  <si>
    <t>`/login` page (zod + react-hook-form + shadcn) | 🟢 | `BUILD_06 §8` | Posts to backend, calls `/api/auth/establish`, redirects to `next` |</t>
  </si>
  <si>
    <t>F-29</t>
  </si>
  <si>
    <t>`/register` page (email + password + SME profile fields) | 🟢 | `BUILD_06 §3` | Creates user + profile, then auto-logs-in |</t>
  </si>
  <si>
    <t>F-30</t>
  </si>
  <si>
    <t>Cookie route handlers: `/api/auth/establish`, `/api/auth/token`, `/api/auth/logout` | 🟢 | `BUILD_06 §8` | HTTP-only cookies set on login, cleared on l</t>
  </si>
  <si>
    <t>F-31</t>
  </si>
  <si>
    <t>Auth-guarded `(app)` layout + admin-guarded `(admin)` layout + middleware fast-path | 🟢 | `BUILD_05 §7` | `middleware.ts` redirects unauth'd users; `r</t>
  </si>
  <si>
    <t>F-32</t>
  </si>
  <si>
    <t>Topbar with role badge + email + theme + locale + logout | 🟢 | this plan | `components/layout/topbar.tsx` |</t>
  </si>
  <si>
    <t>F-33</t>
  </si>
  <si>
    <t xml:space="preserve">Awareness question bank `lib/surveys/awareness.ts` (12 items) | 🟢 | `research/08` + plan | All 6 question kinds covered (single, multi, likert, date, </t>
  </si>
  <si>
    <t>F-34</t>
  </si>
  <si>
    <t>Reusable `SurveyForm` + `QuestionRenderer` for all 6 kinds | 🟢 | `BUILD_05 §11` | Each kind validates + serialises to backend `SurveyAnswerIn` |</t>
  </si>
  <si>
    <t>F-35</t>
  </si>
  <si>
    <t>`/surveys/awareness` page submits to `POST /surveys/awareness/submit` | 🟢 | this plan | On success, router pushes to `/surveys/awareness/thank-you` |</t>
  </si>
  <si>
    <t>F-36</t>
  </si>
  <si>
    <t>`/surveys/awareness/thank-you` confirmation | 🟢 | this plan | Renders w/ "Back to dashboard" CTA |</t>
  </si>
  <si>
    <t>F-37</t>
  </si>
  <si>
    <t>Admin response list `/admin/surveys/awareness` (table + total + pagination params) | 🟢 | this plan | shadcn `Table` lists submissions grouped by (sme,</t>
  </si>
  <si>
    <t>F-38</t>
  </si>
  <si>
    <t>Admin user list `/admin/users` (read-only, role badges) | 🟢 | this plan | shadcn `Table` shows email + role badge + sector + region |</t>
  </si>
  <si>
    <t>F-39</t>
  </si>
  <si>
    <t>"Coming soon" stubs for `/regulations`, `/qa`, `/verify`, `/risk` | 🟢 | `BUILD_05 §10` | Each renders `&lt;ComingSoon&gt;` with the relevant `BUILD_NN` refe</t>
  </si>
  <si>
    <t>F-40</t>
  </si>
  <si>
    <t>Backend integration test `test_survey_flow.py` (httpx + Postgres testcontainer) | 🟢 | plan + `BUILD_15 §6` | Two test cases: full register/login/submi</t>
  </si>
  <si>
    <t>F-41</t>
  </si>
  <si>
    <t>Backend unit tests for `core/security` (bcrypt + JWT round-trip) | 🟢 | this plan | `tests/unit/test_security.py` |</t>
  </si>
  <si>
    <t>F-42</t>
  </si>
  <si>
    <t>Playwright E2E `auth_survey_admin.spec.ts` | 🟢 (script ready) | plan | Runs on `make dev-frontend` + seeded backend; needs runtime verification once `</t>
  </si>
  <si>
    <t>F-43</t>
  </si>
  <si>
    <t>S3</t>
  </si>
  <si>
    <t>Now 12 files</t>
  </si>
  <si>
    <t>F-44</t>
  </si>
  <si>
    <t>M2 Knowledge</t>
  </si>
  <si>
    <t>Backend schema: `regulatory_domains`, `sectors`, `m2_questions`, `m2_knowledge_scores`, `m3_compliance_history`, `m3_behavioural_signals` + `survey_re</t>
  </si>
  <si>
    <t>F-45</t>
  </si>
  <si>
    <t>M2 question bank seed (`seed_m23_questions.py`) — 9 domains + 12 sectors + 40 canonical questions verbatim from `module_2_and_3` PART A | 🟢 | this pla</t>
  </si>
  <si>
    <t>F-46</t>
  </si>
  <si>
    <t>Cross-module-linkage rules (`m2_linkage_rules.py`) — awareness → M2 question selection | 🟢 | this plan | Rule fires on `awareness.v1.q04 = no` forcing</t>
  </si>
  <si>
    <t>F-47</t>
  </si>
  <si>
    <t>M2 scoring engine (`m2_scoring.py`) — mcq, scenario, numeric, ordered_steps with partial-credit, open with element-matching | 🟢 | this plan | `test_m2</t>
  </si>
  <si>
    <t>F-48</t>
  </si>
  <si>
    <t>M2 service: `questions_for_sme`, scoring on submit, `recompute_knowledge_score` cache write | 🟢 | this plan | `test_m2_flow.py` asserts `is_correct` p</t>
  </si>
  <si>
    <t>F-49</t>
  </si>
  <si>
    <t>M3 service: history submit, behavioural submit, combined `risk-signals` view (BUILD_00 contract) | 🟢 | this plan | `test_m3_flow.py` asserts the combi</t>
  </si>
  <si>
    <t>F-50</t>
  </si>
  <si>
    <t>M2 + M3 routers (`/api/v1/m2/*`, `/api/v1/m3/*`); `SupportedInstrument` extended to `["awareness","knowledge","vulnerability"]` | 🟢 | this plan | Open</t>
  </si>
  <si>
    <t>F-51</t>
  </si>
  <si>
    <t>Frontend conditional questions: shared `types.ts`, `dependsOn` evaluator, renderer `useWatch`, submit-time stripping | 🟢 | this plan | M3 vulnerabilit</t>
  </si>
  <si>
    <t>F-52</t>
  </si>
  <si>
    <t>Frontend SME pages: Surveys hub `/regulations`, Knowledge survey + thank-you, Vulnerability survey + thank-you, Risk read-only `/risk` | 🟢 | this plan</t>
  </si>
  <si>
    <t>F-53</t>
  </si>
  <si>
    <t>Frontend admin pages: M2 question bank with inline Verify, M2 scores, M3 risk-signals | 🟢 | this plan | Admin `/admin/m2/questions` Verify action sets</t>
  </si>
  <si>
    <t>F-54</t>
  </si>
  <si>
    <t>UX polish: sticky `SurveyProgress` (visible-only denominator), `useAutosave` to localStorage every 10s with Resume banner, `SurveyErrorSummary` with a</t>
  </si>
  <si>
    <t>F-55</t>
  </si>
  <si>
    <t>i18n parity: en/si/ta all carry the new `surveys.hub`, `surveys.knowledgeTitle`, `risk`, `admin` keys (116 keys each) | 🟢 | this plan | JSON key count</t>
  </si>
  <si>
    <t>F-56</t>
  </si>
  <si>
    <t>Backend integration tests (`test_m2_flow.py`, `test_m3_flow.py`) + unit (`test_m2_scoring.py`) + Playwright (`surveys_knowledge_vulnerability.spec.ts`</t>
  </si>
  <si>
    <t>F-57</t>
  </si>
  <si>
    <t>S5</t>
  </si>
  <si>
    <t>bcrypt pin `&gt;=4.0,&lt;4.1` in `backend/pyproject.toml` — stops the recurring passlib `__about__` AttributeError + 72-byte ValueError on hash. | 🟢 | sessi</t>
  </si>
  <si>
    <t>F-58</t>
  </si>
  <si>
    <t>Defensive 72-byte UTF-8 truncation in `app/core/security.py` — both `hash_password` and `verify_password` now route every secret through `_truncate()`</t>
  </si>
  <si>
    <t>F-59</t>
  </si>
  <si>
    <t xml:space="preserve">`.env.example` `CORS_ORIGINS` ships in JSON-array form (`["http://localhost:3000"]`) with an inline comment. | 🟢 | session 5 (Pydantic Settings v2.1+ </t>
  </si>
  <si>
    <t>F-60</t>
  </si>
  <si>
    <t>`docs/SETUP/09_Troubleshooting.md` updated: entry 9 rewritten with the actual root cause + actual fix; new 9b (long unicode passwords), 25b (missing `</t>
  </si>
  <si>
    <t>F-61</t>
  </si>
  <si>
    <t>CORS preflight 400 fix in `app/main.py` — strip trailing slash from every entry before passing to `CORSMiddleware`. Pydantic v2's `AnyHttpUrl.__str__`</t>
  </si>
  <si>
    <t>F-62</t>
  </si>
  <si>
    <t>Auth diagnostics + DB-inspection toolkit. New `make doctor` (`backend/app/scripts/doctor.py`) checks bcrypt version, hash round-trip, and the seeded u</t>
  </si>
  <si>
    <t>F-63</t>
  </si>
  <si>
    <t>App-Router parallel-pages collision fix. The admin awareness response list was at `/admin/surveys/awareness`, but Next.js strips route groups from URL</t>
  </si>
  <si>
    <t>F-64</t>
  </si>
  <si>
    <t>`useAutosave` no longer reaches into `useFormContext()` — the call ran before `&lt;FormProvider&gt;` mounted, returning `null` and crashing every survey pag</t>
  </si>
  <si>
    <t>F-65</t>
  </si>
  <si>
    <t>S6</t>
  </si>
  <si>
    <t>Unified `survey_questions` schema (rename of `m2_questions` + `module_number`/`linked_regulation_id`/`next_question_rules`/`is_required`/`instrument_s</t>
  </si>
  <si>
    <t>F-66</t>
  </si>
  <si>
    <t>Idempotent seed scripts: `seed_regulations` (5 canonical regs), `seed_awareness_questions` (12 M0 with cross-module rules), `seed_vulnerability_questi</t>
  </si>
  <si>
    <t>F-67</t>
  </si>
  <si>
    <t>Flow engine (`survey_question_service`): `start_flow`, `next_question`, `_resolve_rule` (predicates `answer_eq` / `answer_in` / `answer_lt` / `answer_</t>
  </si>
  <si>
    <t>F-68</t>
  </si>
  <si>
    <t xml:space="preserve">M1 regulation service: `list_regulations`, `get_regulation`, `get_regulation_sectors`, `create_regulation`, `update_regulation`, `verify_regulation`. </t>
  </si>
  <si>
    <t>F-69</t>
  </si>
  <si>
    <t>Backend routers + schemas: `/api/v1/survey-flow/{start,answer}` (SME) and `/api/v1/m1/regulations/*` (admin CRUD + `/{id}/public` SME-safe read). Moun</t>
  </si>
  <si>
    <t>F-70</t>
  </si>
  <si>
    <t>M3 projection on `survey_service.submit`: `_project_m3_snapshots` writes `module_number = 3` answers into `m3_compliance_history` / `m3_behavioural_si</t>
  </si>
  <si>
    <t>F-71</t>
  </si>
  <si>
    <t>Unified `/surveys` page (server) + `SurveyWizard` client + `flow-question-to-ui.ts` adapter (single/multi/likert/date/numeric/short_text/ordered_steps</t>
  </si>
  <si>
    <t>F-72</t>
  </si>
  <si>
    <t xml:space="preserve">i18n parity: new `surveys.flowTitle / flowSubtitle / questionOfTotal / crossModuleHint` keys added to `en/si/ta`. | 🟢 | session 6 | All three locales </t>
  </si>
  <si>
    <t>F-73</t>
  </si>
  <si>
    <t xml:space="preserve">Follow-up migration `202605100002_relax_survey_question_columns.py` — drops `NOT NULL` from `survey_questions.domain_code` and `knowledge_type` so M0 </t>
  </si>
  <si>
    <t>F-74</t>
  </si>
  <si>
    <t>S7</t>
  </si>
  <si>
    <t>In Progress</t>
  </si>
  <si>
    <t>Phase A landed (session 7).</t>
  </si>
  <si>
    <t>F-75</t>
  </si>
  <si>
    <t>Not Started</t>
  </si>
  <si>
    <t>Backend tests: extend `test_m2_scoring.py` (M3 answers don't get scored); new `test_survey_flow.py` (start → answer → branch → null, incl. resume); ne</t>
  </si>
  <si>
    <t>F-76</t>
  </si>
  <si>
    <t>Playwright spec: `surveys_unified_flow.spec.ts` walking the VAT-no branch into `VAT_FACT_002` and verifying the module-accent swap | 🔲 | session 6 pla</t>
  </si>
  <si>
    <t>F-77</t>
  </si>
  <si>
    <t>Phase B (deferred).</t>
  </si>
  <si>
    <t>F-78</t>
  </si>
  <si>
    <t>New `Tabs` primitive (`components/ui/tabs.tsx`) on `@radix-ui/react-tabs` (already in deps). Reused by the regulation form's EN/SI/TA panels; availabl</t>
  </si>
  <si>
    <t>F-79</t>
  </si>
  <si>
    <t>Per-module accent extended into admin shells: `module-m2` wraps `/admin/m2/questions` and `/admin/m2/scores`; `module-m3` wraps `/admin/m3/risk-signal</t>
  </si>
  <si>
    <t>F-80</t>
  </si>
  <si>
    <t>i18n keys for the regulations admin surface (en/si/ta parity at 185 keys each): `nav.adminRegulations`, `regulations.{listTitle, listSubtitle, newTitl</t>
  </si>
  <si>
    <t>F-81</t>
  </si>
  <si>
    <t>Constants extracted to single source of truth: `lib/constants/domains.ts` (DOMAINS) and `lib/constants/sectors.ts` (SECTORS + DOCUMENT_TYPES) — used b</t>
  </si>
  <si>
    <t>F-82</t>
  </si>
  <si>
    <t>S8</t>
  </si>
  <si>
    <t>Hotfix: parallel-pages route collision</t>
  </si>
  <si>
    <t>F-83</t>
  </si>
  <si>
    <t>App-shell redesign.</t>
  </si>
  <si>
    <t>F-84</t>
  </si>
  <si>
    <t>New shell primitives + glue: `components/ui/avatar.tsx` (initials fallback), `components/ui/breadcrumb.tsx`, `components/ui/tooltip.tsx` (radix-toolti</t>
  </si>
  <si>
    <t>F-85</t>
  </si>
  <si>
    <t>Dashboard upgrade.</t>
  </si>
  <si>
    <t>F-86</t>
  </si>
  <si>
    <t>List-page polish.</t>
  </si>
  <si>
    <t>F-87</t>
  </si>
  <si>
    <t>**i18n: `dashboard.*` (welcome + stats + tasks + activity) + `topbar.*` (refresh / avatarLabel / signOut / sidebarToggle) added across en/si/ta. Parit</t>
  </si>
  <si>
    <t>F-88</t>
  </si>
  <si>
    <t>Form-page polish.</t>
  </si>
  <si>
    <t>F-89</t>
  </si>
  <si>
    <t>S9</t>
  </si>
  <si>
    <t>Survey-wizard dotted-field-name bug fix.</t>
  </si>
  <si>
    <t>F-90</t>
  </si>
  <si>
    <t>Module 4 data-collection research scaffolding.</t>
  </si>
  <si>
    <t>F-91</t>
  </si>
  <si>
    <t>S10</t>
  </si>
  <si>
    <t>Sticky desktop sidebar + mobile drawer (hamburger trigger).</t>
  </si>
  <si>
    <t>F-92</t>
  </si>
  <si>
    <t>`/admin/users` redesign</t>
  </si>
  <si>
    <t>F-93</t>
  </si>
  <si>
    <t>Searchable multi-select Combobox primitive</t>
  </si>
  <si>
    <t>F-94</t>
  </si>
  <si>
    <t>Admin-create-user endpoint + dialog.</t>
  </si>
  <si>
    <t>F-95</t>
  </si>
  <si>
    <t>Two runtime bug fixes.</t>
  </si>
  <si>
    <t>F-96</t>
  </si>
  <si>
    <t>Backend full CRUD for users.</t>
  </si>
  <si>
    <t>F-97</t>
  </si>
  <si>
    <t>Backend full CRUD for regulations + soft-archive migration.</t>
  </si>
  <si>
    <t>F-98</t>
  </si>
  <si>
    <t>Frontend full CRUD UI</t>
  </si>
  <si>
    <t>F-99</t>
  </si>
  <si>
    <t>`&lt;SurveyForm&gt;` dotted-id leak (per-instrument awareness page).</t>
  </si>
  <si>
    <t>F-100</t>
  </si>
  <si>
    <t>S11</t>
  </si>
  <si>
    <t>Backend admin survey-questions CRUD.</t>
  </si>
  <si>
    <t>F-101</t>
  </si>
  <si>
    <t>`&lt;QuestionForm&gt;` + `/admin/questions/{list,new,[code]/edit}` pages.</t>
  </si>
  <si>
    <t>F-102</t>
  </si>
  <si>
    <t>`&lt;BranchingRulesEditor&gt;` (Visual + JSON tabs).</t>
  </si>
  <si>
    <t>F-103</t>
  </si>
  <si>
    <t>Regulation-anchored authoring wizard + LinkedQuestionsPanel.</t>
  </si>
  <si>
    <t>F-104</t>
  </si>
  <si>
    <t>i18n: `questions.*`, `regulations.linkedQuestionsPanel.*`, `regulations.authoring.*`, `nav.adminQuestions`, `common.previous`.</t>
  </si>
  <si>
    <t>F-105</t>
  </si>
  <si>
    <t>Sidebar entry `nav.adminQuestions` + deprecation note on the legacy M2 list.</t>
  </si>
  <si>
    <t>F-106</t>
  </si>
  <si>
    <t>S12</t>
  </si>
  <si>
    <t>Branching validators (forward-ref / cycle / archived-target).</t>
  </si>
  <si>
    <t>F-107</t>
  </si>
  <si>
    <t>Regulation-scoped flow.</t>
  </si>
  <si>
    <t>F-108</t>
  </si>
  <si>
    <t>M:N junction `survey_question_regulations`.</t>
  </si>
  <si>
    <t>F-109</t>
  </si>
  <si>
    <t>Backend i18n fallback.</t>
  </si>
  <si>
    <t>F-110</t>
  </si>
  <si>
    <t>DB-driven per-instrument question fetch.</t>
  </si>
  <si>
    <t>F-111</t>
  </si>
  <si>
    <t>Translation queue admin.</t>
  </si>
  <si>
    <t>F-112</t>
  </si>
  <si>
    <t>Dashboard pending-regulations endpoint.</t>
  </si>
  <si>
    <t>F-113</t>
  </si>
  <si>
    <t>Visual flow canvas.</t>
  </si>
  <si>
    <t>F-114</t>
  </si>
  <si>
    <t>DB-driven per-module SME surveys.</t>
  </si>
  <si>
    <t>F-115</t>
  </si>
  <si>
    <t>Two-tab surveys hub + regulation-scoped flow page.</t>
  </si>
  <si>
    <t>F-116</t>
  </si>
  <si>
    <t>Dashboard widget — Regulations awaiting your assessment.</t>
  </si>
  <si>
    <t>F-117</t>
  </si>
  <si>
    <t>Translations admin page + sidebar nav.</t>
  </si>
  <si>
    <t>F-118</t>
  </si>
  <si>
    <t>Frontend types + API extensions.</t>
  </si>
  <si>
    <t>F-119</t>
  </si>
  <si>
    <t>S13</t>
  </si>
  <si>
    <t>`&lt;AnimatedLoadingSkeleton&gt;` (`components/ui/`) — theme-adapted shadcn-pattern component.</t>
  </si>
  <si>
    <t>F-120</t>
  </si>
  <si>
    <t>Streaming `loading.tsx` segments + skeleton wiring across the app.</t>
  </si>
  <si>
    <t>F-121</t>
  </si>
  <si>
    <t>New SETUP doc `12_UI_Screens_and_Loading.md`.</t>
  </si>
  <si>
    <t>F-122</t>
  </si>
  <si>
    <t>App-themed `&lt;Pagination&gt;` (`components/ui/`), wired into all eight admin tables.</t>
  </si>
  <si>
    <t>F-123</t>
  </si>
  <si>
    <t>QA bug-fix batch.</t>
  </si>
  <si>
    <t>F-124</t>
  </si>
  <si>
    <t>S14</t>
  </si>
  <si>
    <t>Audit-write consolidation + coverage closure.</t>
  </si>
  <si>
    <t>F-125</t>
  </si>
  <si>
    <t>`AuthorshipMixin` — `created_by` / `updated_by` everywhere it matters.</t>
  </si>
  <si>
    <t>F-126</t>
  </si>
  <si>
    <t>Admin Activity Log API.</t>
  </si>
  <si>
    <t>F-127</t>
  </si>
  <si>
    <t>Admin Activity Log UI.</t>
  </si>
  <si>
    <t>F-128</t>
  </si>
  <si>
    <t>Authorship footer on the admin edit pages.</t>
  </si>
  <si>
    <t>F-129</t>
  </si>
  <si>
    <t>S15</t>
  </si>
  <si>
    <t>`survey_responses.linked_regulation_id` populated end-to-end.</t>
  </si>
  <si>
    <t>F-130</t>
  </si>
  <si>
    <t>`meta.from_question_code` / `meta.from_rule` flow breadcrumb + `start_flow` fallback.</t>
  </si>
  <si>
    <t>F-131</t>
  </si>
  <si>
    <t>Worked end-to-end scenario `VAT_SSCL_MERGE_2026` seeded.</t>
  </si>
  <si>
    <t>F-132</t>
  </si>
  <si>
    <t>OQ32-class follow-up resolved — data-driven M3 question→risk-column mapping.</t>
  </si>
  <si>
    <t>F-133</t>
  </si>
  <si>
    <t>Docs reconciliation + sidebar `/surveys` consolidation.</t>
  </si>
  <si>
    <t>F-134</t>
  </si>
  <si>
    <t>S16</t>
  </si>
  <si>
    <t>`survey_limits` DB singleton + service.</t>
  </si>
  <si>
    <t>F-135</t>
  </si>
  <si>
    <t>Admin survey-limits API + wiring.</t>
  </si>
  <si>
    <t>F-136</t>
  </si>
  <si>
    <t>Admin settings frontend page.</t>
  </si>
  <si>
    <t>F-137</t>
  </si>
  <si>
    <t>Sidebar nav + i18n for admin settings.</t>
  </si>
  <si>
    <t>F-138</t>
  </si>
  <si>
    <t>S17</t>
  </si>
  <si>
    <t>`get_limits` catches `ProgrammingError` + rolls back session.</t>
  </si>
  <si>
    <t>F-139</t>
  </si>
  <si>
    <t>S18</t>
  </si>
  <si>
    <t>Documentation sync across all affected MD files.</t>
  </si>
  <si>
    <t>F-140</t>
  </si>
  <si>
    <t>S19</t>
  </si>
  <si>
    <t>M2/M3/M4 feature detail documentation sweep (SETUP + research).</t>
  </si>
  <si>
    <t>F-141</t>
  </si>
  <si>
    <t>Tracker update — Session 19.</t>
  </si>
  <si>
    <t>F-142</t>
  </si>
  <si>
    <t>S20</t>
  </si>
  <si>
    <t>Domain-based documentation restructuring (Session 20).</t>
  </si>
  <si>
    <t>F-143</t>
  </si>
  <si>
    <t>S21</t>
  </si>
  <si>
    <t>M1 doc cleanup: section-header conformance + folder-path consistency sweep (Session 21).</t>
  </si>
  <si>
    <t>F-144</t>
  </si>
  <si>
    <t>S22</t>
  </si>
  <si>
    <t>Backend seed refactor — demo dashboards populated on `make seed`.</t>
  </si>
  <si>
    <t>F-145</t>
  </si>
  <si>
    <t>S23</t>
  </si>
  <si>
    <t>M1 Phase 2 Step 2a — Scrapy gazette spider MVP (Session 23).</t>
  </si>
  <si>
    <t>F-146</t>
  </si>
  <si>
    <t>S24</t>
  </si>
  <si>
    <t>`planned-for-devlopment/` folder convention + Step 2a setup doc + Vercel URLs noted (Session 24).</t>
  </si>
  <si>
    <t>F-147</t>
  </si>
  <si>
    <t>S25</t>
  </si>
  <si>
    <t>Step 2a parse-bug fix + Step 2b planning docs (Session 25).</t>
  </si>
  <si>
    <t>F-148</t>
  </si>
  <si>
    <t>S26</t>
  </si>
  <si>
    <t>M1 Phase 2 Step 2b — Celery + Stage-B PDF extraction (Session 26).</t>
  </si>
  <si>
    <t>F-149</t>
  </si>
  <si>
    <t>S28</t>
  </si>
  <si>
    <t>M1 Phase 2 Step 2c — canonical extraction chain at `enigmatrix-ml/m1/extraction/` (Session 28).</t>
  </si>
  <si>
    <t>F-150</t>
  </si>
  <si>
    <t>S29</t>
  </si>
  <si>
    <t>Auth pages split-panel UI (Session 29).</t>
  </si>
  <si>
    <t>F-151</t>
  </si>
  <si>
    <t>M1 docs portal data consolidation (Session 29).</t>
  </si>
  <si>
    <t>F-152</t>
  </si>
  <si>
    <t>Admin survey config: unified module option + multi-sector checkboxes — frontend only (Session 29).</t>
  </si>
  <si>
    <t>F-153</t>
  </si>
  <si>
    <t>S30</t>
  </si>
  <si>
    <t>M1 Phase 2 Step 2d — language detection + Wijesekara conversion + per-page OCR fallback (Session 30).</t>
  </si>
  <si>
    <t>F-154</t>
  </si>
  <si>
    <t>S31</t>
  </si>
  <si>
    <t>M1 Phase 2 Step 2e — Preprocessing chain at `enigmatrix-ml/m1/preprocessing/` (Session 31).</t>
  </si>
  <si>
    <t>F-155</t>
  </si>
  <si>
    <t>S32</t>
  </si>
  <si>
    <t>M1 Phase 2 Step 2f — Celery wiring + DB persistence for the Step-2e preprocessing chain (Session 32).</t>
  </si>
  <si>
    <t>F-156</t>
  </si>
  <si>
    <t>S33</t>
  </si>
  <si>
    <t>M1 Phase 2 doc-only catch-up (Session 33).</t>
  </si>
  <si>
    <t>F-157</t>
  </si>
  <si>
    <t>S34</t>
  </si>
  <si>
    <t>M1 Phase 2 cleanup (Session 34).</t>
  </si>
  <si>
    <t>F-158</t>
  </si>
  <si>
    <t>S35</t>
  </si>
  <si>
    <t>Local-dev documentation lap (Session 35).</t>
  </si>
  <si>
    <t>F-159</t>
  </si>
  <si>
    <t>S36</t>
  </si>
  <si>
    <t>Research-log portal (Session 36).</t>
  </si>
  <si>
    <t>F-160</t>
  </si>
  <si>
    <t>S37</t>
  </si>
  <si>
    <t>M1 Pipeline observability portal (Session 37).</t>
  </si>
  <si>
    <t>F-161</t>
  </si>
  <si>
    <t>S38</t>
  </si>
  <si>
    <t>Year + month-range scoped gazette extraction trigger (Session 38).</t>
  </si>
  <si>
    <t>F-162</t>
  </si>
  <si>
    <t>Celery eager-mode + pytest-asyncio session-loop fix for integration tests (Session 38).</t>
  </si>
  <si>
    <t>F-163</t>
  </si>
  <si>
    <t>S39</t>
  </si>
  <si>
    <t>Token-key sweep across 7 M1 admin pages (Session 39).</t>
  </si>
  <si>
    <t>F-164</t>
  </si>
  <si>
    <t>Gazette Extraction page UX enrichments — trigger history + summary card + per-row chips (Session 39).</t>
  </si>
  <si>
    <t>F-165</t>
  </si>
  <si>
    <t>S40</t>
  </si>
  <si>
    <t>M1 Pipeline in-page sub-nav: Gazette Extraction entry (Session 40).</t>
  </si>
  <si>
    <t>F-166</t>
  </si>
  <si>
    <t>Postgres connection-limit hotfix for the extract→preprocess fan-out (Session 40).</t>
  </si>
  <si>
    <t>F-167</t>
  </si>
  <si>
    <t>S41</t>
  </si>
  <si>
    <t>Pipeline-flow tiles surface a cumulative "reached" count (Session 41).</t>
  </si>
  <si>
    <t>F-168</t>
  </si>
  <si>
    <t>Aiven cloud-Postgres pool sizing fix (Session 41).</t>
  </si>
  <si>
    <t>F-169</t>
  </si>
  <si>
    <t>S42</t>
  </si>
  <si>
    <t>Date-range picker for Gazette Extraction (FE + BE, Session 42).</t>
  </si>
  <si>
    <t>F-170</t>
  </si>
  <si>
    <t>S43</t>
  </si>
  <si>
    <t>Spider runtime fix — close spider when scope exhausted (Session 43).</t>
  </si>
  <si>
    <t>F-171</t>
  </si>
  <si>
    <t>S44</t>
  </si>
  <si>
    <t>Theme polish (Session 44).</t>
  </si>
  <si>
    <t>F-172</t>
  </si>
  <si>
    <t>S45</t>
  </si>
  <si>
    <t>M1 pipeline page responsiveness v2 (Session 45).</t>
  </si>
  <si>
    <t>F-173</t>
  </si>
  <si>
    <t>S46</t>
  </si>
  <si>
    <t>Extraction running UX upgrade (Session 46).</t>
  </si>
  <si>
    <t>F-174</t>
  </si>
  <si>
    <t>S47</t>
  </si>
  <si>
    <t>Frontend perf overhaul (Session 47).</t>
  </si>
  <si>
    <t>F-175</t>
  </si>
  <si>
    <t>S49</t>
  </si>
  <si>
    <t>Live count polling for `summaryForResume` (Session 49).</t>
  </si>
  <si>
    <t>F-176</t>
  </si>
  <si>
    <t>`SpiderResultCard` polished display (Session 49).</t>
  </si>
  <si>
    <t>F-177</t>
  </si>
  <si>
    <t>S50</t>
  </si>
  <si>
    <t>Completeness check + re-fetch + spider EN→SI→TA fallback (Session 50).</t>
  </si>
  <si>
    <t>F-178</t>
  </si>
  <si>
    <t>S51</t>
  </si>
  <si>
    <t>Completeness verify endpoint hardening (Session 51).</t>
  </si>
  <si>
    <t>F-179</t>
  </si>
  <si>
    <t>S52</t>
  </si>
  <si>
    <t>AnimatedList component suite (Session 52).</t>
  </si>
  <si>
    <t>F-180</t>
  </si>
  <si>
    <t>AnimatedItem applied to 6 list/card pages + sticky table headers across 13 table files (Session 52).</t>
  </si>
  <si>
    <t>F-181</t>
  </si>
  <si>
    <t>FuzzyText component (Session 52).</t>
  </si>
  <si>
    <t>F-182</t>
  </si>
  <si>
    <t>FuzzyText applied to 404, ComingSoon, Platform Map, Research Log (Session 52).</t>
  </si>
  <si>
    <t>F-183</t>
  </si>
  <si>
    <t>Theme toggle: dropdown → single-click toggle button + View Transitions API circular reveal (Session 52).</t>
  </si>
  <si>
    <t>F-184</t>
  </si>
  <si>
    <t>S53</t>
  </si>
  <si>
    <t>M1 pipeline admin UX/UI audit — 14-finding report (Session 53).</t>
  </si>
  <si>
    <t>F-185</t>
  </si>
  <si>
    <t>S54</t>
  </si>
  <si>
    <t>Sticky M1 extraction inner sidebar (Session 54).</t>
  </si>
  <si>
    <t>F-186</t>
  </si>
  <si>
    <t>Resume/restart extraction for partial-state runs (Session 54).</t>
  </si>
  <si>
    <t>F-187</t>
  </si>
  <si>
    <t>Full extraction history table — replaces 5-item pill strip (Session 54).</t>
  </si>
  <si>
    <t>F-188</t>
  </si>
  <si>
    <t>Auto-scroll to progress panel on history row select (Session 54).</t>
  </si>
  <si>
    <t>F-189</t>
  </si>
  <si>
    <t>`m1_extraction_runs` DB model + Alembic migration (Session 54).</t>
  </si>
  <si>
    <t>F-190</t>
  </si>
  <si>
    <t>Backend: persist run on trigger + status sync on poll/cancel + `GET /runs` endpoint (Session 54).</t>
  </si>
  <si>
    <t>F-191</t>
  </si>
  <si>
    <t>Frontend: run history from `GET /runs` + localStorage write-through cache (Session 54).</t>
  </si>
  <si>
    <t>F-192</t>
  </si>
  <si>
    <t>SQLAlchemy QueuePool fix — `pool_size=3`, `max_overflow=5` (Session 54).</t>
  </si>
  <si>
    <t>F-193</t>
  </si>
  <si>
    <t>S55</t>
  </si>
  <si>
    <t>Railway production deployment of `enigmatrix-backend` (Session 55).</t>
  </si>
  <si>
    <t>F-194</t>
  </si>
  <si>
    <t>Cancel + rollback admin endpoint — `POST /api/v1/admin/m1/extraction/cancel/{task_id}` (Session 55).</t>
  </si>
  <si>
    <t>F-195</t>
  </si>
  <si>
    <t>Cancel button + ConfirmDialog + inline result panel on extraction status card (Session 55).</t>
  </si>
  <si>
    <t>F-196</t>
  </si>
  <si>
    <t>Per-PDF metadata columns + extract-time population (migration `202605280001` + `pdf_metadata.py` helper) (Session 55).</t>
  </si>
  <si>
    <t>F-197</t>
  </si>
  <si>
    <t>PDF Records browse-all admin page — `/admin/m1/pdf-records` + `GET /pdf-records` endpoint (Session 55).</t>
  </si>
  <si>
    <t>F-198</t>
  </si>
  <si>
    <t>Cross-repo Stage 4 code-quality audit + three HIGH inline fixes (Session 55).</t>
  </si>
  <si>
    <t>F-199</t>
  </si>
  <si>
    <t>S56</t>
  </si>
  <si>
    <t>M1 raw PDF bulk extraction + classification — 800 PDFs across 11 batches (Session 56).</t>
  </si>
  <si>
    <t>F-200</t>
  </si>
  <si>
    <t>S57</t>
  </si>
  <si>
    <t>Slice 3 — backend-local XLSX parser wrapper + ML parser handle close (Session 57).</t>
  </si>
  <si>
    <t>F-201</t>
  </si>
  <si>
    <t>Slice 3 — reproducible 5-row M1 master xlsx test fixture (Session 57).</t>
  </si>
  <si>
    <t>F-202</t>
  </si>
  <si>
    <t>Slice 3 — parser unit test suite (Session 57).</t>
  </si>
  <si>
    <t>F-203</t>
  </si>
  <si>
    <t>Slice 3 — upload integration test suite (Session 57).</t>
  </si>
  <si>
    <t>F-204</t>
  </si>
  <si>
    <t>Slice 3 — `/admin/m1/datasets/new` create page + form component (Session 57).</t>
  </si>
  <si>
    <t>F-205</t>
  </si>
  <si>
    <t>Slice 3 — Playwright E2E spec for create/upload/promote/idempotency (Session 57).</t>
  </si>
  <si>
    <t>F-206</t>
  </si>
  <si>
    <t>S58</t>
  </si>
  <si>
    <t>Datasets restructure — i18n migration m1Datasets.* → datasets.m1.* + new datasets.hub.* namespace (Session 58).</t>
  </si>
  <si>
    <t>F-207</t>
  </si>
  <si>
    <t>Datasets restructure — moved M1 pages under /admin/datasets/m1/* + new hub at /admin/datasets (Session 58).</t>
  </si>
  <si>
    <t>F-231</t>
  </si>
  <si>
    <t>S66</t>
  </si>
  <si>
    <t>Unknown</t>
  </si>
  <si>
    <t>Phase 4a — `m1_propagation_events` table + 2-step matcher (Session 66).</t>
  </si>
  <si>
    <t>F-232</t>
  </si>
  <si>
    <t>S67</t>
  </si>
  <si>
    <t>Phase 4b — alerts model + service + dispatch (Session 67).</t>
  </si>
  <si>
    <t>F-233</t>
  </si>
  <si>
    <t>Phase 4b — alerts API (SME + public feeds) (Session 67).</t>
  </si>
  <si>
    <t>F-234</t>
  </si>
  <si>
    <t>Phase 4b — website alerts section (frontend scaffold) (Session 67).</t>
  </si>
  <si>
    <t>F-235</t>
  </si>
  <si>
    <t>S68</t>
  </si>
  <si>
    <t>Phase 4c — lag materialized views + drift helper (Session 68).</t>
  </si>
  <si>
    <t>F-236</t>
  </si>
  <si>
    <t>Phase 4c — nightly analytics task + Beat (Session 68).</t>
  </si>
  <si>
    <t>F-237</t>
  </si>
  <si>
    <t>S69</t>
  </si>
  <si>
    <t>Phase 5b — findings_common helpers + preregistration (Session 69).</t>
  </si>
  <si>
    <t>F-238</t>
  </si>
  <si>
    <t>Phase 5b — 4 findings notebooks F1–F6 (Session 69).</t>
  </si>
  <si>
    <t>Phase</t>
  </si>
  <si>
    <t>Step</t>
  </si>
  <si>
    <t>Planned</t>
  </si>
  <si>
    <t>Definition of Done</t>
  </si>
  <si>
    <t>Evidence</t>
  </si>
  <si>
    <t>Score</t>
  </si>
  <si>
    <t>Phase 1 — Foundation</t>
  </si>
  <si>
    <t>Admin regulation CRUD+verify, audit, unified survey, seed</t>
  </si>
  <si>
    <t>Shipped</t>
  </si>
  <si>
    <t>F-65..F-97 (S6–22)</t>
  </si>
  <si>
    <t>Baseline.</t>
  </si>
  <si>
    <t>Phase 2 — Ingest+Extract</t>
  </si>
  <si>
    <t>2a Scrapy spider</t>
  </si>
  <si>
    <t>gazette/weekly/acts/bills → ingested</t>
  </si>
  <si>
    <t>N ingested rows</t>
  </si>
  <si>
    <t>F-144/145 (S23)</t>
  </si>
  <si>
    <t>2b Celery extract</t>
  </si>
  <si>
    <t>extract_gazette → extracted</t>
  </si>
  <si>
    <t>row→extracted</t>
  </si>
  <si>
    <t>F-148 (S26)</t>
  </si>
  <si>
    <t>2c Extraction chain</t>
  </si>
  <si>
    <t>ml/m1/extraction multi-engine</t>
  </si>
  <si>
    <t>≥95% classify</t>
  </si>
  <si>
    <t>F-149 (S28)</t>
  </si>
  <si>
    <t>2d Lang+Wijesekara</t>
  </si>
  <si>
    <t>fastText + legacy Sinhala</t>
  </si>
  <si>
    <t>≥95% lang acc</t>
  </si>
  <si>
    <t>F-153 (S30)</t>
  </si>
  <si>
    <t>2e/2f Preprocess+persist</t>
  </si>
  <si>
    <t>cleaning+metadata+chunk → preprocessed</t>
  </si>
  <si>
    <t>metadata populated</t>
  </si>
  <si>
    <t>F-154/155 (S31/32)</t>
  </si>
  <si>
    <t>Upgrade (slices 1–9)</t>
  </si>
  <si>
    <t>datasets+profiles+measurement engine</t>
  </si>
  <si>
    <t>measure extraction quality</t>
  </si>
  <si>
    <t>F-200..F-215 (S57–60)</t>
  </si>
  <si>
    <t>Beyond original.</t>
  </si>
  <si>
    <t>Phase 3 — Annotation+Classify</t>
  </si>
  <si>
    <t>3a LS + calibration</t>
  </si>
  <si>
    <t>LS config + calibration set</t>
  </si>
  <si>
    <t>κ≥0.80</t>
  </si>
  <si>
    <t>F-216/217 (S61)</t>
  </si>
  <si>
    <t>annotators pending.</t>
  </si>
  <si>
    <t>3b Sampling</t>
  </si>
  <si>
    <t>samplers + batch_01</t>
  </si>
  <si>
    <t>batch_01 200</t>
  </si>
  <si>
    <t>F-218-220 (S61)</t>
  </si>
  <si>
    <t>3c Gold ≥800</t>
  </si>
  <si>
    <t>annotate to 800</t>
  </si>
  <si>
    <t>800 gold κ≥0.75</t>
  </si>
  <si>
    <t>planned F-222</t>
  </si>
  <si>
    <t>needs annotators.</t>
  </si>
  <si>
    <t>3d Train XLM-R+LoRA</t>
  </si>
  <si>
    <t>m1/model + training</t>
  </si>
  <si>
    <t>3-seed F1≥0.92</t>
  </si>
  <si>
    <t>F-226 (S63)</t>
  </si>
  <si>
    <t>scaffold built; train pending.</t>
  </si>
  <si>
    <t>3e Eval+baselines</t>
  </si>
  <si>
    <t>eval.py + baselines.py</t>
  </si>
  <si>
    <t>no slice cliff&gt;8pp</t>
  </si>
  <si>
    <t>F-227 (S64)</t>
  </si>
  <si>
    <t>scaffold built.</t>
  </si>
  <si>
    <t>3f ONNX+wiring</t>
  </si>
  <si>
    <t>export+inference+classify_gazette</t>
  </si>
  <si>
    <t>INT8 1.5pp; p95≤2s</t>
  </si>
  <si>
    <t>F-228 (S65)</t>
  </si>
  <si>
    <t>wired; export/deploy pending model.</t>
  </si>
  <si>
    <t>Phase 4 — Schedulers+Alerts+Lag</t>
  </si>
  <si>
    <t>4a Portal+RSS watchers</t>
  </si>
  <si>
    <t>watchers → m1_propagation_events</t>
  </si>
  <si>
    <t>events w/ confidence</t>
  </si>
  <si>
    <t>F-229-231 (S66)</t>
  </si>
  <si>
    <t>built+matcher tested; live pending network.</t>
  </si>
  <si>
    <t>4b Alert dispatch + web feed</t>
  </si>
  <si>
    <t>in-app/email/SMS + /alerts page</t>
  </si>
  <si>
    <t>≤1h; idempotent</t>
  </si>
  <si>
    <t>F-232-234 (S67)</t>
  </si>
  <si>
    <t>built; live pending migration/keys.</t>
  </si>
  <si>
    <t>4c Nightly view refresh + drift</t>
  </si>
  <si>
    <t>materialized views + KL drift</t>
  </si>
  <si>
    <t>drift fires</t>
  </si>
  <si>
    <t>F-235-236 (S68)</t>
  </si>
  <si>
    <t>built+drift tested; live pending data.</t>
  </si>
  <si>
    <t>Phase 5 — Findings+Survey</t>
  </si>
  <si>
    <t>5a SME survey deployment</t>
  </si>
  <si>
    <t>wire /portal/m1/survey; outreach</t>
  </si>
  <si>
    <t>≥100 respondents</t>
  </si>
  <si>
    <t>M0 survey F-33-36</t>
  </si>
  <si>
    <t>instrument live; fieldwork pending.</t>
  </si>
  <si>
    <t>5b F1–F6 findings notebooks</t>
  </si>
  <si>
    <t>4 findings_*.ipynb + preregistration</t>
  </si>
  <si>
    <t>median+CI+test each</t>
  </si>
  <si>
    <t>F-237-238 (S69)</t>
  </si>
  <si>
    <t>built+demo runs; real data pending.</t>
  </si>
  <si>
    <t>5c Retraining + rollback</t>
  </si>
  <si>
    <t>retrain + canary</t>
  </si>
  <si>
    <t>dry-run + rollback</t>
  </si>
  <si>
    <t>pure code, next.</t>
  </si>
  <si>
    <t>Manual Test Plan — flows, expected outcomes &amp; next steps</t>
  </si>
  <si>
    <t>One test per segment (done + pending + not-started). "Runnable" = can you run it today.</t>
  </si>
  <si>
    <t>Runnable now</t>
  </si>
  <si>
    <t>Pending (prereq)</t>
  </si>
  <si>
    <t>Not built yet</t>
  </si>
  <si>
    <t>Test ID</t>
  </si>
  <si>
    <t>Phase / Segment</t>
  </si>
  <si>
    <t>Why (objective)</t>
  </si>
  <si>
    <t>Preconditions</t>
  </si>
  <si>
    <t>Test steps (flow)</t>
  </si>
  <si>
    <t>Expected outcome</t>
  </si>
  <si>
    <t>Runnable</t>
  </si>
  <si>
    <t>What next</t>
  </si>
  <si>
    <t>T-01</t>
  </si>
  <si>
    <t>Phase 1 · CRUD</t>
  </si>
  <si>
    <t>Admin regulation CRUD</t>
  </si>
  <si>
    <t>Confirm regs enterable + verifiable (ground truth).</t>
  </si>
  <si>
    <t>Backend+frontend up; admin seeded.</t>
  </si>
  <si>
    <t>1. Login admin
2. /admin/regulations → New → save
3. detail → Verify
4. check Activity Log</t>
  </si>
  <si>
    <t>Reg in list; verified; audit_log row.</t>
  </si>
  <si>
    <t>Now</t>
  </si>
  <si>
    <t>Pass (verify)</t>
  </si>
  <si>
    <t>T-02</t>
  </si>
  <si>
    <t>Phase 1 · Survey</t>
  </si>
  <si>
    <t>Awareness survey EN/SI/TA</t>
  </si>
  <si>
    <t>RQ1 instrument works trilingually.</t>
  </si>
  <si>
    <t>Seeded; demo SME.</t>
  </si>
  <si>
    <t>1. Login SME
2. /surveys/awareness switch EN→SI→TA
3. answer 12 + submit
4. admin responses view</t>
  </si>
  <si>
    <t>Response saved + visible; all langs render.</t>
  </si>
  <si>
    <t>T-03</t>
  </si>
  <si>
    <t>Phase 2 · Spider</t>
  </si>
  <si>
    <t>Scrapy gazette spider</t>
  </si>
  <si>
    <t>Automated gazette discovery.</t>
  </si>
  <si>
    <t>Redis+backend; storage writable.</t>
  </si>
  <si>
    <t>1. scrapy crawl gazette_spider (or admin trigger)
2. watch run</t>
  </si>
  <si>
    <t>N PDFs + N ingested rows.</t>
  </si>
  <si>
    <t>T-04</t>
  </si>
  <si>
    <t>Phase 2 · Extract→Preprocess</t>
  </si>
  <si>
    <t>extract+preprocess pipeline</t>
  </si>
  <si>
    <t>PDFs → clean chunked text + metadata.</t>
  </si>
  <si>
    <t>Worker running; an ingested row.</t>
  </si>
  <si>
    <t>1. start celery worker
2. extract_gazette → preprocess chains
3. query row</t>
  </si>
  <si>
    <t>ingested→extracted→preprocessed; metadata populated.</t>
  </si>
  <si>
    <t>T-05</t>
  </si>
  <si>
    <t>Phase 2 · Extraction chain</t>
  </si>
  <si>
    <t>ml/m1/extraction tests</t>
  </si>
  <si>
    <t>Multi-engine routing correct.</t>
  </si>
  <si>
    <t>cd enigmatrix-ml.</t>
  </si>
  <si>
    <t>1. uv run pytest tests/m1/extraction -v</t>
  </si>
  <si>
    <t>extraction tests pass; CER audit skips (no gold).</t>
  </si>
  <si>
    <t>Partial (gold pending)</t>
  </si>
  <si>
    <t>populate 50-PDF audit.</t>
  </si>
  <si>
    <t>T-07</t>
  </si>
  <si>
    <t>Phase 2 · Upgrade</t>
  </si>
  <si>
    <t>Dataset + measurement</t>
  </si>
  <si>
    <t>Extraction quality measured vs golden.</t>
  </si>
  <si>
    <t>Backend up; golden xlsx.</t>
  </si>
  <si>
    <t>1. /admin/datasets/m1 → create → upload golden
2. run extraction+measurement
3. comparison view</t>
  </si>
  <si>
    <t>Measurement run + per-field scores.</t>
  </si>
  <si>
    <t>T-09</t>
  </si>
  <si>
    <t>Phase 3 · 3b Sampling</t>
  </si>
  <si>
    <t>sample_for_labeling</t>
  </si>
  <si>
    <t>Diverse first batch.</t>
  </si>
  <si>
    <t>1. python scripts/sample_for_labeling.py --demo --dry-run
2. --demo</t>
  </si>
  <si>
    <t>batch_01.csv 200 rows, 3 langs.</t>
  </si>
  <si>
    <t>Pass (demo)</t>
  </si>
  <si>
    <t>make labeling-batch on prod DB.</t>
  </si>
  <si>
    <t>T-10</t>
  </si>
  <si>
    <t>Phase 3 · 3c Gold</t>
  </si>
  <si>
    <t>Annotate ≥800</t>
  </si>
  <si>
    <t>Training data (RQ1 gate).</t>
  </si>
  <si>
    <t>3a passed.</t>
  </si>
  <si>
    <t>1. make labeling-batch → Label Studio
2. AL batches + dual-annotate
3. export gold_standard.csv</t>
  </si>
  <si>
    <t>≥800 labels ≥50/cat κ≥0.75.</t>
  </si>
  <si>
    <t>Not built</t>
  </si>
  <si>
    <t>recruit annotators.</t>
  </si>
  <si>
    <t>T-11</t>
  </si>
  <si>
    <t>Phase 3 · 3d Model</t>
  </si>
  <si>
    <t>m1/model tests + train</t>
  </si>
  <si>
    <t>Classifier code correct + trainable.</t>
  </si>
  <si>
    <t>uv sync --extra training; gold split.</t>
  </si>
  <si>
    <t>1. uv run pytest tests/m1/model
2. mini-smoke train
3. train_xlmr 3-seed</t>
  </si>
  <si>
    <t>label/data tests pass now; full run F1≥0.92.</t>
  </si>
  <si>
    <t>Pending</t>
  </si>
  <si>
    <t>Partial (label/data tests pass)</t>
  </si>
  <si>
    <t>after 3c + GPU.</t>
  </si>
  <si>
    <t>T-12</t>
  </si>
  <si>
    <t>Phase 3 · 3e Eval</t>
  </si>
  <si>
    <t>eval + baselines</t>
  </si>
  <si>
    <t>Prove F1≥0.92 + baselines.</t>
  </si>
  <si>
    <t>trained model + test.parquet.</t>
  </si>
  <si>
    <t>1. m1.model.eval
2. m1.model.baselines</t>
  </si>
  <si>
    <t>metrics.json F1≥0.92, no cliff&gt;8pp.</t>
  </si>
  <si>
    <t>run after 3d.</t>
  </si>
  <si>
    <t>T-13</t>
  </si>
  <si>
    <t>Phase 3 · 3f Inference</t>
  </si>
  <si>
    <t>classify_gazette e2e</t>
  </si>
  <si>
    <t>Auto-classify preprocessed gazette.</t>
  </si>
  <si>
    <t>migration + ONNX model + M1_MODEL_ONNX_DIR.</t>
  </si>
  <si>
    <t>1. alembic upgrade head
2. export_onnx --int8
3. worker classify_gazette
4. integration test</t>
  </si>
  <si>
    <t>preprocessed→classified; low-conf→review.</t>
  </si>
  <si>
    <t>run after 3d/3e.</t>
  </si>
  <si>
    <t>T-14</t>
  </si>
  <si>
    <t>Phase 4 · 4a Watchers</t>
  </si>
  <si>
    <t>portal/rss watchers</t>
  </si>
  <si>
    <t>Timestamp downstream mentions → lag.</t>
  </si>
  <si>
    <t>uv sync (feedparser); alembic upgrade head.</t>
  </si>
  <si>
    <t>1. pytest test_m1_propagation_matching
2. run_rss_watcher.apply()
3. query m1_propagation_events</t>
  </si>
  <si>
    <t>matcher tests pass now; live run writes events w/ match_method+confidence.</t>
  </si>
  <si>
    <t>Partial (matcher tested)</t>
  </si>
  <si>
    <t>confirm source URLs + apply migration.</t>
  </si>
  <si>
    <t>T-15</t>
  </si>
  <si>
    <t>Phase 4 · 4b Alerts+feed</t>
  </si>
  <si>
    <t>alert dispatch + /alerts</t>
  </si>
  <si>
    <t>Sector-matched alerts + website feed.</t>
  </si>
  <si>
    <t>alembic upgrade head.</t>
  </si>
  <si>
    <t>1. dispatch_regulation_alerts.apply([reg])
2. GET /m1/alerts/public
3. visit /alerts</t>
  </si>
  <si>
    <t>in-app alerts created (email 'skipped' w/o key); public feed renders.</t>
  </si>
  <si>
    <t>Partial (content tested)</t>
  </si>
  <si>
    <t>set SendGrid/Twilio; wire middleware/nav.</t>
  </si>
  <si>
    <t>T-16</t>
  </si>
  <si>
    <t>Phase 4 · 4c Analytics</t>
  </si>
  <si>
    <t>lag views + drift</t>
  </si>
  <si>
    <t>Nightly refresh + drift check.</t>
  </si>
  <si>
    <t>alembic upgrade head (202606300004).</t>
  </si>
  <si>
    <t>1. pytest test_m1_drift
2. refresh_lag_analytics.apply()
3. SELECT * FROM v_m1_channel_effectiveness</t>
  </si>
  <si>
    <t>drift tests pass now; views refresh; drift_kl returned.</t>
  </si>
  <si>
    <t>Partial (drift tested)</t>
  </si>
  <si>
    <t>run after 4a data + 3f classified.</t>
  </si>
  <si>
    <t>T-17</t>
  </si>
  <si>
    <t>Phase 5 · 5a Survey</t>
  </si>
  <si>
    <t>Survey deployment</t>
  </si>
  <si>
    <t>Awareness lag data (RQ3).</t>
  </si>
  <si>
    <t>/portal/m1/survey wired.</t>
  </si>
  <si>
    <t>1. wire 9-reg SQL
2. NEDA/Chamber outreach + ethics
3. track by sector</t>
  </si>
  <si>
    <t>≥100 respondents, ≥10/sector.</t>
  </si>
  <si>
    <t>deployment + outreach.</t>
  </si>
  <si>
    <t>T-18</t>
  </si>
  <si>
    <t>Phase 5 · 5b Findings</t>
  </si>
  <si>
    <t>F1–F6 notebooks</t>
  </si>
  <si>
    <t>Empirical RQ1/RQ3/RQ4 answer.</t>
  </si>
  <si>
    <t>uv sync --extra research.</t>
  </si>
  <si>
    <t>1. pytest tests/research/test_findings_common.py
2. Run-All each notebook (demo)
3. set DATABASE_URL for real data</t>
  </si>
  <si>
    <t>helpers tests pass; notebooks compute F1–F6 on demo (F1≈6.8d, F6 DiD≈-20d); real numbers pending data.</t>
  </si>
  <si>
    <t>Partial (demo runs)</t>
  </si>
  <si>
    <t>run on real data after 4a/5a/3d.</t>
  </si>
  <si>
    <t>T-19</t>
  </si>
  <si>
    <t>Phase 5 · 5c Retraining</t>
  </si>
  <si>
    <t>retrain + rollback</t>
  </si>
  <si>
    <t>Sustain model quality.</t>
  </si>
  <si>
    <t>retrain.py built.</t>
  </si>
  <si>
    <t>1. build retrain.py + canary
2. quarterly dry-run
3. inject F1 drop</t>
  </si>
  <si>
    <t>dry-run completes; auto-rollback fires.</t>
  </si>
  <si>
    <t>build 5c (next).</t>
  </si>
  <si>
    <t>Status Rollup</t>
  </si>
  <si>
    <t>Count</t>
  </si>
  <si>
    <t>% of features</t>
  </si>
  <si>
    <t>Blocked</t>
  </si>
  <si>
    <t>Dropped</t>
  </si>
  <si>
    <t>TOTAL</t>
  </si>
  <si>
    <t>Gaps &amp; Next Actions</t>
  </si>
  <si>
    <t>Priority</t>
  </si>
  <si>
    <t>Item</t>
  </si>
  <si>
    <t>Unlocks</t>
  </si>
  <si>
    <t>Next action</t>
  </si>
  <si>
    <t>P0</t>
  </si>
  <si>
    <t>Fix /admin/m1/pipeline/recent 503 (F-184) + reconcile F1 gate 0.80↔0.92</t>
  </si>
  <si>
    <t>Demo integrity; correct thesis bar</t>
  </si>
  <si>
    <t>fix RSC 503; grep-replace 0.80→0.92.</t>
  </si>
  <si>
    <t>P1</t>
  </si>
  <si>
    <t>3c — Annotate to ≥800 gold labels</t>
  </si>
  <si>
    <t>RQ1 training data</t>
  </si>
  <si>
    <t>recruit annotators; make labeling-batch; calibrate; AL to 800.</t>
  </si>
  <si>
    <t>3d/3e/3f — train + eval + deploy classifier</t>
  </si>
  <si>
    <t>RQ1 macro-F1≥0.92 + operational</t>
  </si>
  <si>
    <t>after gold: uv sync --extra training; train on GPU; export ONNX; alembic upgrade head.</t>
  </si>
  <si>
    <t>Apply Phase-3/4 migrations (202606300001–004)</t>
  </si>
  <si>
    <t>Classifier + propagation + alerts + lag views live</t>
  </si>
  <si>
    <t>cd enigmatrix-backend &amp;&amp; uv run alembic upgrade head.</t>
  </si>
  <si>
    <t>P2</t>
  </si>
  <si>
    <t>4a/4b/4c — run watchers + alerts + analytics live</t>
  </si>
  <si>
    <t>Lag dataset + alert system + monitoring</t>
  </si>
  <si>
    <t>uv sync; confirm source URLs; run watchers; set SendGrid/Twilio; refresh_lag_analytics.</t>
  </si>
  <si>
    <t>Frontend /alerts wiring (middleware + nav + client)</t>
  </si>
  <si>
    <t>Public + SME alerts section live</t>
  </si>
  <si>
    <t>add /alerts to middleware public routes; nav link; align lib/api/client.ts.</t>
  </si>
  <si>
    <t>P3</t>
  </si>
  <si>
    <t>5a — SME survey deployment (≥100)</t>
  </si>
  <si>
    <t>RQ3 awareness-lag data</t>
  </si>
  <si>
    <t>wire /portal/m1/survey; NEDA/Chamber; ethics.</t>
  </si>
  <si>
    <t>5b — run F1–F6 on real data</t>
  </si>
  <si>
    <t>Empirical thesis result</t>
  </si>
  <si>
    <t>uv sync --extra research; preregister; Run-All notebooks with DATABASE_URL.</t>
  </si>
  <si>
    <t>5c — Retraining + auto-rollback</t>
  </si>
  <si>
    <t>Sustainable model ops</t>
  </si>
  <si>
    <t>retrain.py + canary + m1_retraining_runs.</t>
  </si>
  <si>
    <t>Data</t>
  </si>
  <si>
    <t>SI/TA raw_text (cid:) re-extraction</t>
  </si>
  <si>
    <t>RQ2 (SI/TA F1) integrity</t>
  </si>
  <si>
    <t>re-extract SI/TA via OCR+Wijesekara before gold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</si>
</sst>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9"/>
      <color rgb="FF595959"/>
      <name val="Arial"/>
      <charset val="1"/>
    </font>
    <font>
      <b/>
      <sz val="12"/>
      <color rgb="FF1F4E78"/>
      <name val="Arial"/>
      <charset val="1"/>
    </font>
    <font>
      <b/>
      <sz val="11"/>
      <color rgb="FF006100"/>
      <name val="Arial"/>
      <charset val="1"/>
    </font>
    <font>
      <sz val="9"/>
      <name val="Arial"/>
      <charset val="1"/>
    </font>
    <font>
      <b/>
      <sz val="11"/>
      <color rgb="FF9C6500"/>
      <name val="Arial"/>
      <charset val="1"/>
    </font>
    <font>
      <b/>
      <sz val="11"/>
      <color rgb="FF9C0006"/>
      <name val="Arial"/>
      <charset val="1"/>
    </font>
    <font>
      <b/>
      <sz val="11"/>
      <color rgb="FF475569"/>
      <name val="Arial"/>
      <charset val="1"/>
    </font>
    <font>
      <b/>
      <sz val="9"/>
      <name val="Arial"/>
      <charset val="1"/>
    </font>
    <font>
      <i/>
      <sz val="8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843C0C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475569"/>
      </patternFill>
    </fill>
    <fill>
      <patternFill patternType="solid">
        <fgColor rgb="FFC6EFCE"/>
        <bgColor rgb="FFE2E8F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8CBAD"/>
      </patternFill>
    </fill>
    <fill>
      <patternFill patternType="solid">
        <fgColor rgb="FFE2E8F0"/>
        <bgColor rgb="FFD9D9D9"/>
      </patternFill>
    </fill>
    <fill>
      <patternFill patternType="solid">
        <fgColor rgb="FFF8CBAD"/>
        <b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8" fillId="0" borderId="1" xfId="0" applyFont="1" applyBorder="1"/>
    <xf numFmtId="0" fontId="9" fillId="4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center" vertical="top" wrapText="1"/>
    </xf>
    <xf numFmtId="0" fontId="7" fillId="3" borderId="1" xfId="0" applyFont="1" applyFill="1" applyBorder="1"/>
    <xf numFmtId="164" fontId="0" fillId="0" borderId="1" xfId="0" applyNumberFormat="1" applyBorder="1"/>
    <xf numFmtId="0" fontId="9" fillId="4" borderId="1" xfId="0" applyFont="1" applyFill="1" applyBorder="1"/>
    <xf numFmtId="0" fontId="10" fillId="5" borderId="1" xfId="0" applyFont="1" applyFill="1" applyBorder="1"/>
    <xf numFmtId="0" fontId="16" fillId="7" borderId="1" xfId="0" applyFont="1" applyFill="1" applyBorder="1"/>
    <xf numFmtId="0" fontId="11" fillId="6" borderId="1" xfId="0" applyFont="1" applyFill="1" applyBorder="1"/>
    <xf numFmtId="164" fontId="0" fillId="0" borderId="0" xfId="0" applyNumberForma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78787"/>
      <rgbColor rgb="FF9999FF"/>
      <rgbColor rgb="FF993366"/>
      <rgbColor rgb="FFFFFFCC"/>
      <rgbColor rgb="FFE2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3C0C"/>
      <rgbColor rgb="FF993366"/>
      <rgbColor rgb="FF1F4E78"/>
      <rgbColor rgb="FF47556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Features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Rollup'!$B$3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'Status Rollup'!$A$4:$A$9</c:f>
              <c:strCache>
                <c:ptCount val="6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  <c:pt idx="3">
                  <c:v>Blocked</c:v>
                </c:pt>
                <c:pt idx="4">
                  <c:v>Dropped</c:v>
                </c:pt>
                <c:pt idx="5">
                  <c:v>Unknown</c:v>
                </c:pt>
              </c:strCache>
            </c:strRef>
          </c:cat>
          <c:val>
            <c:numRef>
              <c:f>'Status Rollup'!$B$4:$B$9</c:f>
              <c:numCache>
                <c:formatCode>General</c:formatCode>
                <c:ptCount val="6"/>
                <c:pt idx="0">
                  <c:v>204</c:v>
                </c:pt>
                <c:pt idx="1">
                  <c:v>7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A-47A6-A9AA-0F628CA5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91532"/>
        <c:axId val="95050905"/>
      </c:barChart>
      <c:catAx>
        <c:axId val="24591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050905"/>
        <c:crosses val="autoZero"/>
        <c:auto val="1"/>
        <c:lblAlgn val="ctr"/>
        <c:lblOffset val="100"/>
        <c:noMultiLvlLbl val="0"/>
      </c:catAx>
      <c:valAx>
        <c:axId val="95050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45915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12</xdr:col>
      <xdr:colOff>147600</xdr:colOff>
      <xdr:row>15</xdr:row>
      <xdr:rowOff>43200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showGridLines="0" zoomScaleNormal="100" workbookViewId="0"/>
  </sheetViews>
  <sheetFormatPr defaultColWidth="8.6640625" defaultRowHeight="14.4" x14ac:dyDescent="0.3"/>
  <cols>
    <col min="1" max="1" width="34" customWidth="1"/>
    <col min="2" max="2" width="16" customWidth="1"/>
    <col min="3" max="3" width="54" customWidth="1"/>
  </cols>
  <sheetData>
    <row r="1" spans="1:3" ht="22.8" x14ac:dyDescent="0.4">
      <c r="A1" s="2" t="s">
        <v>0</v>
      </c>
    </row>
    <row r="2" spans="1:3" x14ac:dyDescent="0.3">
      <c r="A2" s="3" t="s">
        <v>1</v>
      </c>
    </row>
    <row r="4" spans="1:3" x14ac:dyDescent="0.3">
      <c r="A4" s="4" t="s">
        <v>2</v>
      </c>
      <c r="B4" s="4" t="s">
        <v>3</v>
      </c>
      <c r="C4" s="4" t="s">
        <v>4</v>
      </c>
    </row>
    <row r="5" spans="1:3" x14ac:dyDescent="0.3">
      <c r="A5" s="5" t="s">
        <v>5</v>
      </c>
      <c r="B5" s="6">
        <f>COUNTA('Feature Register'!$A$2:$A$216)</f>
        <v>215</v>
      </c>
      <c r="C5" s="7" t="s">
        <v>6</v>
      </c>
    </row>
    <row r="6" spans="1:3" x14ac:dyDescent="0.3">
      <c r="A6" s="5" t="s">
        <v>7</v>
      </c>
      <c r="B6" s="6">
        <f>COUNTIF('Feature Register'!$D$2:$D$216,"Done")</f>
        <v>204</v>
      </c>
      <c r="C6" s="7" t="s">
        <v>8</v>
      </c>
    </row>
    <row r="7" spans="1:3" x14ac:dyDescent="0.3">
      <c r="A7" s="5" t="s">
        <v>9</v>
      </c>
      <c r="B7" s="6">
        <f>COUNTIF('Feature Register'!$D$2:$D$216,"In Progress")</f>
        <v>7</v>
      </c>
      <c r="C7" s="7" t="s">
        <v>10</v>
      </c>
    </row>
    <row r="8" spans="1:3" x14ac:dyDescent="0.3">
      <c r="A8" s="5" t="s">
        <v>11</v>
      </c>
      <c r="B8" s="6">
        <f>COUNTIF('Feature Register'!$D$2:$D$216,"Not Started")</f>
        <v>3</v>
      </c>
      <c r="C8" s="7" t="s">
        <v>12</v>
      </c>
    </row>
    <row r="9" spans="1:3" x14ac:dyDescent="0.3">
      <c r="A9" s="5" t="s">
        <v>13</v>
      </c>
      <c r="B9" s="8">
        <f>IF(B5=0,0,B6/B5)</f>
        <v>0.94883720930232562</v>
      </c>
      <c r="C9" s="7" t="s">
        <v>14</v>
      </c>
    </row>
    <row r="10" spans="1:3" x14ac:dyDescent="0.3">
      <c r="A10" s="5" t="s">
        <v>15</v>
      </c>
      <c r="B10" s="8">
        <f>AVERAGE('Roadmap vs Actual'!$H$2:$H$20)</f>
        <v>0.65789473684210531</v>
      </c>
      <c r="C10" s="7" t="s">
        <v>16</v>
      </c>
    </row>
    <row r="11" spans="1:3" x14ac:dyDescent="0.3">
      <c r="A11" s="5" t="s">
        <v>17</v>
      </c>
      <c r="B11" s="6">
        <f>COUNTIF('Manual Test Plan'!$H$8:$H$100,"Now")</f>
        <v>7</v>
      </c>
      <c r="C11" s="7" t="s">
        <v>18</v>
      </c>
    </row>
    <row r="12" spans="1:3" x14ac:dyDescent="0.3">
      <c r="A12" s="5" t="s">
        <v>19</v>
      </c>
      <c r="B12" s="8">
        <f>AVERAGEIF('Roadmap vs Actual'!$A$2:$A$20,"Phase 1*",'Roadmap vs Actual'!$H$2:$H$20)</f>
        <v>1</v>
      </c>
      <c r="C12" s="7" t="s">
        <v>20</v>
      </c>
    </row>
    <row r="13" spans="1:3" x14ac:dyDescent="0.3">
      <c r="A13" s="5" t="s">
        <v>21</v>
      </c>
      <c r="B13" s="8">
        <f>AVERAGEIF('Roadmap vs Actual'!$A$2:$A$20,"Phase 2*",'Roadmap vs Actual'!$H$2:$H$20)</f>
        <v>1</v>
      </c>
      <c r="C13" s="7" t="s">
        <v>22</v>
      </c>
    </row>
    <row r="14" spans="1:3" x14ac:dyDescent="0.3">
      <c r="A14" s="5" t="s">
        <v>23</v>
      </c>
      <c r="B14" s="8">
        <f>AVERAGEIF('Roadmap vs Actual'!$A$2:$A$20,"Phase 3*",'Roadmap vs Actual'!$H$2:$H$20)</f>
        <v>0.5</v>
      </c>
      <c r="C14" s="7" t="s">
        <v>24</v>
      </c>
    </row>
    <row r="15" spans="1:3" x14ac:dyDescent="0.3">
      <c r="A15" s="5" t="s">
        <v>25</v>
      </c>
      <c r="B15" s="8">
        <f>AVERAGEIF('Roadmap vs Actual'!$A$2:$A$20,"Phase 4*",'Roadmap vs Actual'!$H$2:$H$20)</f>
        <v>0.5</v>
      </c>
      <c r="C15" s="7" t="s">
        <v>26</v>
      </c>
    </row>
    <row r="16" spans="1:3" x14ac:dyDescent="0.3">
      <c r="A16" s="5" t="s">
        <v>27</v>
      </c>
      <c r="B16" s="8">
        <f>AVERAGEIF('Roadmap vs Actual'!$A$2:$A$20,"Phase 5*",'Roadmap vs Actual'!$H$2:$H$20)</f>
        <v>0.33333333333333331</v>
      </c>
      <c r="C16" s="7" t="s">
        <v>28</v>
      </c>
    </row>
    <row r="18" spans="1:3" ht="15.6" x14ac:dyDescent="0.3">
      <c r="A18" s="9" t="s">
        <v>29</v>
      </c>
    </row>
    <row r="19" spans="1:3" ht="15" customHeight="1" x14ac:dyDescent="0.3">
      <c r="A19" s="1" t="s">
        <v>30</v>
      </c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x14ac:dyDescent="0.3">
      <c r="A24" s="1"/>
      <c r="B24" s="1"/>
      <c r="C24" s="1"/>
    </row>
    <row r="25" spans="1:3" x14ac:dyDescent="0.3">
      <c r="A25" s="1"/>
      <c r="B25" s="1"/>
      <c r="C25" s="1"/>
    </row>
  </sheetData>
  <mergeCells count="1">
    <mergeCell ref="A19:C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6"/>
  <sheetViews>
    <sheetView showGridLines="0" tabSelected="1" zoomScale="23" zoomScaleNormal="100" workbookViewId="0">
      <pane ySplit="1" topLeftCell="A2" activePane="bottomLeft" state="frozen"/>
      <selection pane="bottomLeft" activeCell="E84" sqref="A1:E216"/>
    </sheetView>
  </sheetViews>
  <sheetFormatPr defaultColWidth="8.6640625" defaultRowHeight="14.4" x14ac:dyDescent="0.3"/>
  <cols>
    <col min="1" max="1" width="23.33203125" bestFit="1" customWidth="1"/>
    <col min="2" max="2" width="28.109375" bestFit="1" customWidth="1"/>
    <col min="3" max="3" width="25.6640625" bestFit="1" customWidth="1"/>
    <col min="4" max="4" width="26.6640625" bestFit="1" customWidth="1"/>
    <col min="5" max="5" width="142.6640625" bestFit="1" customWidth="1"/>
  </cols>
  <sheetData>
    <row r="1" spans="1:5" x14ac:dyDescent="0.3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</row>
    <row r="2" spans="1:5" x14ac:dyDescent="0.3">
      <c r="A2" s="5" t="s">
        <v>36</v>
      </c>
      <c r="B2" s="10" t="s">
        <v>37</v>
      </c>
      <c r="C2" s="11" t="s">
        <v>38</v>
      </c>
      <c r="D2" s="12" t="s">
        <v>39</v>
      </c>
      <c r="E2" s="13" t="s">
        <v>40</v>
      </c>
    </row>
    <row r="3" spans="1:5" x14ac:dyDescent="0.3">
      <c r="A3" s="5" t="s">
        <v>41</v>
      </c>
      <c r="B3" s="10" t="s">
        <v>37</v>
      </c>
      <c r="C3" s="11" t="s">
        <v>38</v>
      </c>
      <c r="D3" s="12" t="s">
        <v>39</v>
      </c>
      <c r="E3" s="13" t="s">
        <v>42</v>
      </c>
    </row>
    <row r="4" spans="1:5" x14ac:dyDescent="0.3">
      <c r="A4" s="5" t="s">
        <v>43</v>
      </c>
      <c r="B4" s="10" t="s">
        <v>37</v>
      </c>
      <c r="C4" s="11" t="s">
        <v>38</v>
      </c>
      <c r="D4" s="12" t="s">
        <v>39</v>
      </c>
      <c r="E4" s="13" t="s">
        <v>44</v>
      </c>
    </row>
    <row r="5" spans="1:5" x14ac:dyDescent="0.3">
      <c r="A5" s="5" t="s">
        <v>45</v>
      </c>
      <c r="B5" s="10" t="s">
        <v>37</v>
      </c>
      <c r="C5" s="11" t="s">
        <v>38</v>
      </c>
      <c r="D5" s="12" t="s">
        <v>39</v>
      </c>
      <c r="E5" s="13" t="s">
        <v>46</v>
      </c>
    </row>
    <row r="6" spans="1:5" x14ac:dyDescent="0.3">
      <c r="A6" s="5" t="s">
        <v>47</v>
      </c>
      <c r="B6" s="10" t="s">
        <v>37</v>
      </c>
      <c r="C6" s="11" t="s">
        <v>38</v>
      </c>
      <c r="D6" s="12" t="s">
        <v>39</v>
      </c>
      <c r="E6" s="13" t="s">
        <v>48</v>
      </c>
    </row>
    <row r="7" spans="1:5" x14ac:dyDescent="0.3">
      <c r="A7" s="5" t="s">
        <v>49</v>
      </c>
      <c r="B7" s="10" t="s">
        <v>37</v>
      </c>
      <c r="C7" s="11" t="s">
        <v>38</v>
      </c>
      <c r="D7" s="12" t="s">
        <v>39</v>
      </c>
      <c r="E7" s="13" t="s">
        <v>50</v>
      </c>
    </row>
    <row r="8" spans="1:5" x14ac:dyDescent="0.3">
      <c r="A8" s="5" t="s">
        <v>51</v>
      </c>
      <c r="B8" s="10" t="s">
        <v>37</v>
      </c>
      <c r="C8" s="11" t="s">
        <v>38</v>
      </c>
      <c r="D8" s="12" t="s">
        <v>39</v>
      </c>
      <c r="E8" s="13" t="s">
        <v>52</v>
      </c>
    </row>
    <row r="9" spans="1:5" x14ac:dyDescent="0.3">
      <c r="A9" s="5" t="s">
        <v>53</v>
      </c>
      <c r="B9" s="10" t="s">
        <v>37</v>
      </c>
      <c r="C9" s="11" t="s">
        <v>54</v>
      </c>
      <c r="D9" s="12" t="s">
        <v>39</v>
      </c>
      <c r="E9" s="13" t="s">
        <v>55</v>
      </c>
    </row>
    <row r="10" spans="1:5" x14ac:dyDescent="0.3">
      <c r="A10" s="5" t="s">
        <v>56</v>
      </c>
      <c r="B10" s="10" t="s">
        <v>37</v>
      </c>
      <c r="C10" s="11" t="s">
        <v>38</v>
      </c>
      <c r="D10" s="12" t="s">
        <v>39</v>
      </c>
      <c r="E10" s="13" t="s">
        <v>57</v>
      </c>
    </row>
    <row r="11" spans="1:5" x14ac:dyDescent="0.3">
      <c r="A11" s="5" t="s">
        <v>58</v>
      </c>
      <c r="B11" s="10" t="s">
        <v>37</v>
      </c>
      <c r="C11" s="11" t="s">
        <v>38</v>
      </c>
      <c r="D11" s="12" t="s">
        <v>39</v>
      </c>
      <c r="E11" s="13" t="s">
        <v>59</v>
      </c>
    </row>
    <row r="12" spans="1:5" x14ac:dyDescent="0.3">
      <c r="A12" s="5" t="s">
        <v>60</v>
      </c>
      <c r="B12" s="10" t="s">
        <v>37</v>
      </c>
      <c r="C12" s="11" t="s">
        <v>38</v>
      </c>
      <c r="D12" s="12" t="s">
        <v>39</v>
      </c>
      <c r="E12" s="13" t="s">
        <v>61</v>
      </c>
    </row>
    <row r="13" spans="1:5" x14ac:dyDescent="0.3">
      <c r="A13" s="5" t="s">
        <v>62</v>
      </c>
      <c r="B13" s="10" t="s">
        <v>37</v>
      </c>
      <c r="C13" s="11" t="s">
        <v>54</v>
      </c>
      <c r="D13" s="12" t="s">
        <v>39</v>
      </c>
      <c r="E13" s="13" t="s">
        <v>63</v>
      </c>
    </row>
    <row r="14" spans="1:5" x14ac:dyDescent="0.3">
      <c r="A14" s="5" t="s">
        <v>64</v>
      </c>
      <c r="B14" s="10" t="s">
        <v>37</v>
      </c>
      <c r="C14" s="11" t="s">
        <v>38</v>
      </c>
      <c r="D14" s="12" t="s">
        <v>39</v>
      </c>
      <c r="E14" s="13" t="s">
        <v>65</v>
      </c>
    </row>
    <row r="15" spans="1:5" x14ac:dyDescent="0.3">
      <c r="A15" s="5" t="s">
        <v>66</v>
      </c>
      <c r="B15" s="10" t="s">
        <v>37</v>
      </c>
      <c r="C15" s="11" t="s">
        <v>54</v>
      </c>
      <c r="D15" s="12" t="s">
        <v>39</v>
      </c>
      <c r="E15" s="13" t="s">
        <v>67</v>
      </c>
    </row>
    <row r="16" spans="1:5" x14ac:dyDescent="0.3">
      <c r="A16" s="5" t="s">
        <v>68</v>
      </c>
      <c r="B16" s="10" t="s">
        <v>37</v>
      </c>
      <c r="C16" s="11" t="s">
        <v>69</v>
      </c>
      <c r="D16" s="12" t="s">
        <v>39</v>
      </c>
      <c r="E16" s="13" t="s">
        <v>70</v>
      </c>
    </row>
    <row r="17" spans="1:5" x14ac:dyDescent="0.3">
      <c r="A17" s="5" t="s">
        <v>71</v>
      </c>
      <c r="B17" s="10" t="s">
        <v>37</v>
      </c>
      <c r="C17" s="11" t="s">
        <v>38</v>
      </c>
      <c r="D17" s="12" t="s">
        <v>39</v>
      </c>
      <c r="E17" s="13" t="s">
        <v>72</v>
      </c>
    </row>
    <row r="18" spans="1:5" x14ac:dyDescent="0.3">
      <c r="A18" s="5" t="s">
        <v>73</v>
      </c>
      <c r="B18" s="10" t="s">
        <v>37</v>
      </c>
      <c r="C18" s="11" t="s">
        <v>74</v>
      </c>
      <c r="D18" s="12" t="s">
        <v>39</v>
      </c>
      <c r="E18" s="13" t="s">
        <v>75</v>
      </c>
    </row>
    <row r="19" spans="1:5" x14ac:dyDescent="0.3">
      <c r="A19" s="5" t="s">
        <v>76</v>
      </c>
      <c r="B19" s="10" t="s">
        <v>37</v>
      </c>
      <c r="C19" s="11" t="s">
        <v>54</v>
      </c>
      <c r="D19" s="12" t="s">
        <v>39</v>
      </c>
      <c r="E19" s="13" t="s">
        <v>77</v>
      </c>
    </row>
    <row r="20" spans="1:5" x14ac:dyDescent="0.3">
      <c r="A20" s="5" t="s">
        <v>78</v>
      </c>
      <c r="B20" s="10" t="s">
        <v>37</v>
      </c>
      <c r="C20" s="11" t="s">
        <v>38</v>
      </c>
      <c r="D20" s="12" t="s">
        <v>39</v>
      </c>
      <c r="E20" s="13" t="s">
        <v>79</v>
      </c>
    </row>
    <row r="21" spans="1:5" x14ac:dyDescent="0.3">
      <c r="A21" s="5" t="s">
        <v>80</v>
      </c>
      <c r="B21" s="10" t="s">
        <v>37</v>
      </c>
      <c r="C21" s="11" t="s">
        <v>54</v>
      </c>
      <c r="D21" s="12" t="s">
        <v>39</v>
      </c>
      <c r="E21" s="13" t="s">
        <v>81</v>
      </c>
    </row>
    <row r="22" spans="1:5" x14ac:dyDescent="0.3">
      <c r="A22" s="5" t="s">
        <v>82</v>
      </c>
      <c r="B22" s="10" t="s">
        <v>37</v>
      </c>
      <c r="C22" s="11" t="s">
        <v>38</v>
      </c>
      <c r="D22" s="12" t="s">
        <v>39</v>
      </c>
      <c r="E22" s="13" t="s">
        <v>83</v>
      </c>
    </row>
    <row r="23" spans="1:5" x14ac:dyDescent="0.3">
      <c r="A23" s="5" t="s">
        <v>84</v>
      </c>
      <c r="B23" s="10" t="s">
        <v>37</v>
      </c>
      <c r="C23" s="11" t="s">
        <v>38</v>
      </c>
      <c r="D23" s="12" t="s">
        <v>39</v>
      </c>
      <c r="E23" s="13" t="s">
        <v>85</v>
      </c>
    </row>
    <row r="24" spans="1:5" x14ac:dyDescent="0.3">
      <c r="A24" s="5" t="s">
        <v>86</v>
      </c>
      <c r="B24" s="10" t="s">
        <v>37</v>
      </c>
      <c r="C24" s="11" t="s">
        <v>38</v>
      </c>
      <c r="D24" s="12" t="s">
        <v>39</v>
      </c>
      <c r="E24" s="13" t="s">
        <v>87</v>
      </c>
    </row>
    <row r="25" spans="1:5" x14ac:dyDescent="0.3">
      <c r="A25" s="5" t="s">
        <v>88</v>
      </c>
      <c r="B25" s="10" t="s">
        <v>37</v>
      </c>
      <c r="C25" s="11" t="s">
        <v>38</v>
      </c>
      <c r="D25" s="12" t="s">
        <v>39</v>
      </c>
      <c r="E25" s="13" t="s">
        <v>89</v>
      </c>
    </row>
    <row r="26" spans="1:5" x14ac:dyDescent="0.3">
      <c r="A26" s="5" t="s">
        <v>90</v>
      </c>
      <c r="B26" s="10" t="s">
        <v>37</v>
      </c>
      <c r="C26" s="11" t="s">
        <v>69</v>
      </c>
      <c r="D26" s="12" t="s">
        <v>39</v>
      </c>
      <c r="E26" s="13" t="s">
        <v>91</v>
      </c>
    </row>
    <row r="27" spans="1:5" x14ac:dyDescent="0.3">
      <c r="A27" s="5" t="s">
        <v>92</v>
      </c>
      <c r="B27" s="10" t="s">
        <v>37</v>
      </c>
      <c r="C27" s="11" t="s">
        <v>38</v>
      </c>
      <c r="D27" s="12" t="s">
        <v>39</v>
      </c>
      <c r="E27" s="13" t="s">
        <v>93</v>
      </c>
    </row>
    <row r="28" spans="1:5" x14ac:dyDescent="0.3">
      <c r="A28" s="5" t="s">
        <v>94</v>
      </c>
      <c r="B28" s="10" t="s">
        <v>37</v>
      </c>
      <c r="C28" s="11" t="s">
        <v>38</v>
      </c>
      <c r="D28" s="12" t="s">
        <v>39</v>
      </c>
      <c r="E28" s="13" t="s">
        <v>95</v>
      </c>
    </row>
    <row r="29" spans="1:5" x14ac:dyDescent="0.3">
      <c r="A29" s="5" t="s">
        <v>96</v>
      </c>
      <c r="B29" s="10" t="s">
        <v>37</v>
      </c>
      <c r="C29" s="11" t="s">
        <v>38</v>
      </c>
      <c r="D29" s="12" t="s">
        <v>39</v>
      </c>
      <c r="E29" s="13" t="s">
        <v>97</v>
      </c>
    </row>
    <row r="30" spans="1:5" x14ac:dyDescent="0.3">
      <c r="A30" s="5" t="s">
        <v>98</v>
      </c>
      <c r="B30" s="10" t="s">
        <v>37</v>
      </c>
      <c r="C30" s="11" t="s">
        <v>54</v>
      </c>
      <c r="D30" s="12" t="s">
        <v>39</v>
      </c>
      <c r="E30" s="13" t="s">
        <v>99</v>
      </c>
    </row>
    <row r="31" spans="1:5" x14ac:dyDescent="0.3">
      <c r="A31" s="5" t="s">
        <v>100</v>
      </c>
      <c r="B31" s="10" t="s">
        <v>37</v>
      </c>
      <c r="C31" s="11" t="s">
        <v>38</v>
      </c>
      <c r="D31" s="12" t="s">
        <v>39</v>
      </c>
      <c r="E31" s="13" t="s">
        <v>101</v>
      </c>
    </row>
    <row r="32" spans="1:5" x14ac:dyDescent="0.3">
      <c r="A32" s="5" t="s">
        <v>102</v>
      </c>
      <c r="B32" s="10" t="s">
        <v>37</v>
      </c>
      <c r="C32" s="11" t="s">
        <v>38</v>
      </c>
      <c r="D32" s="12" t="s">
        <v>39</v>
      </c>
      <c r="E32" s="13" t="s">
        <v>103</v>
      </c>
    </row>
    <row r="33" spans="1:5" x14ac:dyDescent="0.3">
      <c r="A33" s="5" t="s">
        <v>104</v>
      </c>
      <c r="B33" s="10" t="s">
        <v>37</v>
      </c>
      <c r="C33" s="11" t="s">
        <v>38</v>
      </c>
      <c r="D33" s="12" t="s">
        <v>39</v>
      </c>
      <c r="E33" s="13" t="s">
        <v>105</v>
      </c>
    </row>
    <row r="34" spans="1:5" x14ac:dyDescent="0.3">
      <c r="A34" s="5" t="s">
        <v>106</v>
      </c>
      <c r="B34" s="10" t="s">
        <v>37</v>
      </c>
      <c r="C34" s="11" t="s">
        <v>69</v>
      </c>
      <c r="D34" s="12" t="s">
        <v>39</v>
      </c>
      <c r="E34" s="13" t="s">
        <v>107</v>
      </c>
    </row>
    <row r="35" spans="1:5" x14ac:dyDescent="0.3">
      <c r="A35" s="5" t="s">
        <v>108</v>
      </c>
      <c r="B35" s="10" t="s">
        <v>37</v>
      </c>
      <c r="C35" s="11" t="s">
        <v>69</v>
      </c>
      <c r="D35" s="12" t="s">
        <v>39</v>
      </c>
      <c r="E35" s="13" t="s">
        <v>109</v>
      </c>
    </row>
    <row r="36" spans="1:5" x14ac:dyDescent="0.3">
      <c r="A36" s="5" t="s">
        <v>110</v>
      </c>
      <c r="B36" s="10" t="s">
        <v>37</v>
      </c>
      <c r="C36" s="11" t="s">
        <v>69</v>
      </c>
      <c r="D36" s="12" t="s">
        <v>39</v>
      </c>
      <c r="E36" s="13" t="s">
        <v>111</v>
      </c>
    </row>
    <row r="37" spans="1:5" x14ac:dyDescent="0.3">
      <c r="A37" s="5" t="s">
        <v>112</v>
      </c>
      <c r="B37" s="10" t="s">
        <v>37</v>
      </c>
      <c r="C37" s="11" t="s">
        <v>69</v>
      </c>
      <c r="D37" s="12" t="s">
        <v>39</v>
      </c>
      <c r="E37" s="13" t="s">
        <v>113</v>
      </c>
    </row>
    <row r="38" spans="1:5" x14ac:dyDescent="0.3">
      <c r="A38" s="5" t="s">
        <v>114</v>
      </c>
      <c r="B38" s="10" t="s">
        <v>37</v>
      </c>
      <c r="C38" s="11" t="s">
        <v>69</v>
      </c>
      <c r="D38" s="12" t="s">
        <v>39</v>
      </c>
      <c r="E38" s="13" t="s">
        <v>115</v>
      </c>
    </row>
    <row r="39" spans="1:5" x14ac:dyDescent="0.3">
      <c r="A39" s="5" t="s">
        <v>116</v>
      </c>
      <c r="B39" s="10" t="s">
        <v>37</v>
      </c>
      <c r="C39" s="11" t="s">
        <v>69</v>
      </c>
      <c r="D39" s="12" t="s">
        <v>39</v>
      </c>
      <c r="E39" s="13" t="s">
        <v>117</v>
      </c>
    </row>
    <row r="40" spans="1:5" x14ac:dyDescent="0.3">
      <c r="A40" s="5" t="s">
        <v>118</v>
      </c>
      <c r="B40" s="10" t="s">
        <v>37</v>
      </c>
      <c r="C40" s="11" t="s">
        <v>74</v>
      </c>
      <c r="D40" s="12" t="s">
        <v>39</v>
      </c>
      <c r="E40" s="13" t="s">
        <v>119</v>
      </c>
    </row>
    <row r="41" spans="1:5" x14ac:dyDescent="0.3">
      <c r="A41" s="5" t="s">
        <v>120</v>
      </c>
      <c r="B41" s="10" t="s">
        <v>37</v>
      </c>
      <c r="C41" s="11" t="s">
        <v>69</v>
      </c>
      <c r="D41" s="12" t="s">
        <v>39</v>
      </c>
      <c r="E41" s="13" t="s">
        <v>121</v>
      </c>
    </row>
    <row r="42" spans="1:5" x14ac:dyDescent="0.3">
      <c r="A42" s="5" t="s">
        <v>122</v>
      </c>
      <c r="B42" s="10" t="s">
        <v>37</v>
      </c>
      <c r="C42" s="11" t="s">
        <v>38</v>
      </c>
      <c r="D42" s="12" t="s">
        <v>39</v>
      </c>
      <c r="E42" s="13" t="s">
        <v>123</v>
      </c>
    </row>
    <row r="43" spans="1:5" x14ac:dyDescent="0.3">
      <c r="A43" s="5" t="s">
        <v>124</v>
      </c>
      <c r="B43" s="10" t="s">
        <v>37</v>
      </c>
      <c r="C43" s="11" t="s">
        <v>69</v>
      </c>
      <c r="D43" s="12" t="s">
        <v>39</v>
      </c>
      <c r="E43" s="13" t="s">
        <v>125</v>
      </c>
    </row>
    <row r="44" spans="1:5" x14ac:dyDescent="0.3">
      <c r="A44" s="5" t="s">
        <v>126</v>
      </c>
      <c r="B44" s="10" t="s">
        <v>127</v>
      </c>
      <c r="C44" s="11" t="s">
        <v>38</v>
      </c>
      <c r="D44" s="12" t="s">
        <v>39</v>
      </c>
      <c r="E44" s="13" t="s">
        <v>128</v>
      </c>
    </row>
    <row r="45" spans="1:5" x14ac:dyDescent="0.3">
      <c r="A45" s="5" t="s">
        <v>129</v>
      </c>
      <c r="B45" s="10" t="s">
        <v>37</v>
      </c>
      <c r="C45" s="11" t="s">
        <v>130</v>
      </c>
      <c r="D45" s="12" t="s">
        <v>39</v>
      </c>
      <c r="E45" s="13" t="s">
        <v>131</v>
      </c>
    </row>
    <row r="46" spans="1:5" x14ac:dyDescent="0.3">
      <c r="A46" s="5" t="s">
        <v>132</v>
      </c>
      <c r="B46" s="10" t="s">
        <v>37</v>
      </c>
      <c r="C46" s="11" t="s">
        <v>130</v>
      </c>
      <c r="D46" s="12" t="s">
        <v>39</v>
      </c>
      <c r="E46" s="13" t="s">
        <v>133</v>
      </c>
    </row>
    <row r="47" spans="1:5" x14ac:dyDescent="0.3">
      <c r="A47" s="5" t="s">
        <v>134</v>
      </c>
      <c r="B47" s="10" t="s">
        <v>37</v>
      </c>
      <c r="C47" s="11" t="s">
        <v>130</v>
      </c>
      <c r="D47" s="12" t="s">
        <v>39</v>
      </c>
      <c r="E47" s="13" t="s">
        <v>135</v>
      </c>
    </row>
    <row r="48" spans="1:5" x14ac:dyDescent="0.3">
      <c r="A48" s="5" t="s">
        <v>136</v>
      </c>
      <c r="B48" s="10" t="s">
        <v>37</v>
      </c>
      <c r="C48" s="11" t="s">
        <v>130</v>
      </c>
      <c r="D48" s="12" t="s">
        <v>39</v>
      </c>
      <c r="E48" s="13" t="s">
        <v>137</v>
      </c>
    </row>
    <row r="49" spans="1:5" x14ac:dyDescent="0.3">
      <c r="A49" s="5" t="s">
        <v>138</v>
      </c>
      <c r="B49" s="10" t="s">
        <v>37</v>
      </c>
      <c r="C49" s="11" t="s">
        <v>130</v>
      </c>
      <c r="D49" s="12" t="s">
        <v>39</v>
      </c>
      <c r="E49" s="13" t="s">
        <v>139</v>
      </c>
    </row>
    <row r="50" spans="1:5" x14ac:dyDescent="0.3">
      <c r="A50" s="5" t="s">
        <v>140</v>
      </c>
      <c r="B50" s="10" t="s">
        <v>37</v>
      </c>
      <c r="C50" s="11" t="s">
        <v>130</v>
      </c>
      <c r="D50" s="12" t="s">
        <v>39</v>
      </c>
      <c r="E50" s="13" t="s">
        <v>141</v>
      </c>
    </row>
    <row r="51" spans="1:5" x14ac:dyDescent="0.3">
      <c r="A51" s="5" t="s">
        <v>142</v>
      </c>
      <c r="B51" s="10" t="s">
        <v>37</v>
      </c>
      <c r="C51" s="11" t="s">
        <v>130</v>
      </c>
      <c r="D51" s="12" t="s">
        <v>39</v>
      </c>
      <c r="E51" s="13" t="s">
        <v>143</v>
      </c>
    </row>
    <row r="52" spans="1:5" x14ac:dyDescent="0.3">
      <c r="A52" s="5" t="s">
        <v>144</v>
      </c>
      <c r="B52" s="10" t="s">
        <v>37</v>
      </c>
      <c r="C52" s="11" t="s">
        <v>130</v>
      </c>
      <c r="D52" s="12" t="s">
        <v>39</v>
      </c>
      <c r="E52" s="13" t="s">
        <v>145</v>
      </c>
    </row>
    <row r="53" spans="1:5" x14ac:dyDescent="0.3">
      <c r="A53" s="5" t="s">
        <v>146</v>
      </c>
      <c r="B53" s="10" t="s">
        <v>37</v>
      </c>
      <c r="C53" s="11" t="s">
        <v>130</v>
      </c>
      <c r="D53" s="12" t="s">
        <v>39</v>
      </c>
      <c r="E53" s="13" t="s">
        <v>147</v>
      </c>
    </row>
    <row r="54" spans="1:5" x14ac:dyDescent="0.3">
      <c r="A54" s="5" t="s">
        <v>148</v>
      </c>
      <c r="B54" s="10" t="s">
        <v>37</v>
      </c>
      <c r="C54" s="11" t="s">
        <v>130</v>
      </c>
      <c r="D54" s="12" t="s">
        <v>39</v>
      </c>
      <c r="E54" s="13" t="s">
        <v>149</v>
      </c>
    </row>
    <row r="55" spans="1:5" x14ac:dyDescent="0.3">
      <c r="A55" s="5" t="s">
        <v>150</v>
      </c>
      <c r="B55" s="10" t="s">
        <v>37</v>
      </c>
      <c r="C55" s="11" t="s">
        <v>130</v>
      </c>
      <c r="D55" s="12" t="s">
        <v>39</v>
      </c>
      <c r="E55" s="13" t="s">
        <v>151</v>
      </c>
    </row>
    <row r="56" spans="1:5" x14ac:dyDescent="0.3">
      <c r="A56" s="5" t="s">
        <v>152</v>
      </c>
      <c r="B56" s="10" t="s">
        <v>37</v>
      </c>
      <c r="C56" s="11" t="s">
        <v>130</v>
      </c>
      <c r="D56" s="12" t="s">
        <v>39</v>
      </c>
      <c r="E56" s="13" t="s">
        <v>153</v>
      </c>
    </row>
    <row r="57" spans="1:5" x14ac:dyDescent="0.3">
      <c r="A57" s="5" t="s">
        <v>154</v>
      </c>
      <c r="B57" s="10" t="s">
        <v>37</v>
      </c>
      <c r="C57" s="11" t="s">
        <v>130</v>
      </c>
      <c r="D57" s="12" t="s">
        <v>39</v>
      </c>
      <c r="E57" s="13" t="s">
        <v>155</v>
      </c>
    </row>
    <row r="58" spans="1:5" x14ac:dyDescent="0.3">
      <c r="A58" s="5" t="s">
        <v>156</v>
      </c>
      <c r="B58" s="10" t="s">
        <v>157</v>
      </c>
      <c r="C58" s="11" t="s">
        <v>38</v>
      </c>
      <c r="D58" s="12" t="s">
        <v>39</v>
      </c>
      <c r="E58" s="13" t="s">
        <v>158</v>
      </c>
    </row>
    <row r="59" spans="1:5" x14ac:dyDescent="0.3">
      <c r="A59" s="5" t="s">
        <v>159</v>
      </c>
      <c r="B59" s="10" t="s">
        <v>157</v>
      </c>
      <c r="C59" s="11" t="s">
        <v>38</v>
      </c>
      <c r="D59" s="12" t="s">
        <v>39</v>
      </c>
      <c r="E59" s="13" t="s">
        <v>160</v>
      </c>
    </row>
    <row r="60" spans="1:5" x14ac:dyDescent="0.3">
      <c r="A60" s="5" t="s">
        <v>161</v>
      </c>
      <c r="B60" s="10" t="s">
        <v>157</v>
      </c>
      <c r="C60" s="11" t="s">
        <v>38</v>
      </c>
      <c r="D60" s="12" t="s">
        <v>39</v>
      </c>
      <c r="E60" s="13" t="s">
        <v>162</v>
      </c>
    </row>
    <row r="61" spans="1:5" x14ac:dyDescent="0.3">
      <c r="A61" s="5" t="s">
        <v>163</v>
      </c>
      <c r="B61" s="10" t="s">
        <v>157</v>
      </c>
      <c r="C61" s="11" t="s">
        <v>38</v>
      </c>
      <c r="D61" s="12" t="s">
        <v>39</v>
      </c>
      <c r="E61" s="13" t="s">
        <v>164</v>
      </c>
    </row>
    <row r="62" spans="1:5" x14ac:dyDescent="0.3">
      <c r="A62" s="5" t="s">
        <v>165</v>
      </c>
      <c r="B62" s="10" t="s">
        <v>157</v>
      </c>
      <c r="C62" s="11" t="s">
        <v>38</v>
      </c>
      <c r="D62" s="12" t="s">
        <v>39</v>
      </c>
      <c r="E62" s="13" t="s">
        <v>166</v>
      </c>
    </row>
    <row r="63" spans="1:5" x14ac:dyDescent="0.3">
      <c r="A63" s="5" t="s">
        <v>167</v>
      </c>
      <c r="B63" s="10" t="s">
        <v>157</v>
      </c>
      <c r="C63" s="11" t="s">
        <v>38</v>
      </c>
      <c r="D63" s="12" t="s">
        <v>39</v>
      </c>
      <c r="E63" s="13" t="s">
        <v>168</v>
      </c>
    </row>
    <row r="64" spans="1:5" x14ac:dyDescent="0.3">
      <c r="A64" s="5" t="s">
        <v>169</v>
      </c>
      <c r="B64" s="10" t="s">
        <v>157</v>
      </c>
      <c r="C64" s="11" t="s">
        <v>69</v>
      </c>
      <c r="D64" s="12" t="s">
        <v>39</v>
      </c>
      <c r="E64" s="13" t="s">
        <v>170</v>
      </c>
    </row>
    <row r="65" spans="1:5" x14ac:dyDescent="0.3">
      <c r="A65" s="5" t="s">
        <v>171</v>
      </c>
      <c r="B65" s="10" t="s">
        <v>157</v>
      </c>
      <c r="C65" s="11" t="s">
        <v>69</v>
      </c>
      <c r="D65" s="12" t="s">
        <v>39</v>
      </c>
      <c r="E65" s="13" t="s">
        <v>172</v>
      </c>
    </row>
    <row r="66" spans="1:5" x14ac:dyDescent="0.3">
      <c r="A66" s="5" t="s">
        <v>173</v>
      </c>
      <c r="B66" s="10" t="s">
        <v>174</v>
      </c>
      <c r="C66" s="11" t="s">
        <v>69</v>
      </c>
      <c r="D66" s="12" t="s">
        <v>39</v>
      </c>
      <c r="E66" s="13" t="s">
        <v>175</v>
      </c>
    </row>
    <row r="67" spans="1:5" x14ac:dyDescent="0.3">
      <c r="A67" s="5" t="s">
        <v>176</v>
      </c>
      <c r="B67" s="10" t="s">
        <v>174</v>
      </c>
      <c r="C67" s="11" t="s">
        <v>74</v>
      </c>
      <c r="D67" s="12" t="s">
        <v>39</v>
      </c>
      <c r="E67" s="13" t="s">
        <v>177</v>
      </c>
    </row>
    <row r="68" spans="1:5" x14ac:dyDescent="0.3">
      <c r="A68" s="5" t="s">
        <v>178</v>
      </c>
      <c r="B68" s="10" t="s">
        <v>174</v>
      </c>
      <c r="C68" s="11" t="s">
        <v>69</v>
      </c>
      <c r="D68" s="12" t="s">
        <v>39</v>
      </c>
      <c r="E68" s="13" t="s">
        <v>179</v>
      </c>
    </row>
    <row r="69" spans="1:5" x14ac:dyDescent="0.3">
      <c r="A69" s="5" t="s">
        <v>180</v>
      </c>
      <c r="B69" s="10" t="s">
        <v>174</v>
      </c>
      <c r="C69" s="11" t="s">
        <v>69</v>
      </c>
      <c r="D69" s="12" t="s">
        <v>39</v>
      </c>
      <c r="E69" s="13" t="s">
        <v>181</v>
      </c>
    </row>
    <row r="70" spans="1:5" x14ac:dyDescent="0.3">
      <c r="A70" s="5" t="s">
        <v>182</v>
      </c>
      <c r="B70" s="10" t="s">
        <v>174</v>
      </c>
      <c r="C70" s="11" t="s">
        <v>69</v>
      </c>
      <c r="D70" s="12" t="s">
        <v>39</v>
      </c>
      <c r="E70" s="13" t="s">
        <v>183</v>
      </c>
    </row>
    <row r="71" spans="1:5" x14ac:dyDescent="0.3">
      <c r="A71" s="5" t="s">
        <v>184</v>
      </c>
      <c r="B71" s="10" t="s">
        <v>174</v>
      </c>
      <c r="C71" s="11" t="s">
        <v>74</v>
      </c>
      <c r="D71" s="12" t="s">
        <v>39</v>
      </c>
      <c r="E71" s="13" t="s">
        <v>185</v>
      </c>
    </row>
    <row r="72" spans="1:5" x14ac:dyDescent="0.3">
      <c r="A72" s="5" t="s">
        <v>186</v>
      </c>
      <c r="B72" s="10" t="s">
        <v>174</v>
      </c>
      <c r="C72" s="11" t="s">
        <v>69</v>
      </c>
      <c r="D72" s="12" t="s">
        <v>39</v>
      </c>
      <c r="E72" s="13" t="s">
        <v>187</v>
      </c>
    </row>
    <row r="73" spans="1:5" x14ac:dyDescent="0.3">
      <c r="A73" s="5" t="s">
        <v>188</v>
      </c>
      <c r="B73" s="10" t="s">
        <v>174</v>
      </c>
      <c r="C73" s="11" t="s">
        <v>69</v>
      </c>
      <c r="D73" s="12" t="s">
        <v>39</v>
      </c>
      <c r="E73" s="13" t="s">
        <v>189</v>
      </c>
    </row>
    <row r="74" spans="1:5" x14ac:dyDescent="0.3">
      <c r="A74" s="5" t="s">
        <v>190</v>
      </c>
      <c r="B74" s="10" t="s">
        <v>174</v>
      </c>
      <c r="C74" s="11" t="s">
        <v>130</v>
      </c>
      <c r="D74" s="12" t="s">
        <v>39</v>
      </c>
      <c r="E74" s="13" t="s">
        <v>191</v>
      </c>
    </row>
    <row r="75" spans="1:5" x14ac:dyDescent="0.3">
      <c r="A75" s="5" t="s">
        <v>192</v>
      </c>
      <c r="B75" s="10" t="s">
        <v>193</v>
      </c>
      <c r="C75" s="11" t="s">
        <v>69</v>
      </c>
      <c r="D75" s="14" t="s">
        <v>194</v>
      </c>
      <c r="E75" s="13" t="s">
        <v>195</v>
      </c>
    </row>
    <row r="76" spans="1:5" x14ac:dyDescent="0.3">
      <c r="A76" s="5" t="s">
        <v>196</v>
      </c>
      <c r="B76" s="10" t="s">
        <v>174</v>
      </c>
      <c r="C76" s="11" t="s">
        <v>74</v>
      </c>
      <c r="D76" s="15" t="s">
        <v>197</v>
      </c>
      <c r="E76" s="13" t="s">
        <v>198</v>
      </c>
    </row>
    <row r="77" spans="1:5" x14ac:dyDescent="0.3">
      <c r="A77" s="5" t="s">
        <v>199</v>
      </c>
      <c r="B77" s="10" t="s">
        <v>174</v>
      </c>
      <c r="C77" s="11" t="s">
        <v>69</v>
      </c>
      <c r="D77" s="15" t="s">
        <v>197</v>
      </c>
      <c r="E77" s="13" t="s">
        <v>200</v>
      </c>
    </row>
    <row r="78" spans="1:5" x14ac:dyDescent="0.3">
      <c r="A78" s="5" t="s">
        <v>201</v>
      </c>
      <c r="B78" s="10" t="s">
        <v>193</v>
      </c>
      <c r="C78" s="11" t="s">
        <v>69</v>
      </c>
      <c r="D78" s="15" t="s">
        <v>197</v>
      </c>
      <c r="E78" s="13" t="s">
        <v>202</v>
      </c>
    </row>
    <row r="79" spans="1:5" x14ac:dyDescent="0.3">
      <c r="A79" s="5" t="s">
        <v>203</v>
      </c>
      <c r="B79" s="10" t="s">
        <v>193</v>
      </c>
      <c r="C79" s="11" t="s">
        <v>69</v>
      </c>
      <c r="D79" s="12" t="s">
        <v>39</v>
      </c>
      <c r="E79" s="13" t="s">
        <v>204</v>
      </c>
    </row>
    <row r="80" spans="1:5" x14ac:dyDescent="0.3">
      <c r="A80" s="5" t="s">
        <v>205</v>
      </c>
      <c r="B80" s="10" t="s">
        <v>193</v>
      </c>
      <c r="C80" s="11" t="s">
        <v>130</v>
      </c>
      <c r="D80" s="12" t="s">
        <v>39</v>
      </c>
      <c r="E80" s="13" t="s">
        <v>206</v>
      </c>
    </row>
    <row r="81" spans="1:5" x14ac:dyDescent="0.3">
      <c r="A81" s="5" t="s">
        <v>207</v>
      </c>
      <c r="B81" s="10" t="s">
        <v>193</v>
      </c>
      <c r="C81" s="11" t="s">
        <v>69</v>
      </c>
      <c r="D81" s="12" t="s">
        <v>39</v>
      </c>
      <c r="E81" s="13" t="s">
        <v>208</v>
      </c>
    </row>
    <row r="82" spans="1:5" x14ac:dyDescent="0.3">
      <c r="A82" s="5" t="s">
        <v>209</v>
      </c>
      <c r="B82" s="10" t="s">
        <v>193</v>
      </c>
      <c r="C82" s="11" t="s">
        <v>54</v>
      </c>
      <c r="D82" s="12" t="s">
        <v>39</v>
      </c>
      <c r="E82" s="13" t="s">
        <v>210</v>
      </c>
    </row>
    <row r="83" spans="1:5" x14ac:dyDescent="0.3">
      <c r="A83" s="5" t="s">
        <v>211</v>
      </c>
      <c r="B83" s="10" t="s">
        <v>212</v>
      </c>
      <c r="C83" s="11" t="s">
        <v>38</v>
      </c>
      <c r="D83" s="12" t="s">
        <v>39</v>
      </c>
      <c r="E83" s="13" t="s">
        <v>213</v>
      </c>
    </row>
    <row r="84" spans="1:5" x14ac:dyDescent="0.3">
      <c r="A84" s="5" t="s">
        <v>214</v>
      </c>
      <c r="B84" s="10" t="s">
        <v>212</v>
      </c>
      <c r="C84" s="11" t="s">
        <v>38</v>
      </c>
      <c r="D84" s="12" t="s">
        <v>39</v>
      </c>
      <c r="E84" s="13" t="s">
        <v>215</v>
      </c>
    </row>
    <row r="85" spans="1:5" x14ac:dyDescent="0.3">
      <c r="A85" s="5" t="s">
        <v>216</v>
      </c>
      <c r="B85" s="10" t="s">
        <v>212</v>
      </c>
      <c r="C85" s="11" t="s">
        <v>38</v>
      </c>
      <c r="D85" s="12" t="s">
        <v>39</v>
      </c>
      <c r="E85" s="13" t="s">
        <v>217</v>
      </c>
    </row>
    <row r="86" spans="1:5" x14ac:dyDescent="0.3">
      <c r="A86" s="5" t="s">
        <v>218</v>
      </c>
      <c r="B86" s="10" t="s">
        <v>212</v>
      </c>
      <c r="C86" s="11" t="s">
        <v>38</v>
      </c>
      <c r="D86" s="12" t="s">
        <v>39</v>
      </c>
      <c r="E86" s="13" t="s">
        <v>219</v>
      </c>
    </row>
    <row r="87" spans="1:5" x14ac:dyDescent="0.3">
      <c r="A87" s="5" t="s">
        <v>220</v>
      </c>
      <c r="B87" s="10" t="s">
        <v>212</v>
      </c>
      <c r="C87" s="11" t="s">
        <v>38</v>
      </c>
      <c r="D87" s="12" t="s">
        <v>39</v>
      </c>
      <c r="E87" s="13" t="s">
        <v>221</v>
      </c>
    </row>
    <row r="88" spans="1:5" x14ac:dyDescent="0.3">
      <c r="A88" s="5" t="s">
        <v>222</v>
      </c>
      <c r="B88" s="10" t="s">
        <v>212</v>
      </c>
      <c r="C88" s="11" t="s">
        <v>38</v>
      </c>
      <c r="D88" s="12" t="s">
        <v>39</v>
      </c>
      <c r="E88" s="13" t="s">
        <v>223</v>
      </c>
    </row>
    <row r="89" spans="1:5" x14ac:dyDescent="0.3">
      <c r="A89" s="5" t="s">
        <v>224</v>
      </c>
      <c r="B89" s="10" t="s">
        <v>212</v>
      </c>
      <c r="C89" s="11" t="s">
        <v>38</v>
      </c>
      <c r="D89" s="12" t="s">
        <v>39</v>
      </c>
      <c r="E89" s="13" t="s">
        <v>225</v>
      </c>
    </row>
    <row r="90" spans="1:5" x14ac:dyDescent="0.3">
      <c r="A90" s="5" t="s">
        <v>226</v>
      </c>
      <c r="B90" s="10" t="s">
        <v>227</v>
      </c>
      <c r="C90" s="11" t="s">
        <v>69</v>
      </c>
      <c r="D90" s="12" t="s">
        <v>39</v>
      </c>
      <c r="E90" s="13" t="s">
        <v>228</v>
      </c>
    </row>
    <row r="91" spans="1:5" x14ac:dyDescent="0.3">
      <c r="A91" s="5" t="s">
        <v>229</v>
      </c>
      <c r="B91" s="10" t="s">
        <v>227</v>
      </c>
      <c r="C91" s="11" t="s">
        <v>74</v>
      </c>
      <c r="D91" s="12" t="s">
        <v>39</v>
      </c>
      <c r="E91" s="13" t="s">
        <v>230</v>
      </c>
    </row>
    <row r="92" spans="1:5" x14ac:dyDescent="0.3">
      <c r="A92" s="5" t="s">
        <v>231</v>
      </c>
      <c r="B92" s="10" t="s">
        <v>232</v>
      </c>
      <c r="C92" s="11" t="s">
        <v>69</v>
      </c>
      <c r="D92" s="12" t="s">
        <v>39</v>
      </c>
      <c r="E92" s="13" t="s">
        <v>233</v>
      </c>
    </row>
    <row r="93" spans="1:5" x14ac:dyDescent="0.3">
      <c r="A93" s="5" t="s">
        <v>234</v>
      </c>
      <c r="B93" s="10" t="s">
        <v>232</v>
      </c>
      <c r="C93" s="11" t="s">
        <v>69</v>
      </c>
      <c r="D93" s="12" t="s">
        <v>39</v>
      </c>
      <c r="E93" s="13" t="s">
        <v>235</v>
      </c>
    </row>
    <row r="94" spans="1:5" x14ac:dyDescent="0.3">
      <c r="A94" s="5" t="s">
        <v>236</v>
      </c>
      <c r="B94" s="10" t="s">
        <v>232</v>
      </c>
      <c r="C94" s="11" t="s">
        <v>69</v>
      </c>
      <c r="D94" s="12" t="s">
        <v>39</v>
      </c>
      <c r="E94" s="13" t="s">
        <v>237</v>
      </c>
    </row>
    <row r="95" spans="1:5" x14ac:dyDescent="0.3">
      <c r="A95" s="5" t="s">
        <v>238</v>
      </c>
      <c r="B95" s="10" t="s">
        <v>232</v>
      </c>
      <c r="C95" s="11" t="s">
        <v>69</v>
      </c>
      <c r="D95" s="12" t="s">
        <v>39</v>
      </c>
      <c r="E95" s="13" t="s">
        <v>239</v>
      </c>
    </row>
    <row r="96" spans="1:5" x14ac:dyDescent="0.3">
      <c r="A96" s="5" t="s">
        <v>240</v>
      </c>
      <c r="B96" s="10" t="s">
        <v>232</v>
      </c>
      <c r="C96" s="11" t="s">
        <v>69</v>
      </c>
      <c r="D96" s="12" t="s">
        <v>39</v>
      </c>
      <c r="E96" s="13" t="s">
        <v>241</v>
      </c>
    </row>
    <row r="97" spans="1:5" x14ac:dyDescent="0.3">
      <c r="A97" s="5" t="s">
        <v>242</v>
      </c>
      <c r="B97" s="10" t="s">
        <v>232</v>
      </c>
      <c r="C97" s="11" t="s">
        <v>69</v>
      </c>
      <c r="D97" s="12" t="s">
        <v>39</v>
      </c>
      <c r="E97" s="13" t="s">
        <v>243</v>
      </c>
    </row>
    <row r="98" spans="1:5" x14ac:dyDescent="0.3">
      <c r="A98" s="5" t="s">
        <v>244</v>
      </c>
      <c r="B98" s="10" t="s">
        <v>232</v>
      </c>
      <c r="C98" s="11" t="s">
        <v>69</v>
      </c>
      <c r="D98" s="12" t="s">
        <v>39</v>
      </c>
      <c r="E98" s="13" t="s">
        <v>245</v>
      </c>
    </row>
    <row r="99" spans="1:5" x14ac:dyDescent="0.3">
      <c r="A99" s="5" t="s">
        <v>246</v>
      </c>
      <c r="B99" s="10" t="s">
        <v>232</v>
      </c>
      <c r="C99" s="11" t="s">
        <v>69</v>
      </c>
      <c r="D99" s="12" t="s">
        <v>39</v>
      </c>
      <c r="E99" s="13" t="s">
        <v>247</v>
      </c>
    </row>
    <row r="100" spans="1:5" x14ac:dyDescent="0.3">
      <c r="A100" s="5" t="s">
        <v>248</v>
      </c>
      <c r="B100" s="10" t="s">
        <v>232</v>
      </c>
      <c r="C100" s="11" t="s">
        <v>69</v>
      </c>
      <c r="D100" s="12" t="s">
        <v>39</v>
      </c>
      <c r="E100" s="13" t="s">
        <v>249</v>
      </c>
    </row>
    <row r="101" spans="1:5" x14ac:dyDescent="0.3">
      <c r="A101" s="5" t="s">
        <v>250</v>
      </c>
      <c r="B101" s="10" t="s">
        <v>251</v>
      </c>
      <c r="C101" s="11" t="s">
        <v>69</v>
      </c>
      <c r="D101" s="12" t="s">
        <v>39</v>
      </c>
      <c r="E101" s="13" t="s">
        <v>252</v>
      </c>
    </row>
    <row r="102" spans="1:5" x14ac:dyDescent="0.3">
      <c r="A102" s="5" t="s">
        <v>253</v>
      </c>
      <c r="B102" s="10" t="s">
        <v>251</v>
      </c>
      <c r="C102" s="11" t="s">
        <v>69</v>
      </c>
      <c r="D102" s="12" t="s">
        <v>39</v>
      </c>
      <c r="E102" s="13" t="s">
        <v>254</v>
      </c>
    </row>
    <row r="103" spans="1:5" x14ac:dyDescent="0.3">
      <c r="A103" s="5" t="s">
        <v>255</v>
      </c>
      <c r="B103" s="10" t="s">
        <v>251</v>
      </c>
      <c r="C103" s="11" t="s">
        <v>69</v>
      </c>
      <c r="D103" s="12" t="s">
        <v>39</v>
      </c>
      <c r="E103" s="13" t="s">
        <v>256</v>
      </c>
    </row>
    <row r="104" spans="1:5" x14ac:dyDescent="0.3">
      <c r="A104" s="5" t="s">
        <v>257</v>
      </c>
      <c r="B104" s="10" t="s">
        <v>251</v>
      </c>
      <c r="C104" s="11" t="s">
        <v>69</v>
      </c>
      <c r="D104" s="12" t="s">
        <v>39</v>
      </c>
      <c r="E104" s="13" t="s">
        <v>258</v>
      </c>
    </row>
    <row r="105" spans="1:5" x14ac:dyDescent="0.3">
      <c r="A105" s="5" t="s">
        <v>259</v>
      </c>
      <c r="B105" s="10" t="s">
        <v>251</v>
      </c>
      <c r="C105" s="11" t="s">
        <v>69</v>
      </c>
      <c r="D105" s="12" t="s">
        <v>39</v>
      </c>
      <c r="E105" s="13" t="s">
        <v>260</v>
      </c>
    </row>
    <row r="106" spans="1:5" x14ac:dyDescent="0.3">
      <c r="A106" s="5" t="s">
        <v>261</v>
      </c>
      <c r="B106" s="10" t="s">
        <v>251</v>
      </c>
      <c r="C106" s="11" t="s">
        <v>130</v>
      </c>
      <c r="D106" s="12" t="s">
        <v>39</v>
      </c>
      <c r="E106" s="13" t="s">
        <v>262</v>
      </c>
    </row>
    <row r="107" spans="1:5" x14ac:dyDescent="0.3">
      <c r="A107" s="5" t="s">
        <v>263</v>
      </c>
      <c r="B107" s="10" t="s">
        <v>264</v>
      </c>
      <c r="C107" s="11" t="s">
        <v>69</v>
      </c>
      <c r="D107" s="12" t="s">
        <v>39</v>
      </c>
      <c r="E107" s="13" t="s">
        <v>265</v>
      </c>
    </row>
    <row r="108" spans="1:5" x14ac:dyDescent="0.3">
      <c r="A108" s="5" t="s">
        <v>266</v>
      </c>
      <c r="B108" s="10" t="s">
        <v>264</v>
      </c>
      <c r="C108" s="11" t="s">
        <v>69</v>
      </c>
      <c r="D108" s="12" t="s">
        <v>39</v>
      </c>
      <c r="E108" s="13" t="s">
        <v>267</v>
      </c>
    </row>
    <row r="109" spans="1:5" x14ac:dyDescent="0.3">
      <c r="A109" s="5" t="s">
        <v>268</v>
      </c>
      <c r="B109" s="10" t="s">
        <v>264</v>
      </c>
      <c r="C109" s="11" t="s">
        <v>69</v>
      </c>
      <c r="D109" s="12" t="s">
        <v>39</v>
      </c>
      <c r="E109" s="13" t="s">
        <v>269</v>
      </c>
    </row>
    <row r="110" spans="1:5" x14ac:dyDescent="0.3">
      <c r="A110" s="5" t="s">
        <v>270</v>
      </c>
      <c r="B110" s="10" t="s">
        <v>264</v>
      </c>
      <c r="C110" s="11" t="s">
        <v>69</v>
      </c>
      <c r="D110" s="12" t="s">
        <v>39</v>
      </c>
      <c r="E110" s="13" t="s">
        <v>271</v>
      </c>
    </row>
    <row r="111" spans="1:5" x14ac:dyDescent="0.3">
      <c r="A111" s="5" t="s">
        <v>272</v>
      </c>
      <c r="B111" s="10" t="s">
        <v>264</v>
      </c>
      <c r="C111" s="11" t="s">
        <v>69</v>
      </c>
      <c r="D111" s="12" t="s">
        <v>39</v>
      </c>
      <c r="E111" s="13" t="s">
        <v>273</v>
      </c>
    </row>
    <row r="112" spans="1:5" x14ac:dyDescent="0.3">
      <c r="A112" s="5" t="s">
        <v>274</v>
      </c>
      <c r="B112" s="10" t="s">
        <v>264</v>
      </c>
      <c r="C112" s="11" t="s">
        <v>69</v>
      </c>
      <c r="D112" s="12" t="s">
        <v>39</v>
      </c>
      <c r="E112" s="13" t="s">
        <v>275</v>
      </c>
    </row>
    <row r="113" spans="1:5" x14ac:dyDescent="0.3">
      <c r="A113" s="5" t="s">
        <v>276</v>
      </c>
      <c r="B113" s="10" t="s">
        <v>264</v>
      </c>
      <c r="C113" s="11" t="s">
        <v>69</v>
      </c>
      <c r="D113" s="12" t="s">
        <v>39</v>
      </c>
      <c r="E113" s="13" t="s">
        <v>277</v>
      </c>
    </row>
    <row r="114" spans="1:5" x14ac:dyDescent="0.3">
      <c r="A114" s="5" t="s">
        <v>278</v>
      </c>
      <c r="B114" s="10" t="s">
        <v>264</v>
      </c>
      <c r="C114" s="11" t="s">
        <v>69</v>
      </c>
      <c r="D114" s="12" t="s">
        <v>39</v>
      </c>
      <c r="E114" s="13" t="s">
        <v>279</v>
      </c>
    </row>
    <row r="115" spans="1:5" x14ac:dyDescent="0.3">
      <c r="A115" s="5" t="s">
        <v>280</v>
      </c>
      <c r="B115" s="10" t="s">
        <v>264</v>
      </c>
      <c r="C115" s="11" t="s">
        <v>69</v>
      </c>
      <c r="D115" s="12" t="s">
        <v>39</v>
      </c>
      <c r="E115" s="13" t="s">
        <v>281</v>
      </c>
    </row>
    <row r="116" spans="1:5" x14ac:dyDescent="0.3">
      <c r="A116" s="5" t="s">
        <v>282</v>
      </c>
      <c r="B116" s="10" t="s">
        <v>264</v>
      </c>
      <c r="C116" s="11" t="s">
        <v>69</v>
      </c>
      <c r="D116" s="12" t="s">
        <v>39</v>
      </c>
      <c r="E116" s="13" t="s">
        <v>283</v>
      </c>
    </row>
    <row r="117" spans="1:5" x14ac:dyDescent="0.3">
      <c r="A117" s="5" t="s">
        <v>284</v>
      </c>
      <c r="B117" s="10" t="s">
        <v>264</v>
      </c>
      <c r="C117" s="11" t="s">
        <v>69</v>
      </c>
      <c r="D117" s="12" t="s">
        <v>39</v>
      </c>
      <c r="E117" s="13" t="s">
        <v>285</v>
      </c>
    </row>
    <row r="118" spans="1:5" x14ac:dyDescent="0.3">
      <c r="A118" s="5" t="s">
        <v>286</v>
      </c>
      <c r="B118" s="10" t="s">
        <v>264</v>
      </c>
      <c r="C118" s="11" t="s">
        <v>69</v>
      </c>
      <c r="D118" s="12" t="s">
        <v>39</v>
      </c>
      <c r="E118" s="13" t="s">
        <v>287</v>
      </c>
    </row>
    <row r="119" spans="1:5" x14ac:dyDescent="0.3">
      <c r="A119" s="5" t="s">
        <v>288</v>
      </c>
      <c r="B119" s="10" t="s">
        <v>264</v>
      </c>
      <c r="C119" s="11" t="s">
        <v>69</v>
      </c>
      <c r="D119" s="12" t="s">
        <v>39</v>
      </c>
      <c r="E119" s="13" t="s">
        <v>289</v>
      </c>
    </row>
    <row r="120" spans="1:5" x14ac:dyDescent="0.3">
      <c r="A120" s="5" t="s">
        <v>290</v>
      </c>
      <c r="B120" s="10" t="s">
        <v>291</v>
      </c>
      <c r="C120" s="11" t="s">
        <v>38</v>
      </c>
      <c r="D120" s="12" t="s">
        <v>39</v>
      </c>
      <c r="E120" s="13" t="s">
        <v>292</v>
      </c>
    </row>
    <row r="121" spans="1:5" x14ac:dyDescent="0.3">
      <c r="A121" s="5" t="s">
        <v>293</v>
      </c>
      <c r="B121" s="10" t="s">
        <v>291</v>
      </c>
      <c r="C121" s="11" t="s">
        <v>38</v>
      </c>
      <c r="D121" s="12" t="s">
        <v>39</v>
      </c>
      <c r="E121" s="13" t="s">
        <v>294</v>
      </c>
    </row>
    <row r="122" spans="1:5" x14ac:dyDescent="0.3">
      <c r="A122" s="5" t="s">
        <v>295</v>
      </c>
      <c r="B122" s="10" t="s">
        <v>291</v>
      </c>
      <c r="C122" s="11" t="s">
        <v>38</v>
      </c>
      <c r="D122" s="12" t="s">
        <v>39</v>
      </c>
      <c r="E122" s="13" t="s">
        <v>296</v>
      </c>
    </row>
    <row r="123" spans="1:5" x14ac:dyDescent="0.3">
      <c r="A123" s="5" t="s">
        <v>297</v>
      </c>
      <c r="B123" s="10" t="s">
        <v>291</v>
      </c>
      <c r="C123" s="11" t="s">
        <v>38</v>
      </c>
      <c r="D123" s="12" t="s">
        <v>39</v>
      </c>
      <c r="E123" s="13" t="s">
        <v>298</v>
      </c>
    </row>
    <row r="124" spans="1:5" x14ac:dyDescent="0.3">
      <c r="A124" s="5" t="s">
        <v>299</v>
      </c>
      <c r="B124" s="10" t="s">
        <v>291</v>
      </c>
      <c r="C124" s="11" t="s">
        <v>38</v>
      </c>
      <c r="D124" s="12" t="s">
        <v>39</v>
      </c>
      <c r="E124" s="13" t="s">
        <v>300</v>
      </c>
    </row>
    <row r="125" spans="1:5" x14ac:dyDescent="0.3">
      <c r="A125" s="5" t="s">
        <v>301</v>
      </c>
      <c r="B125" s="10" t="s">
        <v>302</v>
      </c>
      <c r="C125" s="11" t="s">
        <v>38</v>
      </c>
      <c r="D125" s="12" t="s">
        <v>39</v>
      </c>
      <c r="E125" s="13" t="s">
        <v>303</v>
      </c>
    </row>
    <row r="126" spans="1:5" x14ac:dyDescent="0.3">
      <c r="A126" s="5" t="s">
        <v>304</v>
      </c>
      <c r="B126" s="10" t="s">
        <v>302</v>
      </c>
      <c r="C126" s="11" t="s">
        <v>38</v>
      </c>
      <c r="D126" s="12" t="s">
        <v>39</v>
      </c>
      <c r="E126" s="13" t="s">
        <v>305</v>
      </c>
    </row>
    <row r="127" spans="1:5" x14ac:dyDescent="0.3">
      <c r="A127" s="5" t="s">
        <v>306</v>
      </c>
      <c r="B127" s="10" t="s">
        <v>302</v>
      </c>
      <c r="C127" s="11" t="s">
        <v>38</v>
      </c>
      <c r="D127" s="12" t="s">
        <v>39</v>
      </c>
      <c r="E127" s="13" t="s">
        <v>307</v>
      </c>
    </row>
    <row r="128" spans="1:5" x14ac:dyDescent="0.3">
      <c r="A128" s="5" t="s">
        <v>308</v>
      </c>
      <c r="B128" s="10" t="s">
        <v>302</v>
      </c>
      <c r="C128" s="11" t="s">
        <v>38</v>
      </c>
      <c r="D128" s="12" t="s">
        <v>39</v>
      </c>
      <c r="E128" s="13" t="s">
        <v>309</v>
      </c>
    </row>
    <row r="129" spans="1:5" x14ac:dyDescent="0.3">
      <c r="A129" s="5" t="s">
        <v>310</v>
      </c>
      <c r="B129" s="10" t="s">
        <v>302</v>
      </c>
      <c r="C129" s="11" t="s">
        <v>38</v>
      </c>
      <c r="D129" s="12" t="s">
        <v>39</v>
      </c>
      <c r="E129" s="13" t="s">
        <v>311</v>
      </c>
    </row>
    <row r="130" spans="1:5" x14ac:dyDescent="0.3">
      <c r="A130" s="5" t="s">
        <v>312</v>
      </c>
      <c r="B130" s="10" t="s">
        <v>313</v>
      </c>
      <c r="C130" s="11" t="s">
        <v>74</v>
      </c>
      <c r="D130" s="12" t="s">
        <v>39</v>
      </c>
      <c r="E130" s="13" t="s">
        <v>314</v>
      </c>
    </row>
    <row r="131" spans="1:5" x14ac:dyDescent="0.3">
      <c r="A131" s="5" t="s">
        <v>315</v>
      </c>
      <c r="B131" s="10" t="s">
        <v>313</v>
      </c>
      <c r="C131" s="11" t="s">
        <v>74</v>
      </c>
      <c r="D131" s="12" t="s">
        <v>39</v>
      </c>
      <c r="E131" s="13" t="s">
        <v>316</v>
      </c>
    </row>
    <row r="132" spans="1:5" x14ac:dyDescent="0.3">
      <c r="A132" s="5" t="s">
        <v>317</v>
      </c>
      <c r="B132" s="10" t="s">
        <v>313</v>
      </c>
      <c r="C132" s="11" t="s">
        <v>74</v>
      </c>
      <c r="D132" s="12" t="s">
        <v>39</v>
      </c>
      <c r="E132" s="13" t="s">
        <v>318</v>
      </c>
    </row>
    <row r="133" spans="1:5" x14ac:dyDescent="0.3">
      <c r="A133" s="5" t="s">
        <v>319</v>
      </c>
      <c r="B133" s="10" t="s">
        <v>313</v>
      </c>
      <c r="C133" s="11" t="s">
        <v>74</v>
      </c>
      <c r="D133" s="12" t="s">
        <v>39</v>
      </c>
      <c r="E133" s="13" t="s">
        <v>320</v>
      </c>
    </row>
    <row r="134" spans="1:5" x14ac:dyDescent="0.3">
      <c r="A134" s="5" t="s">
        <v>321</v>
      </c>
      <c r="B134" s="10" t="s">
        <v>313</v>
      </c>
      <c r="C134" s="11" t="s">
        <v>74</v>
      </c>
      <c r="D134" s="12" t="s">
        <v>39</v>
      </c>
      <c r="E134" s="13" t="s">
        <v>322</v>
      </c>
    </row>
    <row r="135" spans="1:5" x14ac:dyDescent="0.3">
      <c r="A135" s="5" t="s">
        <v>323</v>
      </c>
      <c r="B135" s="10" t="s">
        <v>324</v>
      </c>
      <c r="C135" s="11" t="s">
        <v>69</v>
      </c>
      <c r="D135" s="12" t="s">
        <v>39</v>
      </c>
      <c r="E135" s="13" t="s">
        <v>325</v>
      </c>
    </row>
    <row r="136" spans="1:5" x14ac:dyDescent="0.3">
      <c r="A136" s="5" t="s">
        <v>326</v>
      </c>
      <c r="B136" s="10" t="s">
        <v>324</v>
      </c>
      <c r="C136" s="11" t="s">
        <v>69</v>
      </c>
      <c r="D136" s="12" t="s">
        <v>39</v>
      </c>
      <c r="E136" s="13" t="s">
        <v>327</v>
      </c>
    </row>
    <row r="137" spans="1:5" x14ac:dyDescent="0.3">
      <c r="A137" s="5" t="s">
        <v>328</v>
      </c>
      <c r="B137" s="10" t="s">
        <v>324</v>
      </c>
      <c r="C137" s="11" t="s">
        <v>69</v>
      </c>
      <c r="D137" s="12" t="s">
        <v>39</v>
      </c>
      <c r="E137" s="13" t="s">
        <v>329</v>
      </c>
    </row>
    <row r="138" spans="1:5" x14ac:dyDescent="0.3">
      <c r="A138" s="5" t="s">
        <v>330</v>
      </c>
      <c r="B138" s="10" t="s">
        <v>324</v>
      </c>
      <c r="C138" s="11" t="s">
        <v>69</v>
      </c>
      <c r="D138" s="12" t="s">
        <v>39</v>
      </c>
      <c r="E138" s="13" t="s">
        <v>331</v>
      </c>
    </row>
    <row r="139" spans="1:5" x14ac:dyDescent="0.3">
      <c r="A139" s="5" t="s">
        <v>332</v>
      </c>
      <c r="B139" s="10" t="s">
        <v>333</v>
      </c>
      <c r="C139" s="11" t="s">
        <v>69</v>
      </c>
      <c r="D139" s="12" t="s">
        <v>39</v>
      </c>
      <c r="E139" s="13" t="s">
        <v>334</v>
      </c>
    </row>
    <row r="140" spans="1:5" x14ac:dyDescent="0.3">
      <c r="A140" s="5" t="s">
        <v>335</v>
      </c>
      <c r="B140" s="10" t="s">
        <v>336</v>
      </c>
      <c r="C140" s="11" t="s">
        <v>38</v>
      </c>
      <c r="D140" s="12" t="s">
        <v>39</v>
      </c>
      <c r="E140" s="13" t="s">
        <v>337</v>
      </c>
    </row>
    <row r="141" spans="1:5" x14ac:dyDescent="0.3">
      <c r="A141" s="5" t="s">
        <v>338</v>
      </c>
      <c r="B141" s="10" t="s">
        <v>339</v>
      </c>
      <c r="C141" s="11" t="s">
        <v>130</v>
      </c>
      <c r="D141" s="12" t="s">
        <v>39</v>
      </c>
      <c r="E141" s="13" t="s">
        <v>340</v>
      </c>
    </row>
    <row r="142" spans="1:5" x14ac:dyDescent="0.3">
      <c r="A142" s="5" t="s">
        <v>341</v>
      </c>
      <c r="B142" s="10" t="s">
        <v>339</v>
      </c>
      <c r="C142" s="11" t="s">
        <v>130</v>
      </c>
      <c r="D142" s="12" t="s">
        <v>39</v>
      </c>
      <c r="E142" s="13" t="s">
        <v>342</v>
      </c>
    </row>
    <row r="143" spans="1:5" x14ac:dyDescent="0.3">
      <c r="A143" s="5" t="s">
        <v>343</v>
      </c>
      <c r="B143" s="10" t="s">
        <v>344</v>
      </c>
      <c r="C143" s="11" t="s">
        <v>130</v>
      </c>
      <c r="D143" s="12" t="s">
        <v>39</v>
      </c>
      <c r="E143" s="13" t="s">
        <v>345</v>
      </c>
    </row>
    <row r="144" spans="1:5" x14ac:dyDescent="0.3">
      <c r="A144" s="5" t="s">
        <v>346</v>
      </c>
      <c r="B144" s="10" t="s">
        <v>347</v>
      </c>
      <c r="C144" s="11" t="s">
        <v>38</v>
      </c>
      <c r="D144" s="12" t="s">
        <v>39</v>
      </c>
      <c r="E144" s="13" t="s">
        <v>348</v>
      </c>
    </row>
    <row r="145" spans="1:5" x14ac:dyDescent="0.3">
      <c r="A145" s="5" t="s">
        <v>349</v>
      </c>
      <c r="B145" s="10" t="s">
        <v>350</v>
      </c>
      <c r="C145" s="11" t="s">
        <v>38</v>
      </c>
      <c r="D145" s="12" t="s">
        <v>39</v>
      </c>
      <c r="E145" s="13" t="s">
        <v>351</v>
      </c>
    </row>
    <row r="146" spans="1:5" x14ac:dyDescent="0.3">
      <c r="A146" s="5" t="s">
        <v>352</v>
      </c>
      <c r="B146" s="10" t="s">
        <v>353</v>
      </c>
      <c r="C146" s="11" t="s">
        <v>54</v>
      </c>
      <c r="D146" s="12" t="s">
        <v>39</v>
      </c>
      <c r="E146" s="13" t="s">
        <v>354</v>
      </c>
    </row>
    <row r="147" spans="1:5" x14ac:dyDescent="0.3">
      <c r="A147" s="5" t="s">
        <v>355</v>
      </c>
      <c r="B147" s="10" t="s">
        <v>356</v>
      </c>
      <c r="C147" s="11" t="s">
        <v>38</v>
      </c>
      <c r="D147" s="12" t="s">
        <v>39</v>
      </c>
      <c r="E147" s="13" t="s">
        <v>357</v>
      </c>
    </row>
    <row r="148" spans="1:5" x14ac:dyDescent="0.3">
      <c r="A148" s="5" t="s">
        <v>358</v>
      </c>
      <c r="B148" s="10" t="s">
        <v>359</v>
      </c>
      <c r="C148" s="11" t="s">
        <v>38</v>
      </c>
      <c r="D148" s="12" t="s">
        <v>39</v>
      </c>
      <c r="E148" s="13" t="s">
        <v>360</v>
      </c>
    </row>
    <row r="149" spans="1:5" x14ac:dyDescent="0.3">
      <c r="A149" s="5" t="s">
        <v>361</v>
      </c>
      <c r="B149" s="10" t="s">
        <v>362</v>
      </c>
      <c r="C149" s="11" t="s">
        <v>54</v>
      </c>
      <c r="D149" s="12" t="s">
        <v>39</v>
      </c>
      <c r="E149" s="13" t="s">
        <v>363</v>
      </c>
    </row>
    <row r="150" spans="1:5" x14ac:dyDescent="0.3">
      <c r="A150" s="5" t="s">
        <v>364</v>
      </c>
      <c r="B150" s="10" t="s">
        <v>365</v>
      </c>
      <c r="C150" s="11" t="s">
        <v>54</v>
      </c>
      <c r="D150" s="12" t="s">
        <v>39</v>
      </c>
      <c r="E150" s="13" t="s">
        <v>366</v>
      </c>
    </row>
    <row r="151" spans="1:5" x14ac:dyDescent="0.3">
      <c r="A151" s="5" t="s">
        <v>367</v>
      </c>
      <c r="B151" s="10" t="s">
        <v>368</v>
      </c>
      <c r="C151" s="11" t="s">
        <v>69</v>
      </c>
      <c r="D151" s="12" t="s">
        <v>39</v>
      </c>
      <c r="E151" s="13" t="s">
        <v>369</v>
      </c>
    </row>
    <row r="152" spans="1:5" x14ac:dyDescent="0.3">
      <c r="A152" s="5" t="s">
        <v>370</v>
      </c>
      <c r="B152" s="10" t="s">
        <v>368</v>
      </c>
      <c r="C152" s="11" t="s">
        <v>69</v>
      </c>
      <c r="D152" s="12" t="s">
        <v>39</v>
      </c>
      <c r="E152" s="13" t="s">
        <v>371</v>
      </c>
    </row>
    <row r="153" spans="1:5" x14ac:dyDescent="0.3">
      <c r="A153" s="5" t="s">
        <v>372</v>
      </c>
      <c r="B153" s="10" t="s">
        <v>368</v>
      </c>
      <c r="C153" s="11" t="s">
        <v>69</v>
      </c>
      <c r="D153" s="12" t="s">
        <v>39</v>
      </c>
      <c r="E153" s="13" t="s">
        <v>373</v>
      </c>
    </row>
    <row r="154" spans="1:5" x14ac:dyDescent="0.3">
      <c r="A154" s="5" t="s">
        <v>374</v>
      </c>
      <c r="B154" s="10" t="s">
        <v>375</v>
      </c>
      <c r="C154" s="11" t="s">
        <v>54</v>
      </c>
      <c r="D154" s="12" t="s">
        <v>39</v>
      </c>
      <c r="E154" s="13" t="s">
        <v>376</v>
      </c>
    </row>
    <row r="155" spans="1:5" x14ac:dyDescent="0.3">
      <c r="A155" s="5" t="s">
        <v>377</v>
      </c>
      <c r="B155" s="10" t="s">
        <v>378</v>
      </c>
      <c r="C155" s="11" t="s">
        <v>54</v>
      </c>
      <c r="D155" s="12" t="s">
        <v>39</v>
      </c>
      <c r="E155" s="13" t="s">
        <v>379</v>
      </c>
    </row>
    <row r="156" spans="1:5" x14ac:dyDescent="0.3">
      <c r="A156" s="5" t="s">
        <v>380</v>
      </c>
      <c r="B156" s="10" t="s">
        <v>381</v>
      </c>
      <c r="C156" s="11" t="s">
        <v>54</v>
      </c>
      <c r="D156" s="12" t="s">
        <v>39</v>
      </c>
      <c r="E156" s="13" t="s">
        <v>382</v>
      </c>
    </row>
    <row r="157" spans="1:5" x14ac:dyDescent="0.3">
      <c r="A157" s="5" t="s">
        <v>383</v>
      </c>
      <c r="B157" s="10" t="s">
        <v>384</v>
      </c>
      <c r="C157" s="11" t="s">
        <v>38</v>
      </c>
      <c r="D157" s="12" t="s">
        <v>39</v>
      </c>
      <c r="E157" s="13" t="s">
        <v>385</v>
      </c>
    </row>
    <row r="158" spans="1:5" x14ac:dyDescent="0.3">
      <c r="A158" s="5" t="s">
        <v>386</v>
      </c>
      <c r="B158" s="10" t="s">
        <v>387</v>
      </c>
      <c r="C158" s="11" t="s">
        <v>38</v>
      </c>
      <c r="D158" s="12" t="s">
        <v>39</v>
      </c>
      <c r="E158" s="13" t="s">
        <v>388</v>
      </c>
    </row>
    <row r="159" spans="1:5" x14ac:dyDescent="0.3">
      <c r="A159" s="5" t="s">
        <v>389</v>
      </c>
      <c r="B159" s="10" t="s">
        <v>390</v>
      </c>
      <c r="C159" s="11" t="s">
        <v>38</v>
      </c>
      <c r="D159" s="12" t="s">
        <v>39</v>
      </c>
      <c r="E159" s="13" t="s">
        <v>391</v>
      </c>
    </row>
    <row r="160" spans="1:5" x14ac:dyDescent="0.3">
      <c r="A160" s="5" t="s">
        <v>392</v>
      </c>
      <c r="B160" s="10" t="s">
        <v>393</v>
      </c>
      <c r="C160" s="11" t="s">
        <v>38</v>
      </c>
      <c r="D160" s="12" t="s">
        <v>39</v>
      </c>
      <c r="E160" s="13" t="s">
        <v>394</v>
      </c>
    </row>
    <row r="161" spans="1:5" x14ac:dyDescent="0.3">
      <c r="A161" s="5" t="s">
        <v>395</v>
      </c>
      <c r="B161" s="10" t="s">
        <v>396</v>
      </c>
      <c r="C161" s="11" t="s">
        <v>54</v>
      </c>
      <c r="D161" s="12" t="s">
        <v>39</v>
      </c>
      <c r="E161" s="13" t="s">
        <v>397</v>
      </c>
    </row>
    <row r="162" spans="1:5" x14ac:dyDescent="0.3">
      <c r="A162" s="5" t="s">
        <v>398</v>
      </c>
      <c r="B162" s="10" t="s">
        <v>399</v>
      </c>
      <c r="C162" s="11" t="s">
        <v>54</v>
      </c>
      <c r="D162" s="12" t="s">
        <v>39</v>
      </c>
      <c r="E162" s="13" t="s">
        <v>400</v>
      </c>
    </row>
    <row r="163" spans="1:5" x14ac:dyDescent="0.3">
      <c r="A163" s="5" t="s">
        <v>401</v>
      </c>
      <c r="B163" s="10" t="s">
        <v>399</v>
      </c>
      <c r="C163" s="11" t="s">
        <v>54</v>
      </c>
      <c r="D163" s="12" t="s">
        <v>39</v>
      </c>
      <c r="E163" s="13" t="s">
        <v>402</v>
      </c>
    </row>
    <row r="164" spans="1:5" x14ac:dyDescent="0.3">
      <c r="A164" s="5" t="s">
        <v>403</v>
      </c>
      <c r="B164" s="10" t="s">
        <v>404</v>
      </c>
      <c r="C164" s="11" t="s">
        <v>54</v>
      </c>
      <c r="D164" s="12" t="s">
        <v>39</v>
      </c>
      <c r="E164" s="13" t="s">
        <v>405</v>
      </c>
    </row>
    <row r="165" spans="1:5" x14ac:dyDescent="0.3">
      <c r="A165" s="5" t="s">
        <v>406</v>
      </c>
      <c r="B165" s="10" t="s">
        <v>404</v>
      </c>
      <c r="C165" s="11" t="s">
        <v>54</v>
      </c>
      <c r="D165" s="12" t="s">
        <v>39</v>
      </c>
      <c r="E165" s="13" t="s">
        <v>407</v>
      </c>
    </row>
    <row r="166" spans="1:5" x14ac:dyDescent="0.3">
      <c r="A166" s="5" t="s">
        <v>408</v>
      </c>
      <c r="B166" s="10" t="s">
        <v>409</v>
      </c>
      <c r="C166" s="11" t="s">
        <v>54</v>
      </c>
      <c r="D166" s="12" t="s">
        <v>39</v>
      </c>
      <c r="E166" s="13" t="s">
        <v>410</v>
      </c>
    </row>
    <row r="167" spans="1:5" x14ac:dyDescent="0.3">
      <c r="A167" s="5" t="s">
        <v>411</v>
      </c>
      <c r="B167" s="10" t="s">
        <v>409</v>
      </c>
      <c r="C167" s="11" t="s">
        <v>54</v>
      </c>
      <c r="D167" s="12" t="s">
        <v>39</v>
      </c>
      <c r="E167" s="13" t="s">
        <v>412</v>
      </c>
    </row>
    <row r="168" spans="1:5" x14ac:dyDescent="0.3">
      <c r="A168" s="5" t="s">
        <v>413</v>
      </c>
      <c r="B168" s="10" t="s">
        <v>414</v>
      </c>
      <c r="C168" s="11" t="s">
        <v>54</v>
      </c>
      <c r="D168" s="12" t="s">
        <v>39</v>
      </c>
      <c r="E168" s="13" t="s">
        <v>415</v>
      </c>
    </row>
    <row r="169" spans="1:5" x14ac:dyDescent="0.3">
      <c r="A169" s="5" t="s">
        <v>416</v>
      </c>
      <c r="B169" s="10" t="s">
        <v>414</v>
      </c>
      <c r="C169" s="11" t="s">
        <v>54</v>
      </c>
      <c r="D169" s="12" t="s">
        <v>39</v>
      </c>
      <c r="E169" s="13" t="s">
        <v>417</v>
      </c>
    </row>
    <row r="170" spans="1:5" x14ac:dyDescent="0.3">
      <c r="A170" s="5" t="s">
        <v>418</v>
      </c>
      <c r="B170" s="10" t="s">
        <v>419</v>
      </c>
      <c r="C170" s="11" t="s">
        <v>54</v>
      </c>
      <c r="D170" s="12" t="s">
        <v>39</v>
      </c>
      <c r="E170" s="13" t="s">
        <v>420</v>
      </c>
    </row>
    <row r="171" spans="1:5" x14ac:dyDescent="0.3">
      <c r="A171" s="5" t="s">
        <v>421</v>
      </c>
      <c r="B171" s="10" t="s">
        <v>422</v>
      </c>
      <c r="C171" s="11" t="s">
        <v>38</v>
      </c>
      <c r="D171" s="12" t="s">
        <v>39</v>
      </c>
      <c r="E171" s="13" t="s">
        <v>423</v>
      </c>
    </row>
    <row r="172" spans="1:5" x14ac:dyDescent="0.3">
      <c r="A172" s="5" t="s">
        <v>424</v>
      </c>
      <c r="B172" s="10" t="s">
        <v>425</v>
      </c>
      <c r="C172" s="11" t="s">
        <v>38</v>
      </c>
      <c r="D172" s="12" t="s">
        <v>39</v>
      </c>
      <c r="E172" s="13" t="s">
        <v>426</v>
      </c>
    </row>
    <row r="173" spans="1:5" x14ac:dyDescent="0.3">
      <c r="A173" s="5" t="s">
        <v>427</v>
      </c>
      <c r="B173" s="10" t="s">
        <v>428</v>
      </c>
      <c r="C173" s="11" t="s">
        <v>54</v>
      </c>
      <c r="D173" s="12" t="s">
        <v>39</v>
      </c>
      <c r="E173" s="13" t="s">
        <v>429</v>
      </c>
    </row>
    <row r="174" spans="1:5" x14ac:dyDescent="0.3">
      <c r="A174" s="5" t="s">
        <v>430</v>
      </c>
      <c r="B174" s="10" t="s">
        <v>431</v>
      </c>
      <c r="C174" s="11" t="s">
        <v>54</v>
      </c>
      <c r="D174" s="12" t="s">
        <v>39</v>
      </c>
      <c r="E174" s="13" t="s">
        <v>432</v>
      </c>
    </row>
    <row r="175" spans="1:5" x14ac:dyDescent="0.3">
      <c r="A175" s="5" t="s">
        <v>433</v>
      </c>
      <c r="B175" s="10" t="s">
        <v>434</v>
      </c>
      <c r="C175" s="11" t="s">
        <v>38</v>
      </c>
      <c r="D175" s="12" t="s">
        <v>39</v>
      </c>
      <c r="E175" s="13" t="s">
        <v>435</v>
      </c>
    </row>
    <row r="176" spans="1:5" x14ac:dyDescent="0.3">
      <c r="A176" s="5" t="s">
        <v>436</v>
      </c>
      <c r="B176" s="10" t="s">
        <v>437</v>
      </c>
      <c r="C176" s="11" t="s">
        <v>38</v>
      </c>
      <c r="D176" s="12" t="s">
        <v>39</v>
      </c>
      <c r="E176" s="13" t="s">
        <v>438</v>
      </c>
    </row>
    <row r="177" spans="1:5" x14ac:dyDescent="0.3">
      <c r="A177" s="5" t="s">
        <v>439</v>
      </c>
      <c r="B177" s="10" t="s">
        <v>437</v>
      </c>
      <c r="C177" s="11" t="s">
        <v>38</v>
      </c>
      <c r="D177" s="12" t="s">
        <v>39</v>
      </c>
      <c r="E177" s="13" t="s">
        <v>440</v>
      </c>
    </row>
    <row r="178" spans="1:5" x14ac:dyDescent="0.3">
      <c r="A178" s="5" t="s">
        <v>441</v>
      </c>
      <c r="B178" s="10" t="s">
        <v>442</v>
      </c>
      <c r="C178" s="11" t="s">
        <v>38</v>
      </c>
      <c r="D178" s="12" t="s">
        <v>39</v>
      </c>
      <c r="E178" s="13" t="s">
        <v>443</v>
      </c>
    </row>
    <row r="179" spans="1:5" x14ac:dyDescent="0.3">
      <c r="A179" s="5" t="s">
        <v>444</v>
      </c>
      <c r="B179" s="10" t="s">
        <v>445</v>
      </c>
      <c r="C179" s="11" t="s">
        <v>38</v>
      </c>
      <c r="D179" s="12" t="s">
        <v>39</v>
      </c>
      <c r="E179" s="13" t="s">
        <v>446</v>
      </c>
    </row>
    <row r="180" spans="1:5" x14ac:dyDescent="0.3">
      <c r="A180" s="5" t="s">
        <v>447</v>
      </c>
      <c r="B180" s="10" t="s">
        <v>448</v>
      </c>
      <c r="C180" s="11" t="s">
        <v>38</v>
      </c>
      <c r="D180" s="12" t="s">
        <v>39</v>
      </c>
      <c r="E180" s="13" t="s">
        <v>449</v>
      </c>
    </row>
    <row r="181" spans="1:5" x14ac:dyDescent="0.3">
      <c r="A181" s="5" t="s">
        <v>450</v>
      </c>
      <c r="B181" s="10" t="s">
        <v>448</v>
      </c>
      <c r="C181" s="11" t="s">
        <v>38</v>
      </c>
      <c r="D181" s="12" t="s">
        <v>39</v>
      </c>
      <c r="E181" s="13" t="s">
        <v>451</v>
      </c>
    </row>
    <row r="182" spans="1:5" x14ac:dyDescent="0.3">
      <c r="A182" s="5" t="s">
        <v>452</v>
      </c>
      <c r="B182" s="10" t="s">
        <v>448</v>
      </c>
      <c r="C182" s="11" t="s">
        <v>38</v>
      </c>
      <c r="D182" s="12" t="s">
        <v>39</v>
      </c>
      <c r="E182" s="13" t="s">
        <v>453</v>
      </c>
    </row>
    <row r="183" spans="1:5" x14ac:dyDescent="0.3">
      <c r="A183" s="5" t="s">
        <v>454</v>
      </c>
      <c r="B183" s="10" t="s">
        <v>448</v>
      </c>
      <c r="C183" s="11" t="s">
        <v>38</v>
      </c>
      <c r="D183" s="12" t="s">
        <v>39</v>
      </c>
      <c r="E183" s="13" t="s">
        <v>455</v>
      </c>
    </row>
    <row r="184" spans="1:5" x14ac:dyDescent="0.3">
      <c r="A184" s="5" t="s">
        <v>456</v>
      </c>
      <c r="B184" s="10" t="s">
        <v>448</v>
      </c>
      <c r="C184" s="11" t="s">
        <v>38</v>
      </c>
      <c r="D184" s="12" t="s">
        <v>39</v>
      </c>
      <c r="E184" s="13" t="s">
        <v>457</v>
      </c>
    </row>
    <row r="185" spans="1:5" x14ac:dyDescent="0.3">
      <c r="A185" s="5" t="s">
        <v>458</v>
      </c>
      <c r="B185" s="10" t="s">
        <v>459</v>
      </c>
      <c r="C185" s="11" t="s">
        <v>54</v>
      </c>
      <c r="D185" s="12" t="s">
        <v>39</v>
      </c>
      <c r="E185" s="13" t="s">
        <v>460</v>
      </c>
    </row>
    <row r="186" spans="1:5" x14ac:dyDescent="0.3">
      <c r="A186" s="5" t="s">
        <v>461</v>
      </c>
      <c r="B186" s="10" t="s">
        <v>462</v>
      </c>
      <c r="C186" s="11" t="s">
        <v>54</v>
      </c>
      <c r="D186" s="12" t="s">
        <v>39</v>
      </c>
      <c r="E186" s="13" t="s">
        <v>463</v>
      </c>
    </row>
    <row r="187" spans="1:5" x14ac:dyDescent="0.3">
      <c r="A187" s="5" t="s">
        <v>464</v>
      </c>
      <c r="B187" s="10" t="s">
        <v>462</v>
      </c>
      <c r="C187" s="11" t="s">
        <v>54</v>
      </c>
      <c r="D187" s="12" t="s">
        <v>39</v>
      </c>
      <c r="E187" s="13" t="s">
        <v>465</v>
      </c>
    </row>
    <row r="188" spans="1:5" x14ac:dyDescent="0.3">
      <c r="A188" s="5" t="s">
        <v>466</v>
      </c>
      <c r="B188" s="10" t="s">
        <v>462</v>
      </c>
      <c r="C188" s="11" t="s">
        <v>54</v>
      </c>
      <c r="D188" s="12" t="s">
        <v>39</v>
      </c>
      <c r="E188" s="13" t="s">
        <v>467</v>
      </c>
    </row>
    <row r="189" spans="1:5" x14ac:dyDescent="0.3">
      <c r="A189" s="5" t="s">
        <v>468</v>
      </c>
      <c r="B189" s="10" t="s">
        <v>462</v>
      </c>
      <c r="C189" s="11" t="s">
        <v>54</v>
      </c>
      <c r="D189" s="12" t="s">
        <v>39</v>
      </c>
      <c r="E189" s="13" t="s">
        <v>469</v>
      </c>
    </row>
    <row r="190" spans="1:5" x14ac:dyDescent="0.3">
      <c r="A190" s="5" t="s">
        <v>470</v>
      </c>
      <c r="B190" s="10" t="s">
        <v>462</v>
      </c>
      <c r="C190" s="11" t="s">
        <v>54</v>
      </c>
      <c r="D190" s="12" t="s">
        <v>39</v>
      </c>
      <c r="E190" s="13" t="s">
        <v>471</v>
      </c>
    </row>
    <row r="191" spans="1:5" x14ac:dyDescent="0.3">
      <c r="A191" s="5" t="s">
        <v>472</v>
      </c>
      <c r="B191" s="10" t="s">
        <v>462</v>
      </c>
      <c r="C191" s="11" t="s">
        <v>54</v>
      </c>
      <c r="D191" s="12" t="s">
        <v>39</v>
      </c>
      <c r="E191" s="13" t="s">
        <v>473</v>
      </c>
    </row>
    <row r="192" spans="1:5" x14ac:dyDescent="0.3">
      <c r="A192" s="5" t="s">
        <v>474</v>
      </c>
      <c r="B192" s="10" t="s">
        <v>462</v>
      </c>
      <c r="C192" s="11" t="s">
        <v>54</v>
      </c>
      <c r="D192" s="12" t="s">
        <v>39</v>
      </c>
      <c r="E192" s="13" t="s">
        <v>475</v>
      </c>
    </row>
    <row r="193" spans="1:5" x14ac:dyDescent="0.3">
      <c r="A193" s="5" t="s">
        <v>476</v>
      </c>
      <c r="B193" s="10" t="s">
        <v>462</v>
      </c>
      <c r="C193" s="11" t="s">
        <v>54</v>
      </c>
      <c r="D193" s="12" t="s">
        <v>39</v>
      </c>
      <c r="E193" s="13" t="s">
        <v>477</v>
      </c>
    </row>
    <row r="194" spans="1:5" x14ac:dyDescent="0.3">
      <c r="A194" s="5" t="s">
        <v>478</v>
      </c>
      <c r="B194" s="10" t="s">
        <v>479</v>
      </c>
      <c r="C194" s="11" t="s">
        <v>38</v>
      </c>
      <c r="D194" s="12" t="s">
        <v>39</v>
      </c>
      <c r="E194" s="13" t="s">
        <v>480</v>
      </c>
    </row>
    <row r="195" spans="1:5" x14ac:dyDescent="0.3">
      <c r="A195" s="5" t="s">
        <v>481</v>
      </c>
      <c r="B195" s="10" t="s">
        <v>479</v>
      </c>
      <c r="C195" s="11" t="s">
        <v>54</v>
      </c>
      <c r="D195" s="12" t="s">
        <v>39</v>
      </c>
      <c r="E195" s="13" t="s">
        <v>482</v>
      </c>
    </row>
    <row r="196" spans="1:5" x14ac:dyDescent="0.3">
      <c r="A196" s="5" t="s">
        <v>483</v>
      </c>
      <c r="B196" s="10" t="s">
        <v>479</v>
      </c>
      <c r="C196" s="11" t="s">
        <v>54</v>
      </c>
      <c r="D196" s="12" t="s">
        <v>39</v>
      </c>
      <c r="E196" s="13" t="s">
        <v>484</v>
      </c>
    </row>
    <row r="197" spans="1:5" x14ac:dyDescent="0.3">
      <c r="A197" s="5" t="s">
        <v>485</v>
      </c>
      <c r="B197" s="10" t="s">
        <v>479</v>
      </c>
      <c r="C197" s="11" t="s">
        <v>54</v>
      </c>
      <c r="D197" s="12" t="s">
        <v>39</v>
      </c>
      <c r="E197" s="13" t="s">
        <v>486</v>
      </c>
    </row>
    <row r="198" spans="1:5" x14ac:dyDescent="0.3">
      <c r="A198" s="5" t="s">
        <v>487</v>
      </c>
      <c r="B198" s="10" t="s">
        <v>479</v>
      </c>
      <c r="C198" s="11" t="s">
        <v>38</v>
      </c>
      <c r="D198" s="12" t="s">
        <v>39</v>
      </c>
      <c r="E198" s="13" t="s">
        <v>488</v>
      </c>
    </row>
    <row r="199" spans="1:5" x14ac:dyDescent="0.3">
      <c r="A199" s="5" t="s">
        <v>489</v>
      </c>
      <c r="B199" s="10" t="s">
        <v>479</v>
      </c>
      <c r="C199" s="11" t="s">
        <v>38</v>
      </c>
      <c r="D199" s="12" t="s">
        <v>39</v>
      </c>
      <c r="E199" s="13" t="s">
        <v>490</v>
      </c>
    </row>
    <row r="200" spans="1:5" x14ac:dyDescent="0.3">
      <c r="A200" s="5" t="s">
        <v>491</v>
      </c>
      <c r="B200" s="10" t="s">
        <v>492</v>
      </c>
      <c r="C200" s="11" t="s">
        <v>54</v>
      </c>
      <c r="D200" s="12" t="s">
        <v>39</v>
      </c>
      <c r="E200" s="13" t="s">
        <v>493</v>
      </c>
    </row>
    <row r="201" spans="1:5" x14ac:dyDescent="0.3">
      <c r="A201" s="5" t="s">
        <v>494</v>
      </c>
      <c r="B201" s="10" t="s">
        <v>495</v>
      </c>
      <c r="C201" s="11" t="s">
        <v>54</v>
      </c>
      <c r="D201" s="12" t="s">
        <v>39</v>
      </c>
      <c r="E201" s="13" t="s">
        <v>496</v>
      </c>
    </row>
    <row r="202" spans="1:5" x14ac:dyDescent="0.3">
      <c r="A202" s="5" t="s">
        <v>497</v>
      </c>
      <c r="B202" s="10" t="s">
        <v>495</v>
      </c>
      <c r="C202" s="11" t="s">
        <v>54</v>
      </c>
      <c r="D202" s="12" t="s">
        <v>39</v>
      </c>
      <c r="E202" s="13" t="s">
        <v>498</v>
      </c>
    </row>
    <row r="203" spans="1:5" x14ac:dyDescent="0.3">
      <c r="A203" s="5" t="s">
        <v>499</v>
      </c>
      <c r="B203" s="10" t="s">
        <v>495</v>
      </c>
      <c r="C203" s="11" t="s">
        <v>54</v>
      </c>
      <c r="D203" s="12" t="s">
        <v>39</v>
      </c>
      <c r="E203" s="13" t="s">
        <v>500</v>
      </c>
    </row>
    <row r="204" spans="1:5" x14ac:dyDescent="0.3">
      <c r="A204" s="5" t="s">
        <v>501</v>
      </c>
      <c r="B204" s="10" t="s">
        <v>495</v>
      </c>
      <c r="C204" s="11" t="s">
        <v>54</v>
      </c>
      <c r="D204" s="14" t="s">
        <v>194</v>
      </c>
      <c r="E204" s="13" t="s">
        <v>502</v>
      </c>
    </row>
    <row r="205" spans="1:5" x14ac:dyDescent="0.3">
      <c r="A205" s="5" t="s">
        <v>503</v>
      </c>
      <c r="B205" s="10" t="s">
        <v>495</v>
      </c>
      <c r="C205" s="11" t="s">
        <v>54</v>
      </c>
      <c r="D205" s="12" t="s">
        <v>39</v>
      </c>
      <c r="E205" s="13" t="s">
        <v>504</v>
      </c>
    </row>
    <row r="206" spans="1:5" x14ac:dyDescent="0.3">
      <c r="A206" s="5" t="s">
        <v>505</v>
      </c>
      <c r="B206" s="10" t="s">
        <v>495</v>
      </c>
      <c r="C206" s="11" t="s">
        <v>54</v>
      </c>
      <c r="D206" s="14" t="s">
        <v>194</v>
      </c>
      <c r="E206" s="13" t="s">
        <v>506</v>
      </c>
    </row>
    <row r="207" spans="1:5" x14ac:dyDescent="0.3">
      <c r="A207" s="5" t="s">
        <v>507</v>
      </c>
      <c r="B207" s="10" t="s">
        <v>508</v>
      </c>
      <c r="C207" s="11" t="s">
        <v>54</v>
      </c>
      <c r="D207" s="12" t="s">
        <v>39</v>
      </c>
      <c r="E207" s="13" t="s">
        <v>509</v>
      </c>
    </row>
    <row r="208" spans="1:5" x14ac:dyDescent="0.3">
      <c r="A208" s="5" t="s">
        <v>510</v>
      </c>
      <c r="B208" s="10" t="s">
        <v>508</v>
      </c>
      <c r="C208" s="11" t="s">
        <v>54</v>
      </c>
      <c r="D208" s="12" t="s">
        <v>39</v>
      </c>
      <c r="E208" s="13" t="s">
        <v>511</v>
      </c>
    </row>
    <row r="209" spans="1:5" x14ac:dyDescent="0.3">
      <c r="A209" s="5" t="s">
        <v>512</v>
      </c>
      <c r="B209" s="10" t="s">
        <v>513</v>
      </c>
      <c r="C209" s="11" t="s">
        <v>54</v>
      </c>
      <c r="D209" s="16" t="s">
        <v>514</v>
      </c>
      <c r="E209" s="13" t="s">
        <v>515</v>
      </c>
    </row>
    <row r="210" spans="1:5" x14ac:dyDescent="0.3">
      <c r="A210" s="5" t="s">
        <v>516</v>
      </c>
      <c r="B210" s="10" t="s">
        <v>517</v>
      </c>
      <c r="C210" s="11" t="s">
        <v>54</v>
      </c>
      <c r="D210" s="12" t="s">
        <v>39</v>
      </c>
      <c r="E210" s="13" t="s">
        <v>518</v>
      </c>
    </row>
    <row r="211" spans="1:5" x14ac:dyDescent="0.3">
      <c r="A211" s="5" t="s">
        <v>519</v>
      </c>
      <c r="B211" s="10" t="s">
        <v>517</v>
      </c>
      <c r="C211" s="11" t="s">
        <v>54</v>
      </c>
      <c r="D211" s="14" t="s">
        <v>194</v>
      </c>
      <c r="E211" s="13" t="s">
        <v>520</v>
      </c>
    </row>
    <row r="212" spans="1:5" x14ac:dyDescent="0.3">
      <c r="A212" s="5" t="s">
        <v>521</v>
      </c>
      <c r="B212" s="10" t="s">
        <v>517</v>
      </c>
      <c r="C212" s="11" t="s">
        <v>54</v>
      </c>
      <c r="D212" s="14" t="s">
        <v>194</v>
      </c>
      <c r="E212" s="13" t="s">
        <v>522</v>
      </c>
    </row>
    <row r="213" spans="1:5" x14ac:dyDescent="0.3">
      <c r="A213" s="5" t="s">
        <v>523</v>
      </c>
      <c r="B213" s="10" t="s">
        <v>524</v>
      </c>
      <c r="C213" s="11" t="s">
        <v>54</v>
      </c>
      <c r="D213" s="12" t="s">
        <v>39</v>
      </c>
      <c r="E213" s="13" t="s">
        <v>525</v>
      </c>
    </row>
    <row r="214" spans="1:5" x14ac:dyDescent="0.3">
      <c r="A214" s="5" t="s">
        <v>526</v>
      </c>
      <c r="B214" s="10" t="s">
        <v>524</v>
      </c>
      <c r="C214" s="11" t="s">
        <v>54</v>
      </c>
      <c r="D214" s="14" t="s">
        <v>194</v>
      </c>
      <c r="E214" s="13" t="s">
        <v>527</v>
      </c>
    </row>
    <row r="215" spans="1:5" x14ac:dyDescent="0.3">
      <c r="A215" s="5" t="s">
        <v>528</v>
      </c>
      <c r="B215" s="10" t="s">
        <v>529</v>
      </c>
      <c r="C215" s="11" t="s">
        <v>54</v>
      </c>
      <c r="D215" s="12" t="s">
        <v>39</v>
      </c>
      <c r="E215" s="13" t="s">
        <v>530</v>
      </c>
    </row>
    <row r="216" spans="1:5" x14ac:dyDescent="0.3">
      <c r="A216" s="5" t="s">
        <v>531</v>
      </c>
      <c r="B216" s="10" t="s">
        <v>529</v>
      </c>
      <c r="C216" s="11" t="s">
        <v>54</v>
      </c>
      <c r="D216" s="14" t="s">
        <v>194</v>
      </c>
      <c r="E216" s="13" t="s">
        <v>532</v>
      </c>
    </row>
  </sheetData>
  <autoFilter ref="A1:E21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26" customWidth="1"/>
    <col min="3" max="3" width="40" customWidth="1"/>
    <col min="4" max="4" width="24" customWidth="1"/>
    <col min="5" max="5" width="15" customWidth="1"/>
    <col min="6" max="6" width="24" customWidth="1"/>
    <col min="7" max="7" width="34" customWidth="1"/>
    <col min="8" max="8" width="7" customWidth="1"/>
  </cols>
  <sheetData>
    <row r="1" spans="1:8" x14ac:dyDescent="0.3">
      <c r="A1" s="4" t="s">
        <v>533</v>
      </c>
      <c r="B1" s="4" t="s">
        <v>534</v>
      </c>
      <c r="C1" s="4" t="s">
        <v>535</v>
      </c>
      <c r="D1" s="4" t="s">
        <v>536</v>
      </c>
      <c r="E1" s="4" t="s">
        <v>34</v>
      </c>
      <c r="F1" s="4" t="s">
        <v>537</v>
      </c>
      <c r="G1" s="4" t="s">
        <v>4</v>
      </c>
      <c r="H1" s="4" t="s">
        <v>538</v>
      </c>
    </row>
    <row r="2" spans="1:8" ht="22.8" x14ac:dyDescent="0.3">
      <c r="A2" s="17" t="s">
        <v>539</v>
      </c>
      <c r="B2" s="18" t="s">
        <v>37</v>
      </c>
      <c r="C2" s="18" t="s">
        <v>540</v>
      </c>
      <c r="D2" s="18" t="s">
        <v>541</v>
      </c>
      <c r="E2" s="19" t="s">
        <v>39</v>
      </c>
      <c r="F2" s="18" t="s">
        <v>542</v>
      </c>
      <c r="G2" s="20" t="s">
        <v>543</v>
      </c>
      <c r="H2" s="21">
        <f t="shared" ref="H2:H20" si="0">IF(E2="Done",1,IF(E2="In Progress",0.5,0))</f>
        <v>1</v>
      </c>
    </row>
    <row r="3" spans="1:8" x14ac:dyDescent="0.3">
      <c r="A3" s="17" t="s">
        <v>544</v>
      </c>
      <c r="B3" s="18" t="s">
        <v>545</v>
      </c>
      <c r="C3" s="18" t="s">
        <v>546</v>
      </c>
      <c r="D3" s="18" t="s">
        <v>547</v>
      </c>
      <c r="E3" s="19" t="s">
        <v>39</v>
      </c>
      <c r="F3" s="18" t="s">
        <v>548</v>
      </c>
      <c r="G3" s="20"/>
      <c r="H3" s="21">
        <f t="shared" si="0"/>
        <v>1</v>
      </c>
    </row>
    <row r="4" spans="1:8" x14ac:dyDescent="0.3">
      <c r="A4" s="17" t="s">
        <v>544</v>
      </c>
      <c r="B4" s="18" t="s">
        <v>549</v>
      </c>
      <c r="C4" s="18" t="s">
        <v>550</v>
      </c>
      <c r="D4" s="18" t="s">
        <v>551</v>
      </c>
      <c r="E4" s="19" t="s">
        <v>39</v>
      </c>
      <c r="F4" s="18" t="s">
        <v>552</v>
      </c>
      <c r="G4" s="20"/>
      <c r="H4" s="21">
        <f t="shared" si="0"/>
        <v>1</v>
      </c>
    </row>
    <row r="5" spans="1:8" x14ac:dyDescent="0.3">
      <c r="A5" s="17" t="s">
        <v>544</v>
      </c>
      <c r="B5" s="18" t="s">
        <v>553</v>
      </c>
      <c r="C5" s="18" t="s">
        <v>554</v>
      </c>
      <c r="D5" s="18" t="s">
        <v>555</v>
      </c>
      <c r="E5" s="19" t="s">
        <v>39</v>
      </c>
      <c r="F5" s="18" t="s">
        <v>556</v>
      </c>
      <c r="G5" s="20"/>
      <c r="H5" s="21">
        <f t="shared" si="0"/>
        <v>1</v>
      </c>
    </row>
    <row r="6" spans="1:8" x14ac:dyDescent="0.3">
      <c r="A6" s="17" t="s">
        <v>544</v>
      </c>
      <c r="B6" s="18" t="s">
        <v>557</v>
      </c>
      <c r="C6" s="18" t="s">
        <v>558</v>
      </c>
      <c r="D6" s="18" t="s">
        <v>559</v>
      </c>
      <c r="E6" s="19" t="s">
        <v>39</v>
      </c>
      <c r="F6" s="18" t="s">
        <v>560</v>
      </c>
      <c r="G6" s="20"/>
      <c r="H6" s="21">
        <f t="shared" si="0"/>
        <v>1</v>
      </c>
    </row>
    <row r="7" spans="1:8" x14ac:dyDescent="0.3">
      <c r="A7" s="17" t="s">
        <v>544</v>
      </c>
      <c r="B7" s="18" t="s">
        <v>561</v>
      </c>
      <c r="C7" s="18" t="s">
        <v>562</v>
      </c>
      <c r="D7" s="18" t="s">
        <v>563</v>
      </c>
      <c r="E7" s="19" t="s">
        <v>39</v>
      </c>
      <c r="F7" s="18" t="s">
        <v>564</v>
      </c>
      <c r="G7" s="20"/>
      <c r="H7" s="21">
        <f t="shared" si="0"/>
        <v>1</v>
      </c>
    </row>
    <row r="8" spans="1:8" x14ac:dyDescent="0.3">
      <c r="A8" s="17" t="s">
        <v>544</v>
      </c>
      <c r="B8" s="18" t="s">
        <v>565</v>
      </c>
      <c r="C8" s="18" t="s">
        <v>566</v>
      </c>
      <c r="D8" s="18" t="s">
        <v>567</v>
      </c>
      <c r="E8" s="19" t="s">
        <v>39</v>
      </c>
      <c r="F8" s="18" t="s">
        <v>568</v>
      </c>
      <c r="G8" s="20" t="s">
        <v>569</v>
      </c>
      <c r="H8" s="21">
        <f t="shared" si="0"/>
        <v>1</v>
      </c>
    </row>
    <row r="9" spans="1:8" ht="24" x14ac:dyDescent="0.3">
      <c r="A9" s="17" t="s">
        <v>570</v>
      </c>
      <c r="B9" s="18" t="s">
        <v>571</v>
      </c>
      <c r="C9" s="18" t="s">
        <v>572</v>
      </c>
      <c r="D9" s="18" t="s">
        <v>573</v>
      </c>
      <c r="E9" s="22" t="s">
        <v>194</v>
      </c>
      <c r="F9" s="18" t="s">
        <v>574</v>
      </c>
      <c r="G9" s="20" t="s">
        <v>575</v>
      </c>
      <c r="H9" s="21">
        <f t="shared" si="0"/>
        <v>0.5</v>
      </c>
    </row>
    <row r="10" spans="1:8" ht="24" x14ac:dyDescent="0.3">
      <c r="A10" s="17" t="s">
        <v>570</v>
      </c>
      <c r="B10" s="18" t="s">
        <v>576</v>
      </c>
      <c r="C10" s="18" t="s">
        <v>577</v>
      </c>
      <c r="D10" s="18" t="s">
        <v>578</v>
      </c>
      <c r="E10" s="19" t="s">
        <v>39</v>
      </c>
      <c r="F10" s="18" t="s">
        <v>579</v>
      </c>
      <c r="G10" s="20"/>
      <c r="H10" s="21">
        <f t="shared" si="0"/>
        <v>1</v>
      </c>
    </row>
    <row r="11" spans="1:8" ht="24" x14ac:dyDescent="0.3">
      <c r="A11" s="17" t="s">
        <v>570</v>
      </c>
      <c r="B11" s="18" t="s">
        <v>580</v>
      </c>
      <c r="C11" s="18" t="s">
        <v>581</v>
      </c>
      <c r="D11" s="18" t="s">
        <v>582</v>
      </c>
      <c r="E11" s="23" t="s">
        <v>197</v>
      </c>
      <c r="F11" s="18" t="s">
        <v>583</v>
      </c>
      <c r="G11" s="20" t="s">
        <v>584</v>
      </c>
      <c r="H11" s="21">
        <f t="shared" si="0"/>
        <v>0</v>
      </c>
    </row>
    <row r="12" spans="1:8" ht="24" x14ac:dyDescent="0.3">
      <c r="A12" s="17" t="s">
        <v>570</v>
      </c>
      <c r="B12" s="18" t="s">
        <v>585</v>
      </c>
      <c r="C12" s="18" t="s">
        <v>586</v>
      </c>
      <c r="D12" s="18" t="s">
        <v>587</v>
      </c>
      <c r="E12" s="22" t="s">
        <v>194</v>
      </c>
      <c r="F12" s="18" t="s">
        <v>588</v>
      </c>
      <c r="G12" s="20" t="s">
        <v>589</v>
      </c>
      <c r="H12" s="21">
        <f t="shared" si="0"/>
        <v>0.5</v>
      </c>
    </row>
    <row r="13" spans="1:8" ht="24" x14ac:dyDescent="0.3">
      <c r="A13" s="17" t="s">
        <v>570</v>
      </c>
      <c r="B13" s="18" t="s">
        <v>590</v>
      </c>
      <c r="C13" s="18" t="s">
        <v>591</v>
      </c>
      <c r="D13" s="18" t="s">
        <v>592</v>
      </c>
      <c r="E13" s="22" t="s">
        <v>194</v>
      </c>
      <c r="F13" s="18" t="s">
        <v>593</v>
      </c>
      <c r="G13" s="20" t="s">
        <v>594</v>
      </c>
      <c r="H13" s="21">
        <f t="shared" si="0"/>
        <v>0.5</v>
      </c>
    </row>
    <row r="14" spans="1:8" ht="24" x14ac:dyDescent="0.3">
      <c r="A14" s="17" t="s">
        <v>570</v>
      </c>
      <c r="B14" s="18" t="s">
        <v>595</v>
      </c>
      <c r="C14" s="18" t="s">
        <v>596</v>
      </c>
      <c r="D14" s="18" t="s">
        <v>597</v>
      </c>
      <c r="E14" s="22" t="s">
        <v>194</v>
      </c>
      <c r="F14" s="18" t="s">
        <v>598</v>
      </c>
      <c r="G14" s="20" t="s">
        <v>599</v>
      </c>
      <c r="H14" s="21">
        <f t="shared" si="0"/>
        <v>0.5</v>
      </c>
    </row>
    <row r="15" spans="1:8" ht="24" x14ac:dyDescent="0.3">
      <c r="A15" s="17" t="s">
        <v>600</v>
      </c>
      <c r="B15" s="18" t="s">
        <v>601</v>
      </c>
      <c r="C15" s="18" t="s">
        <v>602</v>
      </c>
      <c r="D15" s="18" t="s">
        <v>603</v>
      </c>
      <c r="E15" s="22" t="s">
        <v>194</v>
      </c>
      <c r="F15" s="18" t="s">
        <v>604</v>
      </c>
      <c r="G15" s="20" t="s">
        <v>605</v>
      </c>
      <c r="H15" s="21">
        <f t="shared" si="0"/>
        <v>0.5</v>
      </c>
    </row>
    <row r="16" spans="1:8" ht="24" x14ac:dyDescent="0.3">
      <c r="A16" s="17" t="s">
        <v>600</v>
      </c>
      <c r="B16" s="18" t="s">
        <v>606</v>
      </c>
      <c r="C16" s="18" t="s">
        <v>607</v>
      </c>
      <c r="D16" s="18" t="s">
        <v>608</v>
      </c>
      <c r="E16" s="22" t="s">
        <v>194</v>
      </c>
      <c r="F16" s="18" t="s">
        <v>609</v>
      </c>
      <c r="G16" s="20" t="s">
        <v>610</v>
      </c>
      <c r="H16" s="21">
        <f t="shared" si="0"/>
        <v>0.5</v>
      </c>
    </row>
    <row r="17" spans="1:8" ht="24" x14ac:dyDescent="0.3">
      <c r="A17" s="17" t="s">
        <v>600</v>
      </c>
      <c r="B17" s="18" t="s">
        <v>611</v>
      </c>
      <c r="C17" s="18" t="s">
        <v>612</v>
      </c>
      <c r="D17" s="18" t="s">
        <v>613</v>
      </c>
      <c r="E17" s="22" t="s">
        <v>194</v>
      </c>
      <c r="F17" s="18" t="s">
        <v>614</v>
      </c>
      <c r="G17" s="20" t="s">
        <v>615</v>
      </c>
      <c r="H17" s="21">
        <f t="shared" si="0"/>
        <v>0.5</v>
      </c>
    </row>
    <row r="18" spans="1:8" x14ac:dyDescent="0.3">
      <c r="A18" s="17" t="s">
        <v>616</v>
      </c>
      <c r="B18" s="18" t="s">
        <v>617</v>
      </c>
      <c r="C18" s="18" t="s">
        <v>618</v>
      </c>
      <c r="D18" s="18" t="s">
        <v>619</v>
      </c>
      <c r="E18" s="22" t="s">
        <v>194</v>
      </c>
      <c r="F18" s="18" t="s">
        <v>620</v>
      </c>
      <c r="G18" s="20" t="s">
        <v>621</v>
      </c>
      <c r="H18" s="21">
        <f t="shared" si="0"/>
        <v>0.5</v>
      </c>
    </row>
    <row r="19" spans="1:8" x14ac:dyDescent="0.3">
      <c r="A19" s="17" t="s">
        <v>616</v>
      </c>
      <c r="B19" s="18" t="s">
        <v>622</v>
      </c>
      <c r="C19" s="18" t="s">
        <v>623</v>
      </c>
      <c r="D19" s="18" t="s">
        <v>624</v>
      </c>
      <c r="E19" s="22" t="s">
        <v>194</v>
      </c>
      <c r="F19" s="18" t="s">
        <v>625</v>
      </c>
      <c r="G19" s="20" t="s">
        <v>626</v>
      </c>
      <c r="H19" s="21">
        <f t="shared" si="0"/>
        <v>0.5</v>
      </c>
    </row>
    <row r="20" spans="1:8" x14ac:dyDescent="0.3">
      <c r="A20" s="17" t="s">
        <v>616</v>
      </c>
      <c r="B20" s="18" t="s">
        <v>627</v>
      </c>
      <c r="C20" s="18" t="s">
        <v>628</v>
      </c>
      <c r="D20" s="18" t="s">
        <v>629</v>
      </c>
      <c r="E20" s="23" t="s">
        <v>197</v>
      </c>
      <c r="F20" s="18" t="s">
        <v>37</v>
      </c>
      <c r="G20" s="20" t="s">
        <v>630</v>
      </c>
      <c r="H20" s="21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3" width="22" customWidth="1"/>
    <col min="4" max="4" width="32" customWidth="1"/>
    <col min="5" max="5" width="24" customWidth="1"/>
    <col min="6" max="6" width="46" customWidth="1"/>
    <col min="7" max="7" width="42" customWidth="1"/>
    <col min="8" max="8" width="16" customWidth="1"/>
    <col min="9" max="9" width="20" customWidth="1"/>
    <col min="10" max="10" width="28" customWidth="1"/>
  </cols>
  <sheetData>
    <row r="1" spans="1:10" ht="22.8" x14ac:dyDescent="0.4">
      <c r="A1" s="2" t="s">
        <v>631</v>
      </c>
    </row>
    <row r="2" spans="1:10" x14ac:dyDescent="0.3">
      <c r="A2" s="3" t="s">
        <v>632</v>
      </c>
    </row>
    <row r="4" spans="1:10" x14ac:dyDescent="0.3">
      <c r="A4" s="24" t="s">
        <v>633</v>
      </c>
      <c r="B4" s="25">
        <f>COUNTIF($H$8:$H$100,"Now")</f>
        <v>7</v>
      </c>
    </row>
    <row r="5" spans="1:10" x14ac:dyDescent="0.3">
      <c r="A5" s="24" t="s">
        <v>634</v>
      </c>
      <c r="B5" s="25">
        <f>COUNTIF($H$8:$H$100,"Pending*")</f>
        <v>8</v>
      </c>
    </row>
    <row r="6" spans="1:10" x14ac:dyDescent="0.3">
      <c r="A6" s="24" t="s">
        <v>635</v>
      </c>
      <c r="B6" s="25">
        <f>COUNTIF($H$8:$H$100,"Not built*")</f>
        <v>2</v>
      </c>
    </row>
    <row r="7" spans="1:10" x14ac:dyDescent="0.3">
      <c r="A7" s="4" t="s">
        <v>636</v>
      </c>
      <c r="B7" s="4" t="s">
        <v>637</v>
      </c>
      <c r="C7" s="4" t="s">
        <v>35</v>
      </c>
      <c r="D7" s="4" t="s">
        <v>638</v>
      </c>
      <c r="E7" s="4" t="s">
        <v>639</v>
      </c>
      <c r="F7" s="4" t="s">
        <v>640</v>
      </c>
      <c r="G7" s="4" t="s">
        <v>641</v>
      </c>
      <c r="H7" s="4" t="s">
        <v>642</v>
      </c>
      <c r="I7" s="4" t="s">
        <v>34</v>
      </c>
      <c r="J7" s="4" t="s">
        <v>643</v>
      </c>
    </row>
    <row r="8" spans="1:10" ht="72" customHeight="1" x14ac:dyDescent="0.3">
      <c r="A8" s="26" t="s">
        <v>644</v>
      </c>
      <c r="B8" s="27" t="s">
        <v>645</v>
      </c>
      <c r="C8" s="27" t="s">
        <v>646</v>
      </c>
      <c r="D8" s="28" t="s">
        <v>647</v>
      </c>
      <c r="E8" s="28" t="s">
        <v>648</v>
      </c>
      <c r="F8" s="28" t="s">
        <v>649</v>
      </c>
      <c r="G8" s="28" t="s">
        <v>650</v>
      </c>
      <c r="H8" s="29" t="s">
        <v>651</v>
      </c>
      <c r="I8" s="30" t="s">
        <v>652</v>
      </c>
      <c r="J8" s="28" t="s">
        <v>37</v>
      </c>
    </row>
    <row r="9" spans="1:10" ht="72" customHeight="1" x14ac:dyDescent="0.3">
      <c r="A9" s="26" t="s">
        <v>653</v>
      </c>
      <c r="B9" s="27" t="s">
        <v>654</v>
      </c>
      <c r="C9" s="27" t="s">
        <v>655</v>
      </c>
      <c r="D9" s="28" t="s">
        <v>656</v>
      </c>
      <c r="E9" s="28" t="s">
        <v>657</v>
      </c>
      <c r="F9" s="28" t="s">
        <v>658</v>
      </c>
      <c r="G9" s="28" t="s">
        <v>659</v>
      </c>
      <c r="H9" s="29" t="s">
        <v>651</v>
      </c>
      <c r="I9" s="30" t="s">
        <v>652</v>
      </c>
      <c r="J9" s="28" t="s">
        <v>37</v>
      </c>
    </row>
    <row r="10" spans="1:10" ht="72" customHeight="1" x14ac:dyDescent="0.3">
      <c r="A10" s="26" t="s">
        <v>660</v>
      </c>
      <c r="B10" s="27" t="s">
        <v>661</v>
      </c>
      <c r="C10" s="27" t="s">
        <v>662</v>
      </c>
      <c r="D10" s="28" t="s">
        <v>663</v>
      </c>
      <c r="E10" s="28" t="s">
        <v>664</v>
      </c>
      <c r="F10" s="28" t="s">
        <v>665</v>
      </c>
      <c r="G10" s="28" t="s">
        <v>666</v>
      </c>
      <c r="H10" s="29" t="s">
        <v>651</v>
      </c>
      <c r="I10" s="30" t="s">
        <v>652</v>
      </c>
      <c r="J10" s="28" t="s">
        <v>37</v>
      </c>
    </row>
    <row r="11" spans="1:10" ht="72" customHeight="1" x14ac:dyDescent="0.3">
      <c r="A11" s="26" t="s">
        <v>667</v>
      </c>
      <c r="B11" s="27" t="s">
        <v>668</v>
      </c>
      <c r="C11" s="27" t="s">
        <v>669</v>
      </c>
      <c r="D11" s="28" t="s">
        <v>670</v>
      </c>
      <c r="E11" s="28" t="s">
        <v>671</v>
      </c>
      <c r="F11" s="28" t="s">
        <v>672</v>
      </c>
      <c r="G11" s="28" t="s">
        <v>673</v>
      </c>
      <c r="H11" s="29" t="s">
        <v>651</v>
      </c>
      <c r="I11" s="30" t="s">
        <v>652</v>
      </c>
      <c r="J11" s="28" t="s">
        <v>37</v>
      </c>
    </row>
    <row r="12" spans="1:10" ht="72" customHeight="1" x14ac:dyDescent="0.3">
      <c r="A12" s="26" t="s">
        <v>674</v>
      </c>
      <c r="B12" s="27" t="s">
        <v>675</v>
      </c>
      <c r="C12" s="27" t="s">
        <v>676</v>
      </c>
      <c r="D12" s="28" t="s">
        <v>677</v>
      </c>
      <c r="E12" s="28" t="s">
        <v>678</v>
      </c>
      <c r="F12" s="28" t="s">
        <v>679</v>
      </c>
      <c r="G12" s="28" t="s">
        <v>680</v>
      </c>
      <c r="H12" s="29" t="s">
        <v>651</v>
      </c>
      <c r="I12" s="31" t="s">
        <v>681</v>
      </c>
      <c r="J12" s="28" t="s">
        <v>682</v>
      </c>
    </row>
    <row r="13" spans="1:10" ht="72" customHeight="1" x14ac:dyDescent="0.3">
      <c r="A13" s="26" t="s">
        <v>683</v>
      </c>
      <c r="B13" s="27" t="s">
        <v>684</v>
      </c>
      <c r="C13" s="27" t="s">
        <v>685</v>
      </c>
      <c r="D13" s="28" t="s">
        <v>686</v>
      </c>
      <c r="E13" s="28" t="s">
        <v>687</v>
      </c>
      <c r="F13" s="28" t="s">
        <v>688</v>
      </c>
      <c r="G13" s="28" t="s">
        <v>689</v>
      </c>
      <c r="H13" s="29" t="s">
        <v>651</v>
      </c>
      <c r="I13" s="30" t="s">
        <v>652</v>
      </c>
      <c r="J13" s="28" t="s">
        <v>37</v>
      </c>
    </row>
    <row r="14" spans="1:10" ht="72" customHeight="1" x14ac:dyDescent="0.3">
      <c r="A14" s="26" t="s">
        <v>690</v>
      </c>
      <c r="B14" s="27" t="s">
        <v>691</v>
      </c>
      <c r="C14" s="27" t="s">
        <v>692</v>
      </c>
      <c r="D14" s="28" t="s">
        <v>693</v>
      </c>
      <c r="E14" s="28" t="s">
        <v>678</v>
      </c>
      <c r="F14" s="28" t="s">
        <v>694</v>
      </c>
      <c r="G14" s="28" t="s">
        <v>695</v>
      </c>
      <c r="H14" s="29" t="s">
        <v>651</v>
      </c>
      <c r="I14" s="30" t="s">
        <v>696</v>
      </c>
      <c r="J14" s="28" t="s">
        <v>697</v>
      </c>
    </row>
    <row r="15" spans="1:10" ht="72" customHeight="1" x14ac:dyDescent="0.3">
      <c r="A15" s="26" t="s">
        <v>698</v>
      </c>
      <c r="B15" s="27" t="s">
        <v>699</v>
      </c>
      <c r="C15" s="27" t="s">
        <v>700</v>
      </c>
      <c r="D15" s="28" t="s">
        <v>701</v>
      </c>
      <c r="E15" s="28" t="s">
        <v>702</v>
      </c>
      <c r="F15" s="28" t="s">
        <v>703</v>
      </c>
      <c r="G15" s="28" t="s">
        <v>704</v>
      </c>
      <c r="H15" s="32" t="s">
        <v>705</v>
      </c>
      <c r="I15" s="33" t="s">
        <v>705</v>
      </c>
      <c r="J15" s="28" t="s">
        <v>706</v>
      </c>
    </row>
    <row r="16" spans="1:10" ht="72" customHeight="1" x14ac:dyDescent="0.3">
      <c r="A16" s="26" t="s">
        <v>707</v>
      </c>
      <c r="B16" s="27" t="s">
        <v>708</v>
      </c>
      <c r="C16" s="27" t="s">
        <v>709</v>
      </c>
      <c r="D16" s="28" t="s">
        <v>710</v>
      </c>
      <c r="E16" s="28" t="s">
        <v>711</v>
      </c>
      <c r="F16" s="28" t="s">
        <v>712</v>
      </c>
      <c r="G16" s="28" t="s">
        <v>713</v>
      </c>
      <c r="H16" s="34" t="s">
        <v>714</v>
      </c>
      <c r="I16" s="31" t="s">
        <v>715</v>
      </c>
      <c r="J16" s="28" t="s">
        <v>716</v>
      </c>
    </row>
    <row r="17" spans="1:10" ht="72" customHeight="1" x14ac:dyDescent="0.3">
      <c r="A17" s="26" t="s">
        <v>717</v>
      </c>
      <c r="B17" s="27" t="s">
        <v>718</v>
      </c>
      <c r="C17" s="27" t="s">
        <v>719</v>
      </c>
      <c r="D17" s="28" t="s">
        <v>720</v>
      </c>
      <c r="E17" s="28" t="s">
        <v>721</v>
      </c>
      <c r="F17" s="28" t="s">
        <v>722</v>
      </c>
      <c r="G17" s="28" t="s">
        <v>723</v>
      </c>
      <c r="H17" s="34" t="s">
        <v>714</v>
      </c>
      <c r="I17" s="31" t="s">
        <v>714</v>
      </c>
      <c r="J17" s="28" t="s">
        <v>724</v>
      </c>
    </row>
    <row r="18" spans="1:10" ht="72" customHeight="1" x14ac:dyDescent="0.3">
      <c r="A18" s="26" t="s">
        <v>725</v>
      </c>
      <c r="B18" s="27" t="s">
        <v>726</v>
      </c>
      <c r="C18" s="27" t="s">
        <v>727</v>
      </c>
      <c r="D18" s="28" t="s">
        <v>728</v>
      </c>
      <c r="E18" s="28" t="s">
        <v>729</v>
      </c>
      <c r="F18" s="28" t="s">
        <v>730</v>
      </c>
      <c r="G18" s="28" t="s">
        <v>731</v>
      </c>
      <c r="H18" s="34" t="s">
        <v>714</v>
      </c>
      <c r="I18" s="31" t="s">
        <v>714</v>
      </c>
      <c r="J18" s="28" t="s">
        <v>732</v>
      </c>
    </row>
    <row r="19" spans="1:10" ht="72" customHeight="1" x14ac:dyDescent="0.3">
      <c r="A19" s="26" t="s">
        <v>733</v>
      </c>
      <c r="B19" s="27" t="s">
        <v>734</v>
      </c>
      <c r="C19" s="27" t="s">
        <v>735</v>
      </c>
      <c r="D19" s="28" t="s">
        <v>736</v>
      </c>
      <c r="E19" s="28" t="s">
        <v>737</v>
      </c>
      <c r="F19" s="28" t="s">
        <v>738</v>
      </c>
      <c r="G19" s="28" t="s">
        <v>739</v>
      </c>
      <c r="H19" s="34" t="s">
        <v>714</v>
      </c>
      <c r="I19" s="31" t="s">
        <v>740</v>
      </c>
      <c r="J19" s="28" t="s">
        <v>741</v>
      </c>
    </row>
    <row r="20" spans="1:10" ht="72" customHeight="1" x14ac:dyDescent="0.3">
      <c r="A20" s="26" t="s">
        <v>742</v>
      </c>
      <c r="B20" s="27" t="s">
        <v>743</v>
      </c>
      <c r="C20" s="27" t="s">
        <v>744</v>
      </c>
      <c r="D20" s="28" t="s">
        <v>745</v>
      </c>
      <c r="E20" s="28" t="s">
        <v>746</v>
      </c>
      <c r="F20" s="28" t="s">
        <v>747</v>
      </c>
      <c r="G20" s="28" t="s">
        <v>748</v>
      </c>
      <c r="H20" s="34" t="s">
        <v>714</v>
      </c>
      <c r="I20" s="31" t="s">
        <v>749</v>
      </c>
      <c r="J20" s="28" t="s">
        <v>750</v>
      </c>
    </row>
    <row r="21" spans="1:10" ht="72" customHeight="1" x14ac:dyDescent="0.3">
      <c r="A21" s="26" t="s">
        <v>751</v>
      </c>
      <c r="B21" s="27" t="s">
        <v>752</v>
      </c>
      <c r="C21" s="27" t="s">
        <v>753</v>
      </c>
      <c r="D21" s="28" t="s">
        <v>754</v>
      </c>
      <c r="E21" s="28" t="s">
        <v>755</v>
      </c>
      <c r="F21" s="28" t="s">
        <v>756</v>
      </c>
      <c r="G21" s="28" t="s">
        <v>757</v>
      </c>
      <c r="H21" s="34" t="s">
        <v>714</v>
      </c>
      <c r="I21" s="31" t="s">
        <v>758</v>
      </c>
      <c r="J21" s="28" t="s">
        <v>759</v>
      </c>
    </row>
    <row r="22" spans="1:10" ht="72" customHeight="1" x14ac:dyDescent="0.3">
      <c r="A22" s="26" t="s">
        <v>760</v>
      </c>
      <c r="B22" s="27" t="s">
        <v>761</v>
      </c>
      <c r="C22" s="27" t="s">
        <v>762</v>
      </c>
      <c r="D22" s="28" t="s">
        <v>763</v>
      </c>
      <c r="E22" s="28" t="s">
        <v>764</v>
      </c>
      <c r="F22" s="28" t="s">
        <v>765</v>
      </c>
      <c r="G22" s="28" t="s">
        <v>766</v>
      </c>
      <c r="H22" s="34" t="s">
        <v>714</v>
      </c>
      <c r="I22" s="31" t="s">
        <v>714</v>
      </c>
      <c r="J22" s="28" t="s">
        <v>767</v>
      </c>
    </row>
    <row r="23" spans="1:10" ht="72" customHeight="1" x14ac:dyDescent="0.3">
      <c r="A23" s="26" t="s">
        <v>768</v>
      </c>
      <c r="B23" s="27" t="s">
        <v>769</v>
      </c>
      <c r="C23" s="27" t="s">
        <v>770</v>
      </c>
      <c r="D23" s="28" t="s">
        <v>771</v>
      </c>
      <c r="E23" s="28" t="s">
        <v>772</v>
      </c>
      <c r="F23" s="28" t="s">
        <v>773</v>
      </c>
      <c r="G23" s="28" t="s">
        <v>774</v>
      </c>
      <c r="H23" s="34" t="s">
        <v>714</v>
      </c>
      <c r="I23" s="31" t="s">
        <v>775</v>
      </c>
      <c r="J23" s="28" t="s">
        <v>776</v>
      </c>
    </row>
    <row r="24" spans="1:10" ht="72" customHeight="1" x14ac:dyDescent="0.3">
      <c r="A24" s="26" t="s">
        <v>777</v>
      </c>
      <c r="B24" s="27" t="s">
        <v>778</v>
      </c>
      <c r="C24" s="27" t="s">
        <v>779</v>
      </c>
      <c r="D24" s="28" t="s">
        <v>780</v>
      </c>
      <c r="E24" s="28" t="s">
        <v>781</v>
      </c>
      <c r="F24" s="28" t="s">
        <v>782</v>
      </c>
      <c r="G24" s="28" t="s">
        <v>783</v>
      </c>
      <c r="H24" s="32" t="s">
        <v>705</v>
      </c>
      <c r="I24" s="33" t="s">
        <v>705</v>
      </c>
      <c r="J24" s="28" t="s">
        <v>784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showGridLines="0" zoomScaleNormal="100" workbookViewId="0"/>
  </sheetViews>
  <sheetFormatPr defaultColWidth="8.6640625" defaultRowHeight="14.4" x14ac:dyDescent="0.3"/>
  <cols>
    <col min="1" max="1" width="16" customWidth="1"/>
    <col min="2" max="2" width="12" customWidth="1"/>
    <col min="3" max="3" width="14" customWidth="1"/>
  </cols>
  <sheetData>
    <row r="1" spans="1:3" ht="22.8" x14ac:dyDescent="0.4">
      <c r="A1" s="2" t="s">
        <v>785</v>
      </c>
    </row>
    <row r="3" spans="1:3" x14ac:dyDescent="0.3">
      <c r="A3" s="4" t="s">
        <v>34</v>
      </c>
      <c r="B3" s="4" t="s">
        <v>786</v>
      </c>
      <c r="C3" s="4" t="s">
        <v>787</v>
      </c>
    </row>
    <row r="4" spans="1:3" x14ac:dyDescent="0.3">
      <c r="A4" s="35" t="s">
        <v>39</v>
      </c>
      <c r="B4" s="11">
        <f>COUNTIF('Feature Register'!$D$2:$D$216,A4)</f>
        <v>204</v>
      </c>
      <c r="C4" s="36">
        <f t="shared" ref="C4:C9" si="0">IF($B$10=0,0,B4/$B$10)</f>
        <v>0.94883720930232562</v>
      </c>
    </row>
    <row r="5" spans="1:3" x14ac:dyDescent="0.3">
      <c r="A5" s="37" t="s">
        <v>194</v>
      </c>
      <c r="B5" s="11">
        <f>COUNTIF('Feature Register'!$D$2:$D$216,A5)</f>
        <v>7</v>
      </c>
      <c r="C5" s="36">
        <f t="shared" si="0"/>
        <v>3.255813953488372E-2</v>
      </c>
    </row>
    <row r="6" spans="1:3" x14ac:dyDescent="0.3">
      <c r="A6" s="38" t="s">
        <v>197</v>
      </c>
      <c r="B6" s="11">
        <f>COUNTIF('Feature Register'!$D$2:$D$216,A6)</f>
        <v>3</v>
      </c>
      <c r="C6" s="36">
        <f t="shared" si="0"/>
        <v>1.3953488372093023E-2</v>
      </c>
    </row>
    <row r="7" spans="1:3" x14ac:dyDescent="0.3">
      <c r="A7" s="39" t="s">
        <v>788</v>
      </c>
      <c r="B7" s="11">
        <f>COUNTIF('Feature Register'!$D$2:$D$216,A7)</f>
        <v>0</v>
      </c>
      <c r="C7" s="36">
        <f t="shared" si="0"/>
        <v>0</v>
      </c>
    </row>
    <row r="8" spans="1:3" x14ac:dyDescent="0.3">
      <c r="A8" s="40" t="s">
        <v>789</v>
      </c>
      <c r="B8" s="11">
        <f>COUNTIF('Feature Register'!$D$2:$D$216,A8)</f>
        <v>0</v>
      </c>
      <c r="C8" s="36">
        <f t="shared" si="0"/>
        <v>0</v>
      </c>
    </row>
    <row r="9" spans="1:3" x14ac:dyDescent="0.3">
      <c r="A9" s="40" t="s">
        <v>514</v>
      </c>
      <c r="B9" s="11">
        <f>COUNTIF('Feature Register'!$D$2:$D$216,A9)</f>
        <v>1</v>
      </c>
      <c r="C9" s="36">
        <f t="shared" si="0"/>
        <v>4.6511627906976744E-3</v>
      </c>
    </row>
    <row r="10" spans="1:3" x14ac:dyDescent="0.3">
      <c r="A10" s="24" t="s">
        <v>790</v>
      </c>
      <c r="B10" s="24">
        <f>SUM(B4:B9)</f>
        <v>215</v>
      </c>
      <c r="C10" s="41"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showGridLines="0" zoomScaleNormal="100" workbookViewId="0"/>
  </sheetViews>
  <sheetFormatPr defaultColWidth="8.6640625" defaultRowHeight="14.4" x14ac:dyDescent="0.3"/>
  <cols>
    <col min="1" max="1" width="10" customWidth="1"/>
    <col min="2" max="2" width="40" customWidth="1"/>
    <col min="3" max="3" width="14" customWidth="1"/>
    <col min="4" max="4" width="32" customWidth="1"/>
    <col min="5" max="5" width="50" customWidth="1"/>
  </cols>
  <sheetData>
    <row r="1" spans="1:5" ht="22.8" x14ac:dyDescent="0.4">
      <c r="A1" s="2" t="s">
        <v>791</v>
      </c>
    </row>
    <row r="3" spans="1:5" x14ac:dyDescent="0.3">
      <c r="A3" s="4" t="s">
        <v>792</v>
      </c>
      <c r="B3" s="4" t="s">
        <v>793</v>
      </c>
      <c r="C3" s="4" t="s">
        <v>34</v>
      </c>
      <c r="D3" s="4" t="s">
        <v>794</v>
      </c>
      <c r="E3" s="4" t="s">
        <v>795</v>
      </c>
    </row>
    <row r="4" spans="1:5" ht="22.8" x14ac:dyDescent="0.3">
      <c r="A4" s="42" t="s">
        <v>796</v>
      </c>
      <c r="B4" s="18" t="s">
        <v>797</v>
      </c>
      <c r="C4" s="22" t="s">
        <v>194</v>
      </c>
      <c r="D4" s="18" t="s">
        <v>798</v>
      </c>
      <c r="E4" s="18" t="s">
        <v>799</v>
      </c>
    </row>
    <row r="5" spans="1:5" x14ac:dyDescent="0.3">
      <c r="A5" s="42" t="s">
        <v>800</v>
      </c>
      <c r="B5" s="18" t="s">
        <v>801</v>
      </c>
      <c r="C5" s="23" t="s">
        <v>197</v>
      </c>
      <c r="D5" s="18" t="s">
        <v>802</v>
      </c>
      <c r="E5" s="18" t="s">
        <v>803</v>
      </c>
    </row>
    <row r="6" spans="1:5" ht="22.8" x14ac:dyDescent="0.3">
      <c r="A6" s="42" t="s">
        <v>800</v>
      </c>
      <c r="B6" s="18" t="s">
        <v>804</v>
      </c>
      <c r="C6" s="22" t="s">
        <v>194</v>
      </c>
      <c r="D6" s="18" t="s">
        <v>805</v>
      </c>
      <c r="E6" s="18" t="s">
        <v>806</v>
      </c>
    </row>
    <row r="7" spans="1:5" ht="22.8" x14ac:dyDescent="0.3">
      <c r="A7" s="42" t="s">
        <v>800</v>
      </c>
      <c r="B7" s="18" t="s">
        <v>807</v>
      </c>
      <c r="C7" s="22" t="s">
        <v>194</v>
      </c>
      <c r="D7" s="18" t="s">
        <v>808</v>
      </c>
      <c r="E7" s="18" t="s">
        <v>809</v>
      </c>
    </row>
    <row r="8" spans="1:5" ht="22.8" x14ac:dyDescent="0.3">
      <c r="A8" s="42" t="s">
        <v>810</v>
      </c>
      <c r="B8" s="18" t="s">
        <v>811</v>
      </c>
      <c r="C8" s="22" t="s">
        <v>194</v>
      </c>
      <c r="D8" s="18" t="s">
        <v>812</v>
      </c>
      <c r="E8" s="18" t="s">
        <v>813</v>
      </c>
    </row>
    <row r="9" spans="1:5" ht="22.8" x14ac:dyDescent="0.3">
      <c r="A9" s="42" t="s">
        <v>810</v>
      </c>
      <c r="B9" s="18" t="s">
        <v>814</v>
      </c>
      <c r="C9" s="22" t="s">
        <v>194</v>
      </c>
      <c r="D9" s="18" t="s">
        <v>815</v>
      </c>
      <c r="E9" s="18" t="s">
        <v>816</v>
      </c>
    </row>
    <row r="10" spans="1:5" x14ac:dyDescent="0.3">
      <c r="A10" s="42" t="s">
        <v>817</v>
      </c>
      <c r="B10" s="18" t="s">
        <v>818</v>
      </c>
      <c r="C10" s="22" t="s">
        <v>194</v>
      </c>
      <c r="D10" s="18" t="s">
        <v>819</v>
      </c>
      <c r="E10" s="18" t="s">
        <v>820</v>
      </c>
    </row>
    <row r="11" spans="1:5" ht="22.8" x14ac:dyDescent="0.3">
      <c r="A11" s="42" t="s">
        <v>817</v>
      </c>
      <c r="B11" s="18" t="s">
        <v>821</v>
      </c>
      <c r="C11" s="22" t="s">
        <v>194</v>
      </c>
      <c r="D11" s="18" t="s">
        <v>822</v>
      </c>
      <c r="E11" s="18" t="s">
        <v>823</v>
      </c>
    </row>
    <row r="12" spans="1:5" x14ac:dyDescent="0.3">
      <c r="A12" s="42" t="s">
        <v>817</v>
      </c>
      <c r="B12" s="18" t="s">
        <v>824</v>
      </c>
      <c r="C12" s="23" t="s">
        <v>197</v>
      </c>
      <c r="D12" s="18" t="s">
        <v>825</v>
      </c>
      <c r="E12" s="18" t="s">
        <v>826</v>
      </c>
    </row>
    <row r="13" spans="1:5" x14ac:dyDescent="0.3">
      <c r="A13" s="42" t="s">
        <v>827</v>
      </c>
      <c r="B13" s="18" t="s">
        <v>828</v>
      </c>
      <c r="C13" s="23" t="s">
        <v>197</v>
      </c>
      <c r="D13" s="18" t="s">
        <v>829</v>
      </c>
      <c r="E13" s="18" t="s">
        <v>830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Feature Register</vt:lpstr>
      <vt:lpstr>Roadmap vs Actual</vt:lpstr>
      <vt:lpstr>Manual Test Plan</vt:lpstr>
      <vt:lpstr>Status Rollup</vt:lpstr>
      <vt:lpstr>Gaps &amp; Next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Ifham  Mohamed</cp:lastModifiedBy>
  <cp:revision>1</cp:revision>
  <dcterms:created xsi:type="dcterms:W3CDTF">2026-07-03T10:34:13Z</dcterms:created>
  <dcterms:modified xsi:type="dcterms:W3CDTF">2026-07-03T10:37:26Z</dcterms:modified>
  <dc:language>en-US</dc:language>
</cp:coreProperties>
</file>