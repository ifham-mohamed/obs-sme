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istrator\Downloads\Research\data\"/>
    </mc:Choice>
  </mc:AlternateContent>
  <xr:revisionPtr revIDLastSave="0" documentId="13_ncr:1_{6CF5D5C3-A731-4F3F-BA08-61507D5AA661}" xr6:coauthVersionLast="47" xr6:coauthVersionMax="47" xr10:uidLastSave="{00000000-0000-0000-0000-000000000000}"/>
  <bookViews>
    <workbookView xWindow="-108" yWindow="-108" windowWidth="23256" windowHeight="13176" xr2:uid="{DE2D4BD6-D7A3-4C0D-813B-2008751E4982}"/>
  </bookViews>
  <sheets>
    <sheet name="summary" sheetId="2" r:id="rId1"/>
    <sheet name="regulations_raw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88" i="2" l="1" a="1"/>
  <c r="A88" i="2" s="1"/>
  <c r="B88" i="2" s="1"/>
  <c r="C115" i="2"/>
  <c r="B115" i="2"/>
  <c r="C114" i="2"/>
  <c r="B114" i="2"/>
  <c r="C113" i="2"/>
  <c r="B113" i="2"/>
  <c r="C112" i="2"/>
  <c r="B112" i="2"/>
  <c r="C111" i="2"/>
  <c r="B111" i="2"/>
  <c r="C110" i="2"/>
  <c r="B110" i="2"/>
  <c r="C109" i="2"/>
  <c r="B109" i="2"/>
  <c r="C108" i="2"/>
  <c r="B108" i="2"/>
  <c r="C107" i="2"/>
  <c r="B107" i="2"/>
  <c r="C106" i="2"/>
  <c r="B106" i="2"/>
  <c r="E105" i="2"/>
  <c r="E104" i="2"/>
  <c r="E103" i="2"/>
  <c r="E102" i="2"/>
  <c r="A102" i="2" a="1"/>
  <c r="A102" i="2" s="1"/>
  <c r="E97" i="2"/>
  <c r="E96" i="2"/>
  <c r="E95" i="2"/>
  <c r="E94" i="2"/>
  <c r="E93" i="2"/>
  <c r="E92" i="2"/>
  <c r="E91" i="2"/>
  <c r="E90" i="2"/>
  <c r="B97" i="2"/>
  <c r="B96" i="2"/>
  <c r="B95" i="2"/>
  <c r="B94" i="2"/>
  <c r="B93" i="2"/>
  <c r="B92" i="2"/>
  <c r="B91" i="2"/>
  <c r="B90" i="2"/>
  <c r="B89" i="2"/>
  <c r="D88" i="2" a="1"/>
  <c r="E83" i="2"/>
  <c r="D83" i="2"/>
  <c r="C83" i="2"/>
  <c r="B83" i="2"/>
  <c r="E82" i="2"/>
  <c r="D82" i="2"/>
  <c r="C82" i="2"/>
  <c r="B82" i="2"/>
  <c r="E81" i="2"/>
  <c r="D81" i="2"/>
  <c r="C81" i="2"/>
  <c r="B81" i="2"/>
  <c r="E80" i="2"/>
  <c r="D80" i="2"/>
  <c r="C80" i="2"/>
  <c r="B80" i="2"/>
  <c r="E79" i="2"/>
  <c r="D79" i="2"/>
  <c r="C79" i="2"/>
  <c r="B79" i="2"/>
  <c r="E78" i="2"/>
  <c r="D78" i="2"/>
  <c r="C78" i="2"/>
  <c r="B78" i="2"/>
  <c r="E77" i="2"/>
  <c r="D77" i="2"/>
  <c r="C77" i="2"/>
  <c r="B77" i="2"/>
  <c r="E76" i="2"/>
  <c r="D76" i="2"/>
  <c r="C76" i="2"/>
  <c r="B76" i="2"/>
  <c r="A69" i="2" a="1"/>
  <c r="A69" i="2" s="1"/>
  <c r="C69" i="2" s="1"/>
  <c r="E64" i="2"/>
  <c r="D64" i="2"/>
  <c r="C64" i="2"/>
  <c r="B64" i="2"/>
  <c r="E63" i="2"/>
  <c r="D63" i="2"/>
  <c r="C63" i="2"/>
  <c r="B63" i="2"/>
  <c r="E62" i="2"/>
  <c r="D62" i="2"/>
  <c r="C62" i="2"/>
  <c r="B62" i="2"/>
  <c r="E61" i="2"/>
  <c r="D61" i="2"/>
  <c r="C61" i="2"/>
  <c r="B61" i="2"/>
  <c r="E60" i="2"/>
  <c r="D60" i="2"/>
  <c r="C60" i="2"/>
  <c r="B60" i="2"/>
  <c r="A55" i="2" a="1"/>
  <c r="A55" i="2" s="1"/>
  <c r="D55" i="2" s="1"/>
  <c r="E50" i="2"/>
  <c r="D50" i="2"/>
  <c r="C50" i="2"/>
  <c r="B50" i="2"/>
  <c r="E49" i="2"/>
  <c r="D49" i="2"/>
  <c r="C49" i="2"/>
  <c r="B49" i="2"/>
  <c r="E48" i="2"/>
  <c r="D48" i="2"/>
  <c r="C48" i="2"/>
  <c r="B48" i="2"/>
  <c r="E47" i="2"/>
  <c r="D47" i="2"/>
  <c r="C47" i="2"/>
  <c r="B47" i="2"/>
  <c r="E46" i="2"/>
  <c r="D46" i="2"/>
  <c r="C46" i="2"/>
  <c r="B46" i="2"/>
  <c r="E45" i="2"/>
  <c r="D45" i="2"/>
  <c r="C45" i="2"/>
  <c r="B45" i="2"/>
  <c r="B2" i="2"/>
  <c r="A21" i="2" a="1"/>
  <c r="A21" i="2" s="1"/>
  <c r="C21" i="2" s="1"/>
  <c r="B17" i="2"/>
  <c r="B16" i="2"/>
  <c r="B15" i="2"/>
  <c r="B14" i="2"/>
  <c r="B10" i="2"/>
  <c r="B9" i="2"/>
  <c r="B8" i="2"/>
  <c r="B7" i="2"/>
  <c r="B6" i="2"/>
  <c r="E2" i="2"/>
  <c r="D88" i="2" l="1"/>
  <c r="E88" i="2" s="1"/>
  <c r="E89" i="2"/>
  <c r="C75" i="2"/>
  <c r="D44" i="2"/>
  <c r="B75" i="2"/>
  <c r="E44" i="2"/>
  <c r="D75" i="2"/>
  <c r="C44" i="2"/>
  <c r="E75" i="2"/>
  <c r="B44" i="2"/>
  <c r="B105" i="2"/>
  <c r="C105" i="2"/>
  <c r="B59" i="2"/>
  <c r="E59" i="2"/>
  <c r="C59" i="2"/>
  <c r="D59" i="2"/>
  <c r="B104" i="2"/>
  <c r="C104" i="2" s="1"/>
  <c r="B102" i="2"/>
  <c r="C102" i="2" s="1"/>
  <c r="D25" i="2"/>
  <c r="D33" i="2"/>
  <c r="C55" i="2"/>
  <c r="B71" i="2"/>
  <c r="B73" i="2"/>
  <c r="E21" i="2"/>
  <c r="E25" i="2"/>
  <c r="E31" i="2"/>
  <c r="E35" i="2"/>
  <c r="E39" i="2"/>
  <c r="E43" i="2"/>
  <c r="B22" i="2"/>
  <c r="B24" i="2"/>
  <c r="B26" i="2"/>
  <c r="B28" i="2"/>
  <c r="B30" i="2"/>
  <c r="B32" i="2"/>
  <c r="B34" i="2"/>
  <c r="B36" i="2"/>
  <c r="B38" i="2"/>
  <c r="B40" i="2"/>
  <c r="B42" i="2"/>
  <c r="E55" i="2"/>
  <c r="E57" i="2"/>
  <c r="D69" i="2"/>
  <c r="D71" i="2"/>
  <c r="D73" i="2"/>
  <c r="C23" i="2"/>
  <c r="C27" i="2"/>
  <c r="C33" i="2"/>
  <c r="D23" i="2"/>
  <c r="D37" i="2"/>
  <c r="C22" i="2"/>
  <c r="C24" i="2"/>
  <c r="C26" i="2"/>
  <c r="C28" i="2"/>
  <c r="C30" i="2"/>
  <c r="C32" i="2"/>
  <c r="C34" i="2"/>
  <c r="C36" i="2"/>
  <c r="C38" i="2"/>
  <c r="C40" i="2"/>
  <c r="C42" i="2"/>
  <c r="B56" i="2"/>
  <c r="B58" i="2"/>
  <c r="E69" i="2"/>
  <c r="E71" i="2"/>
  <c r="E73" i="2"/>
  <c r="B23" i="2"/>
  <c r="B25" i="2"/>
  <c r="B27" i="2"/>
  <c r="B29" i="2"/>
  <c r="B31" i="2"/>
  <c r="B33" i="2"/>
  <c r="B35" i="2"/>
  <c r="B37" i="2"/>
  <c r="B39" i="2"/>
  <c r="B41" i="2"/>
  <c r="B43" i="2"/>
  <c r="B21" i="2"/>
  <c r="C25" i="2"/>
  <c r="C29" i="2"/>
  <c r="C31" i="2"/>
  <c r="C35" i="2"/>
  <c r="C37" i="2"/>
  <c r="C39" i="2"/>
  <c r="C41" i="2"/>
  <c r="C43" i="2"/>
  <c r="B55" i="2"/>
  <c r="B57" i="2"/>
  <c r="D21" i="2"/>
  <c r="D27" i="2"/>
  <c r="D29" i="2"/>
  <c r="D31" i="2"/>
  <c r="D35" i="2"/>
  <c r="D39" i="2"/>
  <c r="D41" i="2"/>
  <c r="D43" i="2"/>
  <c r="C57" i="2"/>
  <c r="B69" i="2"/>
  <c r="E23" i="2"/>
  <c r="E27" i="2"/>
  <c r="E33" i="2"/>
  <c r="E37" i="2"/>
  <c r="E41" i="2"/>
  <c r="C71" i="2"/>
  <c r="D22" i="2"/>
  <c r="D24" i="2"/>
  <c r="D26" i="2"/>
  <c r="D28" i="2"/>
  <c r="D30" i="2"/>
  <c r="D32" i="2"/>
  <c r="D34" i="2"/>
  <c r="D36" i="2"/>
  <c r="D38" i="2"/>
  <c r="D40" i="2"/>
  <c r="D42" i="2"/>
  <c r="C56" i="2"/>
  <c r="C58" i="2"/>
  <c r="B70" i="2"/>
  <c r="B72" i="2"/>
  <c r="B74" i="2"/>
  <c r="E22" i="2"/>
  <c r="E24" i="2"/>
  <c r="E26" i="2"/>
  <c r="E28" i="2"/>
  <c r="E30" i="2"/>
  <c r="E32" i="2"/>
  <c r="E34" i="2"/>
  <c r="E36" i="2"/>
  <c r="E38" i="2"/>
  <c r="E40" i="2"/>
  <c r="E42" i="2"/>
  <c r="D56" i="2"/>
  <c r="D58" i="2"/>
  <c r="C70" i="2"/>
  <c r="C72" i="2"/>
  <c r="C74" i="2"/>
  <c r="E56" i="2"/>
  <c r="E58" i="2"/>
  <c r="D70" i="2"/>
  <c r="D72" i="2"/>
  <c r="D74" i="2"/>
  <c r="E70" i="2"/>
  <c r="E72" i="2"/>
  <c r="E74" i="2"/>
  <c r="B103" i="2"/>
  <c r="C103" i="2" s="1"/>
  <c r="E29" i="2"/>
  <c r="D57" i="2"/>
  <c r="C7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<sst xmlns="http://schemas.openxmlformats.org/spreadsheetml/2006/main" count="23240" uniqueCount="4861">
  <si>
    <t>regulation_id</t>
  </si>
  <si>
    <t>regulation_short_code</t>
  </si>
  <si>
    <t>document_type</t>
  </si>
  <si>
    <t>document_number</t>
  </si>
  <si>
    <t>title_en</t>
  </si>
  <si>
    <t>title_si</t>
  </si>
  <si>
    <t>title_ta</t>
  </si>
  <si>
    <t>summary_en</t>
  </si>
  <si>
    <t>summary_si</t>
  </si>
  <si>
    <t>summary_ta</t>
  </si>
  <si>
    <t>principal_act_amended</t>
  </si>
  <si>
    <t>cabinet_approval_date</t>
  </si>
  <si>
    <t>bill_published_date</t>
  </si>
  <si>
    <t>gazette_published_date</t>
  </si>
  <si>
    <t>effective_date</t>
  </si>
  <si>
    <t>domain_code</t>
  </si>
  <si>
    <t>change_category</t>
  </si>
  <si>
    <t>severity_level</t>
  </si>
  <si>
    <t>is_sme_relevant</t>
  </si>
  <si>
    <t>penalty_range_lkr</t>
  </si>
  <si>
    <t>real_world_example_en</t>
  </si>
  <si>
    <t>real_world_example_si</t>
  </si>
  <si>
    <t>real_world_example_ta</t>
  </si>
  <si>
    <t>source_url</t>
  </si>
  <si>
    <t>expert_verified</t>
  </si>
  <si>
    <t>expert_verified_by</t>
  </si>
  <si>
    <t>expert_verified_at</t>
  </si>
  <si>
    <t>sme_relevance_confidence</t>
  </si>
  <si>
    <t>is_active</t>
  </si>
  <si>
    <t>status</t>
  </si>
  <si>
    <t>raw_pdf_path</t>
  </si>
  <si>
    <t>gazette_number</t>
  </si>
  <si>
    <t>raw_text</t>
  </si>
  <si>
    <t>extraction_method</t>
  </si>
  <si>
    <t>extracted_at</t>
  </si>
  <si>
    <t>cleaned_text</t>
  </si>
  <si>
    <t>amendment_type</t>
  </si>
  <si>
    <t>created_at</t>
  </si>
  <si>
    <t>updated_at</t>
  </si>
  <si>
    <t>a11bdfa9-baf5-4752-9a55-fe77b84a49e3</t>
  </si>
  <si>
    <t>2468_44</t>
  </si>
  <si>
    <t>extraordinary_gazette</t>
  </si>
  <si>
    <t>2468/44</t>
  </si>
  <si>
    <t>Title Registration Act, No. 21 of 1998 - Publication of decisions of the Commissioner of Title Settlement under Section 14 (Notices 12/0476 and 12/0429, Polonnaruwa District)</t>
  </si>
  <si>
    <t>1998 අංක 21 දරන ඔප්පු ලියාපදිංචි කිරීමේ පනත - 14 වැනි වගන්තිය යටතේ ඔප්පු බේරුම් කොමසාරිස්ගේ තීරණය ප්‍රකාශයට පත් කිරීම</t>
  </si>
  <si>
    <t>1998 ஆம் ஆண்டின் 21 ஆம் இலக்க உரித்துப் பதிவுச் சட்டம் - 14 ஆம் பிரிவின் கீழ் உரித்து நிர்ணய ஆணையாளரின் தீர்மானத்தை வெளிப்படுத்தல்</t>
  </si>
  <si>
    <t>Commissioner of Title Settlement's decision under Section 14 of the Title Registration Act No. 21 of 1998 covering land parcels in Lakshyana and Majeethpura villages, Thamankaduwa DS Division, Polonnaruwa District. References prior notices 12/0476 and 12/0429.</t>
  </si>
  <si>
    <t/>
  </si>
  <si>
    <t>Title Registration Act, No. 21 of 1998</t>
  </si>
  <si>
    <t>lands</t>
  </si>
  <si>
    <t>procedural_change</t>
  </si>
  <si>
    <t>https://www.documents.gov.lk</t>
  </si>
  <si>
    <t>extracted</t>
  </si>
  <si>
    <t>m1/raw/2468_44.pdf</t>
  </si>
  <si>
    <t>III ෙක(cid:675)ටස – (cid:636) ලංකා (cid:541)ජාතා(cid:486)(cid:437)ක සමාජවා(cid:463) ජනරජෙ(cid:591) අ(cid:431) (cid:618)ෙශෂ ගැස(cid:376) ප(cid:436)ය – 2025.12.27 1 A
ப(cid:8065)தி III – இல(cid:8113)ைக(cid:8114) சனநாயக ேசாச(cid:8098)ச(cid:8112) (cid:8065)(cid:8074)யர(cid:8070) வ(cid:8125)(cid:8119)தமான(cid:8122) ப(cid:8119)திாிைக - அதி விேசஷமான(cid:8080) – 2025.12.27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2468/44 - 2025 ෙදසැ(cid:572)බ(cid:601) මස 27 වැ(cid:487) ෙසන(cid:648)රාදා - 2025.12.27
2468/44 ஆ(cid:8123) இல(cid:8112)க(cid:8123) - 2025 ஆ(cid:8123) ஆ(cid:8118)(cid:8076) திெச(cid:8123)ப(cid:8125) மாத(cid:8123) 27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12 ஆ(cid:8123) பிாிவி(cid:8121)
நியதிகளி(cid:8121)ப(cid:8074) 2025.01.03 ஆ(cid:8120) திகதிய 2417/39 ஆ(cid:8123) இல(cid:8112)க வ(cid:8125)(cid:8119)தமானியி(cid:8127) உாிய (cid:8089)ைறயி(cid:8127) ெவளியிட(cid:8122)ப(cid:8117)ட(cid:8080)(cid:8123), காணி(cid:8112)கான
உாிைம(cid:8112) ேகாாி(cid:8112)ைககைள(cid:8112) ேகா(cid:8094)கி(cid:8121)ற(cid:8080)மான 12/0476 ஆ(cid:8123) இல(cid:8112)க அறிவி(cid:8119)த(cid:8098)(cid:8127) (cid:8065)றி(cid:8122)(cid:8086)(cid:8076) ெச(cid:8124)ய(cid:8122)ப(cid:8117)ட வட ம(cid:8119)திய மாகாண(cid:8119)தி(cid:8121),
ெபால(cid:8121)ன(cid:8096)ைவ மாவ(cid:8117)ட(cid:8119)தி(cid:8127), தம(cid:8121)க(cid:8076)வ பிரேதச ெசயலாள(cid:8125) பிாிவி(cid:8127), இல. 198 - ல(cid:8112) ஷ உயன கிராம அ(cid:8100)வல(cid:8125) பிாிவி(cid:8084)(cid:8128) ல(cid:8112) ஷ
உயன கிராம(cid:8119)தி(cid:8127) அைம(cid:8120)(cid:8080)(cid:8128)ள(cid:8080)(cid:8123) 120328 ஆ(cid:8123) இல(cid:8112)க கட(cid:8119)திர(cid:8127) அளைவ வைரபட(cid:8119)தி(cid:8127) பிாி(cid:8107) இல. 10 இ(cid:8127) அட(cid:8113)கி(cid:8092)(cid:8128)ள(cid:8080)மான 1:1,
ம(cid:8126)(cid:8096)(cid:8123) 1:2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24 ஆ(cid:8120) திகதி.
1A - G 45993 - 03 (2025 / 12)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2025.12.27
ப(cid:8065)தி III – இல(cid:8113)ைக(cid:8114) சனநாயக ேசாச(cid:8098)ச(cid:8112) (cid:8065)(cid:8074)யர(cid:8070) வ(cid:8125)(cid:8119)தமான(cid:8122) ப(cid:8119)திாிைக - அதி விேசஷமான(cid:8080) – 2025.12.27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 : 1 0.7651 உ(cid:8076)ெவ(cid:8127)ல (cid:8080)ரேக (cid:8070)னி(cid:8127) ஷா(cid:8120)த 196307910100 (cid:8089)(cid:8104)வ(cid:8080)(cid:8123) 1ஆவ(cid:8080) வ(cid:8065)(cid:8122)(cid:8087) _ கா.அ.க.ச.
22/1, ல(cid:8112) ஷஉயன, நிப(cid:8120)த
ெபால(cid:8121)ன(cid:8096)ைவ ைன(cid:8112)(cid:8065)
உ(cid:8117)ப(cid:8117)ட(cid:8080).
1 : 2 0.7651 உ(cid:8076)ெவ(cid:8127)ல (cid:8080)ரேக ட(cid:8124)ட(cid:8132) 197004901293 (cid:8089)(cid:8104)வ(cid:8080)(cid:8123) 1ஆவ(cid:8080) வ(cid:8065)(cid:8122)(cid:8087) உ(cid:8076)ெவ(cid:8127)ல கா.அ.க.ச.
பிாிய(cid:8120)த (cid:8080)ரேக நிப(cid:8120)த
இல. 22, ல(cid:8112) ஷஉயன , இசிர ைன(cid:8112)(cid:8065)
ெபாெலா(cid:8121)ன(cid:8096)ைவ. ச(cid:8089)தித உ(cid:8117)ப(cid:8117)ட(cid:8080).
எ(cid:8121)பவர(cid:8080)
பி(cid:8121)(cid:8084)ாி(cid:8119)தி(cid:8126)(cid:8065)
உ(cid:8117)ப(cid:8117)ட(cid:8080).
EOG 12 - 0250 / 1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12 ஆ(cid:8123) பிாிவி(cid:8121)
நியதிகளி(cid:8121)ப(cid:8074) 2024.08.24 ஆ(cid:8120) திகதிய 2398/53 ஆ(cid:8123) இல(cid:8112)க வ(cid:8125)(cid:8119)தமானியி(cid:8127) உாிய (cid:8089)ைறயி(cid:8127) ெவளியிட(cid:8122)ப(cid:8117)ட(cid:8080)(cid:8123), காணி(cid:8112)கான உாிைம(cid:8112)
ேகாாி(cid:8112)ைககைள(cid:8112) ேகா(cid:8094)கி(cid:8121)ற(cid:8080)மான 12/0429 ஆ(cid:8123) இல(cid:8112)க அறிவி(cid:8119)த(cid:8098)(cid:8127) (cid:8065)றி(cid:8122)(cid:8086)(cid:8076) ெச(cid:8124)ய(cid:8122)ப(cid:8117)ட வட ம(cid:8119)திய மாகாண(cid:8119)தி(cid:8121),
ெபால(cid:8121)ன(cid:8096)ைவ மாவ(cid:8117)ட(cid:8119)தி(cid:8127), தம(cid:8121)க(cid:8076)வ பிரேதச ெசயலாள(cid:8125) பிாிவி(cid:8127), இல. 188 -ேம(cid:8126)(cid:8065) க(cid:8127)ேல(cid:8127)ல கிராம அ(cid:8100)வல(cid:8125) பிாிவி(cid:8084)(cid:8128) மஜீ(cid:8119)(cid:8087)ர
கிராம(cid:8119)தி(cid:8127) அைம(cid:8120)(cid:8080)(cid:8128)ள(cid:8080)(cid:8123) 120318 ஆ(cid:8123) இல(cid:8112)க கட(cid:8119)திர(cid:8127) அளைவ வைரபட(cid:8119)தி(cid:8127) பிாி(cid:8107) இல. 04 இ(cid:8127) அட(cid:8113)கி(cid:8092)(cid:8128)ள(cid:8080)மான 2:104, 2:105,
2:106, 2:107, 2:108, 2:109, 2:111, 2:112, 2:113, 2:114, 2:116, 2:117, 2:120, 2:121, 2:125, 2:127, 2:128, 2:129, 2:130, 2:131, 2:132, 2:133,
2:136, 2:137, 2:140, 2:141, 2:142, 2:143, 2:144, 2:145, 2:146, 2:147, 2:148, 2:151, 2:152, ம(cid:8126)(cid:8096)(cid:8123) 2:153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24 ஆ(cid:8120) திகதி.
III ෙක(cid:675)ටස – (cid:636) ලංකා (cid:541)ජාතා(cid:486)(cid:437)ක සමාජවා(cid:463) ජනරජෙ(cid:591) අ(cid:431) (cid:618)ෙශෂ ගැස(cid:376) ප(cid:436)ය – 2025.12.27 3 A
ப(cid:8065)தி III – இல(cid:8113)ைக(cid:8114) சனநாயக ேசாச(cid:8098)ச(cid:8112) (cid:8065)(cid:8074)யர(cid:8070) வ(cid:8125)(cid:8119)தமான(cid:8122) ப(cid:8119)திாிைக - அதி விேசஷமான(cid:8080) – 2025.12.27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2 : 104 0.0030 அர(cid:8070) _ (cid:8089)(cid:8104)வ(cid:8080)(cid:8123) 1ஆவ(cid:8080) வ(cid:8065)(cid:8122)(cid:8087) _ _
2 : 105 0.0121 அர(cid:8070) _ (cid:8089)(cid:8104)வ(cid:8080)(cid:8123) 1ஆவ(cid:8080) வ(cid:8065)(cid:8122)(cid:8087) _ _
2 : 106 0.8213 அர(cid:8070) _ (cid:8089)(cid:8104)வ(cid:8080)(cid:8123) 1ஆவ(cid:8080) வ(cid:8065)(cid:8122)(cid:8087) _ _
2 : 107 0.1401 அர(cid:8070) _ (cid:8089)(cid:8104)வ(cid:8080)(cid:8123) 1ஆவ(cid:8080) வ(cid:8065)(cid:8122)(cid:8087) _ _
2 : 108 0.0750 அர(cid:8070) _ (cid:8089)(cid:8104)வ(cid:8080)(cid:8123) 1ஆவ(cid:8080) வ(cid:8065)(cid:8122)(cid:8087) _ _
2 : 109 0.0192 அர(cid:8070) _ (cid:8089)(cid:8104)வ(cid:8080)(cid:8123) 1ஆவ(cid:8080) வ(cid:8065)(cid:8122)(cid:8087) _ _
2 : 111 0.0317 அர(cid:8070) _ (cid:8089)(cid:8104)வ(cid:8080)(cid:8123) 1ஆவ(cid:8080) வ(cid:8065)(cid:8122)(cid:8087) _ _
2 : 112 0.0253 அர(cid:8070) _ (cid:8089)(cid:8104)வ(cid:8080)(cid:8123) 1ஆவ(cid:8080) வ(cid:8065)(cid:8122)(cid:8087) _ _
2 : 113 0.0997 அர(cid:8070) _ (cid:8089)(cid:8104)வ(cid:8080)(cid:8123) 1ஆவ(cid:8080) வ(cid:8065)(cid:8122)(cid:8087) _ _
2 : 114 0.0566 அர(cid:8070) _ (cid:8089)(cid:8104)வ(cid:8080)(cid:8123) 1ஆவ(cid:8080) வ(cid:8065)(cid:8122)(cid:8087) _ _
2 : 116 0.0541 அர(cid:8070) _ (cid:8089)(cid:8104)வ(cid:8080)(cid:8123) 1ஆவ(cid:8080) வ(cid:8065)(cid:8122)(cid:8087) _ _
2 : 117 0.0668 அர(cid:8070) _ (cid:8089)(cid:8104)வ(cid:8080)(cid:8123) 1ஆவ(cid:8080) வ(cid:8065)(cid:8122)(cid:8087) _ _
2 : 120 0.0223 அர(cid:8070) _ (cid:8089)(cid:8104)வ(cid:8080)(cid:8123) 1ஆவ(cid:8080) வ(cid:8065)(cid:8122)(cid:8087) _ _
2 : 121 0.0102 அர(cid:8070) _ (cid:8089)(cid:8104)வ(cid:8080)(cid:8123) 1ஆவ(cid:8080) வ(cid:8065)(cid:8122)(cid:8087) _ _
2 : 125 0.2066 அர(cid:8070) _ (cid:8089)(cid:8104)வ(cid:8080)(cid:8123) 1ஆவ(cid:8080) வ(cid:8065)(cid:8122)(cid:8087) _ _
2 : 127 0.0187 அர(cid:8070) _ (cid:8089)(cid:8104)வ(cid:8080)(cid:8123) 1ஆவ(cid:8080) வ(cid:8065)(cid:8122)(cid:8087) _ _
2 : 128 0.0093 அர(cid:8070) _ (cid:8089)(cid:8104)வ(cid:8080)(cid:8123) 1ஆவ(cid:8080) வ(cid:8065)(cid:8122)(cid:8087) _ _
2 : 129 0.0066 அர(cid:8070) _ (cid:8089)(cid:8104)வ(cid:8080)(cid:8123) 1ஆவ(cid:8080) வ(cid:8065)(cid:8122)(cid:8087) _ _
2 : 130 0.0360 அர(cid:8070) _ (cid:8089)(cid:8104)வ(cid:8080)(cid:8123) 1ஆவ(cid:8080) வ(cid:8065)(cid:8122)(cid:8087) _ _
2 : 131 0.0306 அர(cid:8070) _ (cid:8089)(cid:8104)வ(cid:8080)(cid:8123) 1ஆவ(cid:8080) வ(cid:8065)(cid:8122)(cid:8087) _ _
2 : 132 0.0384 அர(cid:8070) _ (cid:8089)(cid:8104)வ(cid:8080)(cid:8123) 1ஆவ(cid:8080) வ(cid:8065)(cid:8122)(cid:8087) _ _
2 : 133 0.0328 அர(cid:8070) _ (cid:8089)(cid:8104)வ(cid:8080)(cid:8123) 1ஆவ(cid:8080) வ(cid:8065)(cid:8122)(cid:8087) _ _
2 : 136 0.0058 அர(cid:8070) _ (cid:8089)(cid:8104)வ(cid:8080)(cid:8123) 1ஆவ(cid:8080) வ(cid:8065)(cid:8122)(cid:8087) _ _
2 : 137 0.0469 அர(cid:8070) _ (cid:8089)(cid:8104)வ(cid:8080)(cid:8123) 1ஆவ(cid:8080) வ(cid:8065)(cid:8122)(cid:8087) _ _
2 : 140 0.0195 அர(cid:8070) _ (cid:8089)(cid:8104)வ(cid:8080)(cid:8123) 1ஆவ(cid:8080) வ(cid:8065)(cid:8122)(cid:8087) _ _
2 : 141 0.0228 அர(cid:8070) _ (cid:8089)(cid:8104)வ(cid:8080)(cid:8123) 1ஆவ(cid:8080) வ(cid:8065)(cid:8122)(cid:8087) _ _
2 : 142 0.0261 அர(cid:8070) _ (cid:8089)(cid:8104)வ(cid:8080)(cid:8123) 1ஆவ(cid:8080) வ(cid:8065)(cid:8122)(cid:8087) _ _
2 : 143 0.0241 அர(cid:8070) _ (cid:8089)(cid:8104)வ(cid:8080)(cid:8123) 1ஆவ(cid:8080) வ(cid:8065)(cid:8122)(cid:8087) _ _
2 : 144 0.0274 அர(cid:8070) _ (cid:8089)(cid:8104)வ(cid:8080)(cid:8123) 1ஆவ(cid:8080) வ(cid:8065)(cid:8122)(cid:8087) _ _
2 : 145 0.0285 அர(cid:8070) _ (cid:8089)(cid:8104)வ(cid:8080)(cid:8123) 1ஆவ(cid:8080) வ(cid:8065)(cid:8122)(cid:8087) _ _
2 : 146 0.0365 அர(cid:8070) _ (cid:8089)(cid:8104)வ(cid:8080)(cid:8123) 1ஆவ(cid:8080) வ(cid:8065)(cid:8122)(cid:8087) _ _
2 : 147 0.0569 அர(cid:8070) _ (cid:8089)(cid:8104)வ(cid:8080)(cid:8123) 1ஆவ(cid:8080) வ(cid:8065)(cid:8122)(cid:8087) _ _
2 : 148 0.1167 அர(cid:8070) _ (cid:8089)(cid:8104)வ(cid:8080)(cid:8123) 1ஆவ(cid:8080) வ(cid:8065)(cid:8122)(cid:8087) _ _
2 : 151 0.0289 அர(cid:8070) _ (cid:8089)(cid:8104)வ(cid:8080)(cid:8123) 1ஆவ(cid:8080) வ(cid:8065)(cid:8122)(cid:8087) _ _
2 : 152 0.0135 அர(cid:8070) _ (cid:8089)(cid:8104)வ(cid:8080)(cid:8123) 1ஆவ(cid:8080) வ(cid:8065)(cid:8122)(cid:8087) _ _
2 : 153 0.0205 அர(cid:8070) _ (cid:8089)(cid:8104)வ(cid:8080)(cid:8123) 1ஆவ(cid:8080) வ(cid:8065)(cid:8122)(cid:8087) _ _
EOG 12 - 0250 / 2
இல(cid:8113)ைக அரசா(cid:8113)க அ(cid:8114)(cid:8070)(cid:8119) திைண(cid:8112)கள(cid:8119)தி(cid:8127) பதி(cid:8122)பி(cid:8112)க(cid:8122)ெப(cid:8126)ற(cid:8080).</t>
  </si>
  <si>
    <t>claude_code_visual_read</t>
  </si>
  <si>
    <t>19d62ac8-9ca0-4de4-9587-957f0afae087</t>
  </si>
  <si>
    <t>2469_18</t>
  </si>
  <si>
    <t>2469/18</t>
  </si>
  <si>
    <t>Election Commission Notification: 2026 Electoral Register Revision under Section 12(1) of the Registration of Electors Act</t>
  </si>
  <si>
    <t>මැතිවරණ කොමිෂන් සභාවේ දැන්වීම: 2026 ඡන්ද හිමි නාමලේඛනය සංශෝධනය - ඡන්ද හිමියන් ලියාපදිංචි කිරීමේ පනත 12(1) වගන්තිය යටතේ</t>
  </si>
  <si>
    <t>தேர்தல்கள் ஆணைக்குழுவின் அறிவித்தல்: 2026 வாக்காளர் இடாப்பு மீளாய்வு - வாக்காளர்களைப் பதிவு செய்தல் சட்டத்தின் 12(1) ஆம் பிரிவின் கீழ்</t>
  </si>
  <si>
    <t>The Election Commission announces that the 2026 Electoral Register Revision will commence on 01 January 2026 under Section 12(1) of the Registration of Electors Act No. 44 of 1980 (as amended by Act No. 22 of 2021). Currently-valid 2025 main register and supplementary registers will be displayed at registration offices. Grama Niladhari officers serve as enumerators. "A" and "B" lists will be published on 05 May 2026; claims and objections within 28 days.</t>
  </si>
  <si>
    <t>Registration of Electors Act, No. 44 of 1980 (as amended by Act No. 22 of 2021)</t>
  </si>
  <si>
    <t>elections</t>
  </si>
  <si>
    <t>m1/raw/2469_18.pdf</t>
  </si>
  <si>
    <t>Y%S ,xld m%cd;dka;%sl iudcjd§ ckrcfha .eiÜ m;%h
w;s úfYI
,yq;ifr; rdehaf Nrhryprf; FbauR th;j;jkhdg; gj;jphpif
mjp tpNr\khdJ
wxl 2469/18 - 2026 ckjdß ui 01 jeks n%yiam;skaod - 2026'01'01
2469/ 18 Mk; ,yf;fk; - 2026 Mk; Mz;L rdtup khjk; 01 Me; jpfjp tpahof;fpoik
(murhq;fj;jpd; mjpfhuj;Jld; gpuRupf;fg;gl;lJ)
gFjp I : njhFjp (I) - nghJ
murhq;f mwptpj;jy;fs;
NjUeu; ,lhg;G kPsha;T - 2026
Nju;jy; Mizf;FOtpd; mwptpj;jy;
2026 Mk; Mz;bw;fhd NjUeu; ,lhg;G kPsha;T eltbf;iffis 2026&gt; rdtup khjk; 01 Mk; jpfjp Muk;gpg;gjhf 2021 Mk;
Mz;bd; 22 Mk; ,yf;f NjUeu;fisg; gjpT nra;jy; (jpUj;jr;) rl;lj;jpdhy; jpUj;jg;gl;l 1980 Mk; Mz;bd; 44 Mk; ,yf;f
NjUeu;fisg; gjpT nra;jy; rl;lj;jpd; (,jdfj;Jg; gpd;du; NjUeu;fisg; gjpT nra;jy; rl;lk; my;yJ rl;lk; vd Fwpg;gPL
nra;ag;gLk;) 12(1) Mk; gpupTf;fika ,j;jhy; mwptpf;fg;gLfpd;wJ.
02. jwN; ghJ nryY; gbahFk ;2025 Mk ;Mzb; d ;gpujhd NjUeu ;,lhgG; &gt; 2025(1)&gt; 2025(2) FiwepugG; NjUeu ;,lhgG; ff; s;
(,jdfjJ; g ;gpdd; u ;''nryY; gbahFk ;NjUeu ;,lhgG; "" vd Fwpgg; LP nraa; gg; Lk); myy; J mtww; pd ;gFjpfspd ;gpujpfs;
gjpT mYtyu;fshy; fPo; Fwpg;gplg;gLk; mYtyfq;fspy; fhl;rpg;gLj;jg;gLk;.
,lhg;G my;yJ mtw;wpd; fhl;rpg;gLj;jg;gLk; ,lhg;Gf;fs; my;yJ mtw;wpd;
gFjpfspd; gpujpfs; gFjpfs;
fhl;rpg;gLj;jg;gLk;
mYtyfq;fs;
khtl;lj; Nju;jy;fs; Nju;jy; khtl;lj;jpw;F / epu;thf khtl;lj;jpw;Fupa
mYtyfq;fs; nry;YgbahFk; NjUeu; ,lhg;gpd; KOg; gpujp
fpuhk mYtyu; mYtyfq;fs; fpuhk mYtyu; gpuptpd; nry;YgbahFk; NjUeu;
,lhg;gpd; gFjp
03. ,jwf; ika VNjDnkhU Njuj; y ;khtll; jj; pd ;NjUeuhtjwf; hd jifikfisf ;nfhzL; ss; rfyUfF; k ;jdJ ngaiu
NkNy Fwpg;gplg;gl;Ls;s ,lq;fspy; fhl;rpg;gLj;jg;gLk; NjUeu; ,lhg;Gf;fisg; guprPypj;J cWjpg;gLj;jpf;nfhs;s
KbAk;. ,J jtpu ec.lk/vrd Nju;jy; Mizf;FOtpd; ,izaj;jsj;jpw;F gpuNtrpj;J guprPypf;f KbAk;. ,e;j
mwptpj;jypy; fhzg;gLk; QR FwpaPl;il ];Nfd; (scan) nra;tjD}lhfTk; jfty;fisg; ngw;Wf;nfhs;s KbAk;.
1A - PG 7443 — 18 (2026/01)
,t; mjptpNrl tu;j;jkhdpia www.documents.gov.lk vDk; ,izaj;jsj;jpypUe;J gjptpwf;fk; nra;a KbAk;.
2A I fldgi ( (I) fPoh - YS% ,xld m%cd;dka;s%l iudcjd§ ckrcfha w;s úfYI .eiÜ m;%h - 2026'01'01
gFjp I : njhFjp (I) - ,yq;ifr; rdehaf Nrhryprf; FbauR tu;j;jkhdg; gj;jpupif - mjp tpNr\khdJ - 2026.01.01
04. 2026 Mk; Mz;bd; NjUeu; ,lhg;G kPsha;T eltbf;iffis fPo; Fwpg;gplg;gLk; tpjj;jpy; Nkw;nfhs;tjw;F Nju;jy;
Mizf;FOtpdhy; jPu;khdpf;fg;gl;Ls;sjhf nghJ kf;fSf;F ,j;jhy; mwptpf;fg;gLfpd;wJ.
05. 2025.10.31 Mk; jpfjp mj;jhl;rpg;gLj;jg;gl;l 2025 Mk; Mz;bd; NjUeu; ,lhg;G@ 2025.10.15 Mk; jpfjp
mj;jhl;rpg;gLj;jg;gl;l 2025(1) Fiwepug;G NjUeu; ,lhg;G@ 2025.10.22 Mk; jpfjp mj;jhl;rpg;gLj;jg;gl;l
2024(2) Fiwepug;G NjUeu; ,lhg;Gld; 2026.02.01 Mk; jpfjp mj;jhl;rpg;gLj;jg;gltpUf;Fk; 2025(3) Fiwepug;G
NjUeu; ,lhg;Gf;fhf gupe;Jiuf;fg;gl;Ls;s ngau;fis xd;wpizj;J 2026 Mk; Mz;bw;fhd NjUeu;fisf;
fzf;nfLg;gjw;fhd xd;wpize;j gl;bay; jahupf;fg;gl;Ls;sJ.
06. xt;nthU fpuhk mYtyu; gpupTfspdJk; fpuhk mYtyu; NjUeu;fisf; fzf;nfLf;Fk; mYtyuhf eltbf;if
Nkw;nfhs;thu;. re;ju;g;gj;jpw;Nfw;g rpy khtl;lq;fspy; tpNrl fzf;nfLg;G mYtyu;fisAk; &lt;LgLj;jpf;nfhs;s
KbAk;.
07. NjUeuf; isf ;fzfn; fLgg; jwf; hf fzfn; fLgG; mYtyuf; s ;tLP tlP hfr ;nryY; k ;gzp fNP o 08 Mk ;gej; papd ;gpufhuk;
2026.01.01 Mk; jpfjp Kjy; Muk;gpf;fg;gLtjhf mwptpf;fg;gLfpd;wJ.
08. fzf;nfLg;G mYtyu;fs; rfy tPLfSf;Fk; tUtjpy;iynad;gNjhL&gt; re;ju;g;gj;jpw;Nfw;g 2025 xd;wpize;j
NjUeu; ,lhg;gpy; jpUj;jnkhd;iw Nkw;nfhs;s Ntz;ba re;ju;g;gq;fspy; mjhtJ; 2026 xd;wpize;j gl;baypy;
Fwpg;gplg;gl;l nganuhd;W my;yJ rpy ngau;fs; ePf;fg;gLk; re;ju;g;gj;jpy; my;yJ 2026 xd;wpize;j gl;baypy;
Fwpgg; plgg; lhj nganuhdW; myy; J rpy ngauf; s ;clN; ruf; f; gg; Lk ;rej; ug; g; qf; spy ;khjj; puk ;tUthuf; s.; fzfn; fLgG;
mYtyuf; s ;tLP fSfF; tuhtpll; hYk ;jdJ tlP b; d ;foP ;nganuhdW; / ngauf; s ;clN; ruf; f; gg; ly ; myy; J efP f; gg; ly;
Nkwn; fhss; gg; Lkhapd ;kwW; k ;nryY; gbahFk ;,lhgg; py ;Fwpgg; plgg; lL; ss; ngau&gt;; Njrpa milahs mli; l ,yff; k&gt;;
tPl;byf;fk; vd;gtw;wpy; jpUj;jnkhd;W Nkw;nfhs;sg;gl Ntz;Lkhapd; fzf;nfLg;G mYtyiur; re;jpj;J ,e;j
mwptpj;jypy; Fwpg;gplg;gl;Ls;s mwpTWj;jy;fspd; gpufhuk; eltbf;if Nkw;nfhs;sy; gpujhd FbapUg;ghsupd;
nghWg;ghFk;. ve;j tpjkhd jpUj;jKk; Nkw;nfhs;sg;gLtjpw;fpy;iyahapd; NjUeu; xUtuhf 2025 nry;YgbahFk;
NjUeu; ,lhg;gpy; gjpT nra;ag;gl;bUe;j Kftupapd; fPo; gjpT nra;tjw;F eltbf;if Nkw;nfhs;sg;gLk;. mjw;fhf
gpujhd FbapUg;ghsu; ve;j tpjkhd gbtnkhd;iwAk; G{u;j;jp nra;a Ntz;ba mtrpakpy;iy.
09. 2025 Mk; Mz;by; gjpT nra;Jnfhz;Ls;s NjUeu; xUtu; kuzpj;jy; my;yJ tjptplk; khw;wkiljy; my;yJ NtW
fhuzj;jpdhy; 2026 Mk; Mz;bd; gjpTf;fhf jifikfisg; ngw;Wf;nfhs;shj gl;rj;jpy; mJ gw;wpAk; cq;fSila
fzf;nfLg;G mYtyUf;F mwptpf;f Ntz;Lk;. ,t;thW jifikaPdj;jpw;F MshFk; Ml;fis ''m"" gl;bay;gLj;jp
nry;YgbahFk; ,lhg;gpypUe;J ePf;fg;gLk;.
10. vtNuDnkhUtu; 2025 Mk; Mz;by; gjpT nra;Jnfhs;sg;glhtpbd; my;yJ 18 taJ G{u;j;jpahfpaikapd;
mbg;gilapy; Kjy; jlitahf NjUeu; xUtuhf gjpT nra;Jnfhs;tjhapd; my;yJ tjptplk; khw;wkiljy;
my;yJ NtW fhuznkhd;wpdhy; 2026 Mk; Mz;by; NjUeu; xUtuhf gjpT nra;Jnfhs;tjw;fhd jifikiag;
ngw;Wf;nfhs;thuhapd;&gt; 2026/ ER gbtnkhd;iwg; g{u;j;jpnra;J fzf;nfLg;G mYtyuplk; ifaspf;fTk;. Nkyjpf
tpguqf; s ;2026/ ER gbtjj; py ;Fwpgg; plgg; lL; ss; J. nryY; gbahFk ;NjUeu ;,lhgg; py ;clN; ruj; J; fn; fhss; gg; lb; uhj
MdhYk; jifikfisg; ngw;Wf;nfhs;fpd;w Kftupnahd;wpd; fPo; ,lhg;gpy; cl;Nru;j;Jf;nfhs;tjw;fhd
jifikfisg; ngw;Wf;nfhs;Sfpd;w egu;fis ''M"" gl;bay;gLj;jp 2026 Mk; Mz;bw;fhd NjUeu; ,lhg;gpy;
cl;Nru;j;Jf;nfhs;sg;gLk;.
11. 2026.02.01 Mk; jpfjpad;W 18 taijg; G{u;j;jp nra;Ak; mjhtJ 2008.01.31 Mk; jpfjp my;yJ mjw;F Kd;du;
gpwe;j Ml;fs; 2026 Mk; Mz;bw;fhd gpujhd NjUeu; ,lhg;gpy; gjpT nra;Jnfhs;tjw;fhd jifikfisg;
ngw;Wf;nfhs;fpd;wdu;.
12. nry;YgbahFk; NjUeu; ,lhg;gpy; Fwpg;gplg;gl;Ls;s ngau; my;yJ Njrpa Msilahs ml;il ,yf;fj;jpy; VNjDk;
gpiofs ;,Ugg; pd&gt;; Njrpa Msilahs mli; lapd/; gpwgG; r ;rhdw; pjopd ;gpujpAld ;fzfn; fLgG; mYtyUfF; myy; J
khtl;lj; Nju;jy;fs; mYtyfj;jpw;F mwptpj;jy; Ntz;Lk;.
13. 2026 Mk; NjUeu; ,lhg;G kPsha;T eltbf;iiffspd; NghJ fzf;nfLg;G mYtyu;fs; tPL tPlhfr; nrd;W kPsha;Tg;
gzpfis Nkwn; fhst; jpyi; ynadg; jdhy&gt;; jdJ tlP b; wF; upa nryY; gbahFk ;NjUeu ;,lhgg; py ;efP f; yf; s ;kwW; k ;2026
I fldgi ( (I) fPoh - YS% ,xld m%cd;dka;s%l iudcjd§ ckrcfha w;s úfYI .eiÜ m;%h - 2026'01'01 3A
gFjp I : njhFjp (I) - ,yq;ifr; rdehaf Nrhryprf; FbauR tu;j;jkhdg; gj;jpupif - mjp tpNr\khdJ - 2026.01.01
NjUeu ;,lhgg; py ;clN; ruf; f; gg; l Ntzb; a ngauf; s ;njhlug; py ;fzfn; fLgG; mYtyuf; SfF; Njitahd jftyf; is
toq;FkhW Nju;jy; Mizf;FO rfy gpuirfsplKk; Nfhupf;if tpLf;fpd;wJ.
14. NjUeu;fisg; gjpT nra;jy; rl;lj;jpw;fika ''m""&gt; ''M"" gl;bay;fis fhl;rpg;gLj;jy;&gt; cupikf; Nfhupf;iffs; kw;Wk;
Ml;Nrgidfis ifNaw;wy; gw;wpa mwptpj;jy; 2026.05.05 Mk; jpfjp gpurpj;jg;gLj;Jtjw;F jpl;lkplg;gl;Ls;sJ.
mwptpj;jy; ntspaplg;gl;l jpfjp Kjy; 28 ehl;fSf;Fs; cupikf; Nfhupf;iffs; kw;Wk; Ml;Nrgidfis rku;g;gpj;jy;
Ntz;Lk;. 2026 kPsha;T re;ju;g;gj;jpy; jifikfisg; G{u;j;jp nra;Js;s MdhYk; ER gbtj;jpy; ngaiu cl;Nru;j;Jf;
nfhst; jwF; KbahJNghd Mlf; SfF; ,ej; f ;fhyg ;gFjpapDs ;tpzz; gg; qf; is rkug; g; pgg; jwF; KbAnkdg; NjhL&gt;
2026 ,lhg;Gf;F jifikiag; ngw;Wf;nfhs;shj xUtupd; ngau; gupe;Jiuf;fg;gl;bUg;gpd;&gt; mJ njhlu;ghf
Ml;Nrgidiaj; njuptpg;gjw;Fk; ,e;jf; fhyg; gFjpapy; tha;g;Gz;L. ,jw;fhd mr;rplg;gl;l gbtq;fis gpuptpd;
fpuhk mYtyuplkpUe;J my;yJ khtl;lj; Nju;jy;fs; mYtyfj;jpypUe;J ngw;Wf;nfhs;tjw;F KbAk;.
15. vjpu;tUk; fhyg; gFjpapy; mj;jhl;rpg;gLj;jg;gltpUf;Fk; fPo; Fwpg;gplg;gLk; 06 Fiwepug;G ,lhg;Gf;fSf;fhf YC
gbtq;f~lhf jfty;fs; Nrfupj;Jf;nfhs;sg;gLk;. Fiwepug;G gl;bay;fis fhl;rpg;gLj;jy;&gt; cupikf; Nfhupf;iffs;
kw;Wk; Ml;Nrgidfis ifNaw;wy; gw;wp vjpu;tUk; fhyg; gFjpapy; gpurpj;jg;gLj;jg;gLk; mwptpj;jy;f~lhf
mwptpf;fg;gLk;.
15.1 2026 Mk; Mz;bw;fhf jahupf;fg;gLk; Fiwepug;G NjUeu; ,lhg;G
Fiwepug;G NjUeu; 18 taijg; g{u;j;jp nra;a Ntz;ba
gpwe;j jpfjp
,lhg;G fhyg; gFjp
2026(1) 2026.02.01 Kjy; 2026.05.31 tiu 2008.02.01 Kjy; 2008.05.31 tiu
2026(2) 2026.06.01 Kjy; 2026.09.30 tiu 2008.06.01 Kjy; 2008.09.30 tiu
2026(3) 2026.10.01 Kjy; 2027.01.31 tiu 2008.10.01 Kjy; 2009.01.31 tiu
* 2026.02.01 Me; jpfjp Kjy; 2027.01.31 Me; jpfjp tiu 18 taijg; g{u;j;jp nra;fpd;w mjhtJ 2008.02.01 Me;
jpfjp Kjy; 2009.01.31 Me; jpfjp tiuahd fhyg; gFjpapDs; gpwe;jtu;fs; 2025 Mk; Mz;by; NjUeu; ,lhg;gpy;
gjpTf;fhf NfhupapUe;jhy; kw;Wk; tjptplj;jpy; khw;wk; Vw;glhtpl;lhy; fpuhk mYtyuplk; tpdtp jfty;fis
cWjpg;gLj;jpf; nfhs;s Ntz;Lnkd;gNjhL kPz;Lk; tpz;zg;gpj;jy; mtrpakpy;iy.
15.2 2027 Mk; Mz;bw;fhf jahupf;fg;gLk; Fiwepug;G NjUeu; ,lhg;G
Fiwepug;G NjUeu; 18 taijg; g{u;j;jp nra;a Ntz;ba
gpwe;j jpfjp
,lhg;G fhyg; gFjp
2027(1) 2027.02.01 Kjy; 2027.05.31 tiu 2009.02.01 Kjy; 2009.05.31 tiu
2027(2) 2027.06.01 Kjy; 2027.09.30 tiu 2009.06.01 Kjy; 2009.09.30 tiu
2027(3) 2027.10.01 Kjy; 2028.01.31 tiu 2009.10.01 Kjy; 2010.01.31 tiu
Mu;. vk;. V. vy;. uj;ehaf;f&gt;
jtprhsu;&gt;
Nju;jy; Mizf;FO&gt;
Nju;jy; Mizf;FO rhu;ghf.
Nju;jy; Mizf;FO mYtyfk;&gt;
ruz khtj;ij&gt;
uh[fpupa&gt;
2026&gt; rdtup 01.
EOG 01-0005
,yq;if murhq;f mr;Rj; jpizf;fsj;jpw; gjpg;gpf;fg;ngw;wJ.</t>
  </si>
  <si>
    <t>19994a0a-83a1-4c20-bbac-2941f81948fc</t>
  </si>
  <si>
    <t>2469_19</t>
  </si>
  <si>
    <t>2469/19</t>
  </si>
  <si>
    <t>Prisons Ordinance (Chapter 54), Order under Section 2 - Establishment of Welisara Prison covering the whole of Sri Lanka</t>
  </si>
  <si>
    <t>බන්ධනාගාර ආඥාපනත (54 අධිකාරය), 2 වැනි වගන්තිය යටතේ නියෝගය - වැලිසර බන්ධනාගාරය ස්ථාපිත කිරීම, මුළු ශ්‍රී ලංකාව සඳහා</t>
  </si>
  <si>
    <t>சிறைச்சாலைகள் கட்டளைச் சட்டம் (54 ஆம் அத்தியாயம்), 2 ஆம் பிரிவின் கீழ் கட்டளை - வெலிசர சிறைச்சாலை ஸ்தாபித்தல்</t>
  </si>
  <si>
    <t>Order by Hon. Harshana Nanayakkara, Minister of Justice and National Integration, under Section 2 of the Prisons Ordinance (Chapter 54), establishing Welisara Prison with jurisdictional limits covering the whole of Sri Lanka. Dated Colombo, 30 December 2025.</t>
  </si>
  <si>
    <t>Prisons Ordinance (Chapter 54)</t>
  </si>
  <si>
    <t>justice</t>
  </si>
  <si>
    <t>new_obligation</t>
  </si>
  <si>
    <t>m1/raw/2469_19.pdf</t>
  </si>
  <si>
    <t>ශ්‍රී ලංංකාා ප්‍රජාාතාාන්ත්‍රිකා සමාාජාවාාදී ජානරජායේ� ගැැසට් පත්‍රය
අති වියේ�ෂ
The Gazette of the Democratic Socialist Republic of Sri Lanka
EXTRAORDINARY
අංකා 2469/19 - 2026 ජානවාාරි මාස 01 වාැනි බ්‍රහස්පතින්දාා - 2026.01.01
No. 2469/19 - THURSDAY, JANUARY 01, 2026
(Published by Authority)
PART I : SECTION (I) — GENERAL
Government Notifications
L.D.B. 4/2012
PRISONS ORDINANCE (CHAPTER 54)
Order under Section 2
BY virtue of the powers vested in me by Section 2 of the Prisons Ordinance (Chapter 54), I, Harshana Nanayakkara, the
Minister of Justice and National Integration, do by this Order, establish a prison in the place specified in the Schedule hereto
for the purposes of the Prisons Ordinance (Chapter 54).
Harshana Nanayakkara,
Minister of Justice and National Integration.
Colombo,
30th December, 2025.
SCHEDULE
Prison Limits or Districts
Welisara The whole of Sri Lanka
EOG 01 - 0006
1A - G 46008 - 23 (01/2026) PRINTED AT THE DEPARTMENT OF GOVERNMENT PRINTING, SRI LANKA.
This Gazette Extraordinary can be downloaded from www.documents.gov.lk</t>
  </si>
  <si>
    <t>a0af0b83-5b77-4163-b701-9ac7124f4e80</t>
  </si>
  <si>
    <t>2469_20</t>
  </si>
  <si>
    <t>2469/20</t>
  </si>
  <si>
    <t>Title Registration Act, No. 21 of 1998, Section 14 — Commissioner of Title Settlement's decision under Section 14 (Gazette 2469/20)</t>
  </si>
  <si>
    <t>1998 අංක 21 දරන හිමිකම් ලියාපදිංචි කිරීමේ පනත - හිමිකම් සැකසුම් කොමසාරිස්ගේ තීරණය</t>
  </si>
  <si>
    <t>1998 ஆம் ஆண்டின் 21 ஆம் இலக்க உரித்துப் பதிவுச் சட்டம் - உரித்து நிர்ணய ஆணையாளரின் தீர்மானம்</t>
  </si>
  <si>
    <t>Commissioner of title settlement's decision under section 14 published under the Title Registration Act, No. 21 of 1998 for specified land parcels identified by Cadastral Map and Grama Niladhari Division. Part III — Lands. Issued from the Land Title Settlement Department, Battaramulla.</t>
  </si>
  <si>
    <t>m1/raw/2469_20.pdf</t>
  </si>
  <si>
    <t>pdfplumber</t>
  </si>
  <si>
    <t>a010be5a-c7e4-455a-90a6-05fbe224efe7</t>
  </si>
  <si>
    <t>2469_21</t>
  </si>
  <si>
    <t>2469/21</t>
  </si>
  <si>
    <t>Title Registration Act, No. 21 of 1998, Section 14 — Commissioner of Title Settlement's decision under Section 14 (Gazette 2469/21)</t>
  </si>
  <si>
    <t>m1/raw/2469_21.pdf</t>
  </si>
  <si>
    <t>cd50fa03-d884-4b09-a4ba-eb4463ef14a6</t>
  </si>
  <si>
    <t>2469_22</t>
  </si>
  <si>
    <t>2469/22</t>
  </si>
  <si>
    <t>Title Registration Act, No. 21 of 1998, Section 14 — Commissioner of Title Settlement's decision under Section 14 (Gazette 2469/22)</t>
  </si>
  <si>
    <t>m1/raw/2469_22.pdf</t>
  </si>
  <si>
    <t>51fdd15d-c0cf-4631-8c30-ad9e684f739c</t>
  </si>
  <si>
    <t>2469_23</t>
  </si>
  <si>
    <t>2469/23</t>
  </si>
  <si>
    <t>Title Registration Act, No. 21 of 1998, Section 14 — Commissioner of Title Settlement's decision under Section 14 (Gazette 2469/23)</t>
  </si>
  <si>
    <t>m1/raw/2469_23.pdf</t>
  </si>
  <si>
    <t>7105fde7-3ae4-4c5c-be79-4ae7b16e1255</t>
  </si>
  <si>
    <t>2469_24</t>
  </si>
  <si>
    <t>2469/24</t>
  </si>
  <si>
    <t>Title Registration Act, No. 21 of 1998, Section 14 — Commissioner of Title Settlement decision (Gazette 2469/24)</t>
  </si>
  <si>
    <t>1998 අංක 21 දරන ඔප්පු ලියාපදිංචි කිරීමේ පනත, 14 වැනි වගන්තිය - ඔප්පු බේරුම් කොමසාරිස්ගේ තීරණය</t>
  </si>
  <si>
    <t>1998 ஆம் ஆண்டின் 21 ஆம் இலக்க உரித்துப் பதிவுச் சட்டம், 14 ஆம் பிரிவின் கீழ் உரித்து நிர்ணய ஆணையாளரின் தீர்மானம்</t>
  </si>
  <si>
    <t>Commissioner of Title Settlement's decision under Section 14 of the Title Registration Act No. 21 of 1998. Part III — Lands.</t>
  </si>
  <si>
    <t>m1/raw/2469_24.pdf</t>
  </si>
  <si>
    <t>III ෙකොටස – ශී ලංකා පජාතාන්තික සමාජවාදී ජනරජෙය් අති විෙශෂ ගැසට් පතය – 2012.10.25 1 A
பகுதி III – இலங்ைகச் சனநாயக ேசாச(cid:8098)சக் கு(cid:8074)யரசு வர்த்தமானப் பத்திாிைக - அதி விேசஷமான(cid:8080) – 2012.10.25
ශී ලංකා පජාතාන්තික සමාජවාදී ජනරජෙය් ගැසට් පතය
இலங்ைகச் சனநாயக ேசாச(cid:8098)சக் கு(cid:8074)யரசு வர்த்தமானப் பத்திாிைக
අති විෙශෂ அதி விேசஷமான(cid:8080)
අංක 2469/24 - 2026 ජනවාරි මස 01 වැනි බහසප් තින්දා - 2026.01.01
2469/24 ஆம் இலக்கம் - 2026 ஆம் ஆண்(cid:8076) சனவாி மாதம் 01 ஆந் திகதி வியாழக்கிழைம
(அரசாங்கத்தின் அதிகாரத்(cid:8080)டன் பிரசுாிக்கப்பட்ட(cid:8080))
பகுதி III - காணிகள்
உாித்(cid:8080)ப் பதி(cid:8107) ெசய்தல்
1998 ஆம் ஆண்(cid:8074)ன் 21 ஆம் இலக்க உாித்(cid:8080)ப் பதி(cid:8107)ச் சட்டம்
14 ஆம் பிாிவின் கீழ் உாித்(cid:8080) நிர்ணய ஆைணயாளாின் தீர்மானத்ைத ெவளிப்ப(cid:8076)த்தல்
1998 ஆம் ஆண்(cid:8074)ன் 21 ஆம் இலக்க உாித்(cid:8080)ப் பதி(cid:8107)ச் சட்டத்தின் 14 ஆம் பிாிவின் கீழ் எனக்குாித்தாக்கப்பட்(cid:8076)ள்ள தத்(cid:8080)வங்களின்
பயைனக்ெகாண்(cid:8076), கீேழ ஒப்பமிட்(cid:8076)ள்ள நான், 1998 ஆம் ஆண்(cid:8074)ன் 21 ஆம் இலக்க உாித்(cid:8080)ப் பதி(cid:8107)ச் சட்டத்தின் 12 ஆம் பிாிவின்
நியதிகளின்ப(cid:8074) 2024.09.18 ஆம் திகதிய 2402/06 ஆம் இலக்க வர்த்தமானியில் உாிய (cid:8089)ைறயில் ெவளியிடப்பட்ட(cid:8080)ம், காணிக்கான
உாிைமக் ேகாாிக்ைககைளக் ேகா(cid:8094)கின்ற(cid:8080)மான 42/1011 ஆம் இலக்க அறிவித்த(cid:8098)ல் குறிப்பீ(cid:8076) ெசய்யப்பட்ட வட ேமல் மாகாணத்தில்,
கு(cid:8094)நாகல் மாவட்டத்தில், மஹவ பிரேதச ெசயலாளர் பிாிவில், இல. 134 - ேகான்ெவவ கிராம அ(cid:8100)வலர் பிாிவி(cid:8084)ள் ேகான்ெவவ கிராமத்தில்
அைமந்(cid:8080)ள்ள(cid:8080)ம் 421558 ஆம் இலக்க கடத்திரல் அளைவ வைரபடத்தில் பிாி(cid:8107) இல. 03 இல் அடங்கி(cid:8092)ள்ள(cid:8080)மான 1:1, 1:2, 1:4, 1:6, 1:7,
1:9, 1:13, 1:14, 1:15, 1:17, 1:22 மற்(cid:8096)ம் 1:27 ஆம் இலக்கங்கைளக் ெகாண்ட காணித்(cid:8080)ண்(cid:8076)க(cid:8102)க்கான உாித்(cid:8080) ெதாடர்பாக இதேனா(cid:8076)
இைணக்கப்பட்ட அட்டவைணயில் தரப்பட்(cid:8076)ள்ளவாறான என(cid:8080) தீர்மானத்ைத இத்தால் ெவளிப்ப(cid:8076)த்(cid:8080)கின்ேறன்.
பீ.சீ.டீ. சிேகரா,
காணி உாித்(cid:8080) நிர்ணய ஆைணயாளர் நாயகம்.
காணி உாித்(cid:8080) நிர்ணயத் திைணக்களம்,
இல. 1200/6, “மிஹிகத ெம(cid:8080)ர”,
இரஜமல்வத்த (cid:8106)தி,
பத்தர(cid:8089)ல்ைல,
2025 ஆம் ஆண்(cid:8076) ஓகத்(cid:8080) மாதம் 03 ஆம் திகதி.
1A - G 45999 - 03 (2026 / 01)
(cid:8089). கு. - இவ் அதிவிேஷட வர்த்தமானிைய www.documents.gov.lk எ(cid:8084)ம் இைணயத்தளத்தி(cid:8098)(cid:8094)ந்(cid:8080) பதிவிறக்கம் ெசய்ய (cid:8089)(cid:8074)(cid:8092)ம்.
2 A III ෙකොටස – ශී ලංකා පජාතාන්තික සමාජවාදී ජනරජෙය් අති විෙශෂ ගැසට් පතය – 2026.01.01
பகுதி III – இலங்ைகச் சனநாயக ேசாச(cid:8098)சக் கு(cid:8074)யரசு வர்த்தமானப் பத்திாிைக - அதி விேசஷமான(cid:8080) – 2026.01.01
அட்டவைண
காணி விேசட
தாள் வழக்கிற்கு அல்ல(cid:8080)
மற்(cid:8096)ம் விஸ்தீரணம் ெசாந்தக்காரர்/ ெசாந்தக் ேதசிய உாித்(cid:8080)க்குாிய உாித்தின(cid:8080) உட்பட்ட தனியா(cid:8094)க்
காணித் காரர்களின் (cid:8089)(cid:8104)ப் ெபயர்க(cid:8102)ம் அைடயாள இடத்தின் வகுப்(cid:8087)ம் ஈ(cid:8076), குத் குாிய சட்டங்
(cid:8080)ண்(cid:8074)ன் (ெஹக்டயார்) (cid:8089)கவாி(cid:8092)ம் அட்ைட விஸ்தீரணம் இயல்(cid:8087)ம் தைக க(cid:8102)ள் எவ்
இல. இல. த(cid:8076)ப்(cid:8087)க் வைகக்கும்
கட்டைள அைமந்தி(cid:8094)ப்
பற்றிய பின் விபரங்
விபரங்கள் கள்
1 : 1 0.0753 அரசு _ (cid:8089)(cid:8104)வ(cid:8080)ம் 1வ(cid:8080) வகுப்(cid:8087) _ கால்வாய்
1 : 2 0.3407 அரசு _ (cid:8089)(cid:8104)வ(cid:8080)ம் 1வ(cid:8080) வகுப்(cid:8087) _ கால்வாய்
ஊடாக
ஒ(cid:8080)க்கப்பட்ட
நிலம்.
1 : 4 0.1409 அரசு _ (cid:8089)(cid:8104)வ(cid:8080)ம் 1வ(cid:8080) வகுப்(cid:8087) _
1 : 6 0.4043 அரசு _ (cid:8089)(cid:8104)வ(cid:8080)ம் 1வ(cid:8080) வகுப்(cid:8087) _
1 : 7 0.0406 அரசு _ (cid:8089)(cid:8104)வ(cid:8080)ம் 1வ(cid:8080) வகுப்(cid:8087) _ (cid:8106)திக்காக
ஒ(cid:8080)க்கப்பட்ட
நிலம்.
1 : 9 0.0103 அரசு _ (cid:8089)(cid:8104)வ(cid:8080)ம் 1வ(cid:8080) வகுப்(cid:8087) _ (cid:8106)திக்காக
ஒ(cid:8080)க்கப்பட்ட
நிலம்.
1 : 13 0.2802 அரசு _ (cid:8089)(cid:8104)வ(cid:8080)ம் 1வ(cid:8080) வகுப்(cid:8087) _
1 : 14 0.0262 அரசு _ (cid:8089)(cid:8104)வ(cid:8080)ம் 1வ(cid:8080) வகுப்(cid:8087) _ (cid:8106)திக்காக
ஒ(cid:8080)க்கப்பட்ட
நிலம்.
1 : 15 0.0175 அரசு _ (cid:8089)(cid:8104)வ(cid:8080)ம் 1வ(cid:8080) வகுப்(cid:8087) _ பிரேவச
(cid:8106)திக்காக
ஒ(cid:8080)க்கப்
பட்(cid:8076)ள்ள(cid:8080).
1 : 17 0.5790 அரசு _ (cid:8089)(cid:8104)வ(cid:8080)ம் 1வ(cid:8080) வகுப்(cid:8087) _
1 : 22 0.1620 அரசு _ (cid:8089)(cid:8104)வ(cid:8080)ம் 1வ(cid:8080) வகுப்(cid:8087) _
1 : 27 0.4637 அரசு _ (cid:8089)(cid:8104)வ(cid:8080)ம் 1வ(cid:8080) வகுப்(cid:8087) _
EOG 12 - 0262
இலங்ைக அரசாங்க அச்சுத் திைணக்களத்தில் பதிப்பிக்கப்ெபற்ற(cid:8080).</t>
  </si>
  <si>
    <t>06bc29d1-b393-4a83-8795-d3e92d63cfea</t>
  </si>
  <si>
    <t>2469_25</t>
  </si>
  <si>
    <t>2469/25</t>
  </si>
  <si>
    <t>Title Registration Act, No. 21 of 1998, Section 14 — Commissioner of Title Settlement's decision under Section 14 (Gazette 2469/25)</t>
  </si>
  <si>
    <t>m1/raw/2469_25.pdf</t>
  </si>
  <si>
    <t>ee6b9bdc-f4b7-496a-a796-0cd647f4848c</t>
  </si>
  <si>
    <t>2469_26</t>
  </si>
  <si>
    <t>2469/26</t>
  </si>
  <si>
    <t>Title Registration Act, No. 21 of 1998, Section 14 — Commissioner of Title Settlement decision (Gazette 2469/26)</t>
  </si>
  <si>
    <t>m1/raw/2469_26.pdf</t>
  </si>
  <si>
    <t>III ෙකොටස - ශී ලංකා පජාතාන්තික සමාජවාදී ජනරජෙය් අති විෙශෂ ගැසට් පතය - 2025.03.25 1A
பகுதி III - இலங்ைகச் சனநாயக ேசாச(cid:8098)சக் கு(cid:8074)யரசு வர்த்தமானப் பத்திாிைக - அதி விேசஷமான(cid:8080) - 2025.03.25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22446699// 2266 -- 22002266 ජජනනවවාාරිරි මමසස 0011 වවැැනිනි බබහහසස්ප්පතිතින්න්දදාා -- 22002266..0011..0011
22446699//2266 ஆஆம்ம் இஇலலக்க்ககம்ம் -- 22002266 ஆஆம்ம் ஆஆண்ண்(cid:8076)(cid:8076) சசனனவவாாிி மமாாததம்ம் 0011 ஆஆந்ந் ததிிககததிி வவிியயாாழழக்க்ககிிழழைைமம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 வாசகம் (அ) வின் கீழான கட்டைள I. காணி எ(cid:8076)த்தல் உத்திேயாகத்தர் : பிரேதச ெசயலாளர்,
ரம்(cid:8087)க்கைன.
2025 ஆம் ஆண்(cid:8074)ன் 125 ஆம் இலக்கக் கட்டைள
என(cid:8080) குறிப்(cid:8087) இல.: 4-3/ 12/ 2025/HW/50 II.காணியின் விபரம்: சப்பிரக(cid:8089)வ மாகாணத்தில், ேககாைல
பிரேதச ெசயலாளர் குறிப்(cid:8087) இல.: KEG/RBK/LLA/AQURE/ மாவட்டத்தில், ரம்(cid:8087)க்கைன பிரேதச ெசயலாளர் பிாிவில்,
D58/155 இல. 03, நத்தம்(cid:8087)ர கிராம அ(cid:8100)வலர் பிாிவில் நத்தம்(cid:8087)ர
கிராமத்தில் அைமந்(cid:8080)ள்ள நில அளைவயாளர் நாயகத்தினால்
காணி எ(cid:8076)த்தற் சட்டத்தின் (அத்தியாயம் 460) 38 ஆம் பிாிவின் 2025.10.02 ஆந் திகதி தயாாிக்கப்பட்ட (cid:8089)தற் சுவட்(cid:8076) இல.
காப்(cid:8087) வாசகம் (அ) வினால் எனக்களிக்கப்பட்ட தத்(cid:8080)வங்களின் KE/RMB/2025/245 இல் விபாிக்கப்பட்(cid:8076)ள்ள பின்வ(cid:8094)ம் ெபயர்
பிரகாரம் கமத்ெதாழில், கால்நைட வளங்கள், காணி மற்(cid:8096)ம்
மற்(cid:8096)ம் விஸ்தீரணத்ைதக் ெகாண்ட காணித் (cid:8080)ண்(cid:8076)களின்
நீர்ப்பாசன அைமச்சர் குரகமேக ெதான் லால் காந்த ஆகிய
எல்ைலகள் :
நான், இங்கு கீழ்க்கா(cid:8078)ம் அட்டவைணயின் I ஆம் பந்தியில்
குறிப்பிடப்பட்ட காணி எ(cid:8076)த்தல் உத்திேயாகத்த(cid:8094)க்கு 0011.. (cid:8080)(cid:8080)ண்ண்(cid:8076)(cid:8076) ‘‘’’ஏஏ”” –– மமீீயயன்ன்பபிி(cid:8074)(cid:8074)யயவவத்த்தத -- வவிிஸ்ஸ்ததீீரரணணம்ம் :: 00..00776688
அல்ல(cid:8080) அவரால் அதிகாரமளிக்கப்பட்ட எவேர(cid:8084)ம் உத்தி ெெஹஹக்க்டடயயாார்ர்
ேயாகத்தெரா(cid:8094)வ(cid:8094)க்கு அவ் அட்டவைணயின் ேநெராத்த வடக்கு: மத்திய அதிேவகபாைத ெசயற்திட்டம் - 3, உாிைம
II ஆம் பந்தியில் விபாிக்கப்பட்ட காணியின் உைடைமைய ேகா(cid:8094)பவர் கண்(cid:8076)பி(cid:8074)க்க (cid:8089)(cid:8074)யாத மீயன்பி(cid:8074)யவத்த, (cid:8080)ண்(cid:8076)
ெபா(cid:8096)ப்ேபற்பதற்கு இத்தால் கட்டைளயி(cid:8076)கின்ேறன். பீ: கிழக்கு: மத்திய அதிேவகபாைத ெசயற்திட்டம் - 3 மற்(cid:8096)ம்
எம். என். ரனசிங்க மற்(cid:8096)ம் உாிைம ேகா(cid:8094)ம் மீயன்பி(cid:8074)யவத்த:
ேக. (cid:8074). லால் காந்த, ெதற்கு: எம். என். ரனசிங்க உாிைம ேகா(cid:8094)ம் மீயன்பி(cid:8074)யவத்த:
கமத்ெதாழில், கால்நைட வளங்கள், ேமற்கு; எம். என். ரனசிங்க உாிைம ேகா(cid:8094)ம் மீயன்பி(cid:8074)யவத்த.
காணி மற்(cid:8096)ம் நீர்ப்பாசன அைமச்சர்.
02.(cid:8080)ண்(cid:8076) ‘’பீ ” – மீயன்பி(cid:8074)யவத்த - விஸ்தீரணம் : 0.0039
கமத்ெதாழில், கால்நைட வளங்கள், காணி
ெஹக்டயார்.
மற்(cid:8096)ம் நீர்ப்பாசன அைமச்சு,
வவடடக்க்குகு:: மத்திய அதிேவகபாைத ெசயற்திட்டம்- 3, மற்(cid:8096)ம்
“மிஹிகத ெம(cid:8080)ர”, உாிைம ேகா(cid:8094)பவர் கண்(cid:8076)பி(cid:8074)க்க (cid:8089)(cid:8074)யாத மீயன்பி(cid:8074)ய
காணிச் ெசயலகம்,
இல. 1200/6, இரஜமல்வத்ைத (cid:8106)தி,
பத்தர(cid:8089)ல்ைல,
2025, திெசம்பர் 12.
1A - G46001 - 13(2026/01)
இவ் அதிவி ேஷட வர்த்தமானிைய www.documents.gov.lk எ(cid:8084)ம் இைணயத்தளத்தி(cid:8098)(cid:8094)ந்(cid:8080) பதிவிறக்கம் ெசய்ய (cid:8089)(cid:8074)(cid:8092)ம்.
2A III ෙකොටස - ශී ලංකා පජාතාන්තික සමාජවාදී ජනරජෙය් අති විෙශෂ ගැසට් පතය - 2026.01.01
பகுதி III - இலங்ைகச் சனநாயக ேசாச(cid:8098)சக் கு(cid:8074)யரசு வர்த்தமானப் பத்திாிைக - அதி விேசஷமான(cid:8080) - 2026.01.01
வத்த : கிழக்கு: மத்திய அதிேவகபாைத ெசயற் திட்டம் - 3 அஅட்ட்டடவவைைணண
மற்(cid:8096)ம் (cid:8080)ண்(cid:8076) ஏ: ெதற்கு: (cid:8080)ண்(cid:8076) ஏ: ேமற்கு: (cid:8080)ண்(cid:8076) ஏ.
I. காணி எ(cid:8076)த்தல் உத்திேயாகத்தர் : பிரேதச ெசயலாளர்,
EOG 01-0007
ரம்(cid:8087)க்கைன.
II. காணியின் விபரம் : சப்பிரக(cid:8089)வ மாகாணத்தில், ேககாைல
ககாாணணிி எஎ(cid:8076)(cid:8076)த்த்ததற்ற் சசட்ட்டடம்ம் ((அஅத்த்ததிியயாாயயம்ம் 446600))
மாவட்டத்தில், ரம்(cid:8087)க்கைன பிரேதச ெசயலாளர் பிாிவில், இல.
03, ஜீெகாடெவௗ்ள கிராம அ(cid:8100)வலர் பிாிவில் ெகாடெவௗ்ள,
38 ஆம் பிாிவின் காப்(cid:8087) வாசகம் (அ) வின் கீழான கட்டைள
காடவட்(cid:8074)ய கிராமத்தில் அைமந்(cid:8080)ள்ள நில அளைவயாளர்
நாயகத்தினால் 2025.10.09 ஆந் திகதி தயாாிக்கப்பட்ட (cid:8089)தற்
2025 ஆம் ஆண்(cid:8074)ன் 131 ஆம் இலக்கக் கட்டைள
சுவட்(cid:8076) இல. KE/RMB/2025/243 இல் விபாிக்கப்பட்(cid:8076)ள்ள
என(cid:8080) குறிப்(cid:8087) இல.: 4-3/ 12/ 2025/HW/54 பின்வ(cid:8094)ம் ெபயர் மற்(cid:8096)ம் விஸ்தீரணத்ைதக் ெகாண்ட காணித்
பிரேதச ெசயலாளர் குறிப்(cid:8087) இல.: KEG/RBK/LLA/AQURE/ (cid:8080)ண்(cid:8076)களின் எல்ைலகள் :
D59/158
0011.. (cid:8080)(cid:8080)ண்ண்(cid:8076)(cid:8076) ''''ஏஏ"" –– பபண்ண்டடாாெெககததரரவவத்த்தத மமற்ற்(cid:8096)(cid:8096)ம்ம் பபாா(cid:8100)(cid:8100)ககேேமம
காணி எ(cid:8076)த்தற் சட்டத்தின் (அத்தியாயம் 460) 38 ஆம் பிாிவின்
அஅ(cid:8100)(cid:8100)த்த்வவத்த்தத -- வவிிஸ்ஸ்ததீீரரணணம்ம் :: 00..00004411 ெெஹஹக்க்டடயயாார்ர்
காப்(cid:8087) வாசகம் (அ) வினால் எனக்களிக்கப்பட்ட தத்(cid:8080)வங்களின்
வவடடக்க்குகு:: இஇ.. ககிி.. வவ.. 114411 (cid:8080)(cid:8080)ண்ண்(cid:8076)(cid:8076) இஇலல.. 116600:: ககிிழழக்க்குகு:: இஇ.. ககிி.. வவ..
பிரகாரம் கமத்ெதாழில், கால்நைட வளங்கள், காணி மற்(cid:8096)ம்
நீர்ப்பாசன அைமச்சர் குரகமேக ெதான் லால் காந்த ஆகிய 114411 (cid:8080)(cid:8080)ண்ண்(cid:8076)(cid:8076) இஇலல.. 116600,, இஇ.. ககிி.. வவ.. 114422 (cid:8080)(cid:8080)ண்ண்(cid:8076)(cid:8076) இஇலல.. 221188 மமற்ற்(cid:8096)(cid:8096)ம்ம்
நான், இங்கு கீழ்க்கா(cid:8078)ம் அட்டவைணயின் I ஆம் பந்தியில் (cid:8080)(cid:8080)ண்ண்(cid:8076)(cid:8076) இஇலல.. பீபீ;; ெெததற்ற்குகு:: ஜஜீீ..எஎல்ல்.. ஆஆாாிியயபபாாலல உஉாாிிைைமம ேேககாா(cid:8094)(cid:8094)ம்ம்
குறிப்பிடப்பட்ட காணி எ(cid:8076)த்தல் உத்திேயாகத்த(cid:8094)க்கு பபண்ண்டடாாெெககததரரவவத்த்தத மமற்ற்(cid:8096)(cid:8096)ம்ம் பபாா(cid:8100)(cid:8100)ககேேமமஅஅ(cid:8100)(cid:8100)த்த்வவத்த்தத:: ேேமமற்ற்குகு;;
அல்ல(cid:8080) அவரால் அதிகாரமளிக்கப்பட்ட எவேர(cid:8084)ம் உத்தி பீபீ.. ஜஜீீ.. ெெசசனனவவிிரரத்த்னன உஉாாிிைைமம ேேககாா(cid:8094)(cid:8094)ம்ம் பபாா(cid:8100)(cid:8100)ககேேமமஅஅ(cid:8100)(cid:8100)த்த்வவத்த்தத
ேயாகத்தெரா(cid:8094)வ(cid:8094)க்கு அவ் அட்டவைணயின் ேநெராத்த
இஇ.. ககிி.. வவ.. 114411 (cid:8080)(cid:8080)ண்ண்(cid:8076)(cid:8076) இஇலல.. 115588 மமற்ற்(cid:8096)(cid:8096)ம்ம் 115577..
II ஆம் பந்தியில் விபாிக்கப்பட்ட காணியின் உைடைமைய
ெபா(cid:8096)ப்ேபற்பதற்கு இத்தால் கட்டைளயி(cid:8076)கின்ேறன்.
0022.. (cid:8080)(cid:8080)ண்ண்(cid:8076)(cid:8076) ''''பீபீ"" -- வவிிஸ்ஸ்ததீீரரணணம்ம் :: 00..00002222 ெெஹஹக்க்டடயயாார்ர்
ேக. (cid:8074). லால் காந்த, வவடடக்க்குகு:: (cid:8080)(cid:8080)ண்ண்(cid:8076)(cid:8076) ஏஏ,, இஇ.. ககிி.. வவ.. 114411 (cid:8080)(cid:8080)ண்ண்(cid:8076)(cid:8076) இஇலல.. 116600 மமற்ற்(cid:8096)(cid:8096)ம்ம்
கமத்ெதாழில், கால்நைட வளங்கள், இஇ.. ககிி.. வவ.. 114422 (cid:8080)(cid:8080)ண்ண்(cid:8076)(cid:8076) இஇலல.. 221188:: ககிிழழக்க்குகு:: இஇ.. ககிி.. வவ.. 114422
காணி மற்(cid:8096)ம் நீர்ப்பாசன அைமச்சர். (cid:8080)(cid:8080)ண்ண்(cid:8076)(cid:8076) இஇலல.. 221188:: ெெததற்ற்குகு:: ஜஜீீ..எஎல்ல்.. ஆஆாாிியயபபாாலல உஉாாிிைைமம ேேககாா(cid:8094)(cid:8094)ம்ம்
பபண்ண்டடாாெெககததரரவவத்த்தத மமற்ற்(cid:8096)(cid:8096)ம்ம் பபாா(cid:8100)(cid:8100)ககேேமமஅஅ(cid:8100)(cid:8100)த்த்வவத்த்தத:: ேேமமற்ற்குகு;;
கமத்ெதாழில், கால்நைட வளங்கள, காணி
ஜஜீீ..எஎல்ல்.. ஆஆாாிியயபபாாலல உஉாாிிைைமம ேேககாா(cid:8094)(cid:8094)ம்ம் பபண்ண்டடாாெெககததரரவவத்த்தத
மற்(cid:8096)ம் நீர்ப்பாசன அைமச்சு,
மமற்ற்(cid:8096)(cid:8096)ம்ம் பபாா(cid:8100)(cid:8100)ககேேமமஅஅ(cid:8100)(cid:8100)த்த்வவத்த்தத (cid:8080)(cid:8080)ண்ண்(cid:8076)(cid:8076) ஏஏ..
“மிஹித்த ெம(cid:8080)ர”,
காணிச் ெசயலகம்,
இல. 1200/6, இரஜமல்வத்ைத (cid:8106)தி, EOG 01-0008
பத்தர(cid:8089)ல்ைல,
2025, திெசம்பர் 19.
இலங்ைக அரசாங்க அச்சுத் திைணக்களத்தில் அச்சிடப்பட்ட(cid:8080).</t>
  </si>
  <si>
    <t>2ae75bce-b13f-415a-acc7-2a540120aad7</t>
  </si>
  <si>
    <t>2469_27</t>
  </si>
  <si>
    <t>2469/27</t>
  </si>
  <si>
    <t>Land Acquisition Act (Chapter 460), Section 5 — Notice of Intended Acquisition (Gazette 2469/27)</t>
  </si>
  <si>
    <t>ඉඩම් අත්පත් කරගැනීමේ පනත (460 අධිකාරය), 5 වැනි වගන්තිය යටතේ අත්පත් කරගැනීමේ අරමුණේ දැන්වීම</t>
  </si>
  <si>
    <t>காணி எடுத்தற் சட்டம் (460 ஆம் அத்தியாயம்), 5 ஆம் பிரிவின் கீழ் காணி கொள்வனவு பற்றிய அறிவித்தல்</t>
  </si>
  <si>
    <t>Notice under Section 5 of the Land Acquisition Act (Chapter 460) declaring intended acquisition of identified land parcels. Part III — Lands.</t>
  </si>
  <si>
    <t>Land Acquisition Act (Chapter 460)</t>
  </si>
  <si>
    <t>m1/raw/2469_27.pdf</t>
  </si>
  <si>
    <t>III ෙක(cid:675)ටස - (cid:636) ලංකා (cid:541)ජාතා(cid:486)(cid:437)ක සමාජවා(cid:463) ජනරජෙ(cid:591) අ(cid:431) (cid:618)ෙශෂ ගැස(cid:376) ප(cid:436)ය - 2026.01.01 1A
பகுதி III - இலங்ைகச் சனநாயக ேசாச(cid:8098)சக் கு(cid:8074)யரசு வர்த்தமானப் பத்திாிைக - அதி விேசஷமான(cid:8080) - 2026.01.01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22446699//2277 -- 22002266 ජජනනවවාා(cid:604)(cid:604) මමසස 0011 වවැැ(cid:487)(cid:487) (cid:559)(cid:559)හහසස්ප්ප(cid:431)(cid:431)(cid:486)(cid:486)දදාා -- 22002266..0011..0011
22446699//2277 ஆஆம்ம் இஇலலக்க்ககம்ம் -- 22002266 ஆஆம்ம் ஆஆண்ண்(cid:8076)(cid:8076) சசனனவவாாிி மமாாததம்ம் 0011 ஆஆந்ந் ததிிககததிி வ விியயாாழழக்க்ககிிழழைைமம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 வாசகம் (அ) வின் கீழான கட்டைள II.. ககாாணணிி எஎ(cid:8076)(cid:8076)த்த்ததல்ல் உஉத்த்ததிிேேயயாாககத்த்ததர்ர் :: பிரேதச ெசயலாளர்,
ரம்(cid:8087)க்கைன.
22002255 ஆஆம்ம் ஆஆண்ண்(cid:8074)(cid:8074)ன்ன் 112266 ஆஆம்ம் இஇலலக்க்ககக்க் ககட்ட்டடைைளள
IIII.. ககாாணணிியயிின்ன் வவிிபபரரம்ம் :: சப்ரக(cid:8089)வ மாகாணத்தில்,
என(cid:8080) குறிப்(cid:8087) இல.: 4-3/3/2024/HW/88.
ேககாைல மாவட்டத்தில், ரம்(cid:8087)க்கைன பிரேதச ெசயலாளர்
பிரேதச ெசயலாளர் குறிப்(cid:8087) இல.: KEG/RBK/LLA/
பிாிவில், இல. 02 ஏ குடாகம வடக்கு கிராம அ(cid:8100)வலர்
AQURE/D59/152.
பிாிவில் அைமந்(cid:8080)ள்ள குடாகம கிராமத்தில் உள்ள நில
காணி எ(cid:8076)த்தற் சட்டத்தின் (அத்தியாயம் 460) 38 ஆம் அளைவயாளர் நாயகம் அவர்களால் தயாாிக்கப்பட்ட
பிாிவின் காப்(cid:8087)வாசகம் (அ) வினால் எனக்களிக்கப்பட்ட (cid:8089)தற் சுவட்(cid:8076) இல. KE/RMB/2025/164 மற்(cid:8096)ம் 2025.09.23
தத்(cid:8080)வங்களின் பிரகாரம், கமத்ெதாழில், கால்நைட வளங்கள், ஆம் திகதியில் விபாிக்கப்பட்(cid:8076)ள்ள காணித் (cid:8080)ண்(cid:8076)கள்
காணி மற்(cid:8096)ம் நீர்ப்பாசன அைமச்சர் குரகமேக ெதான் லால் விஸ்தாிப்பதற்காக எ(cid:8076)க்கப்ப(cid:8076)கின்ற(cid:8080). வைரப்படத்தின்
காந்த ஆகிய நான், இங்கு கீழ்க் கா(cid:8078)ம் அட்டவைணயின் எல்ைலகள் பின்வ(cid:8094)மா(cid:8096) :
I ஆம் பந்தியில் குறிப்பிடப்பட்ட காணி எ(cid:8076)த்தல்
உத்திேயாகத்த(cid:8094)க்கு அல்ல(cid:8080) அவரால் அதிகாரமளிக்கப்பட்ட
01. (cid:8080)(cid:8080)ண்ண்(cid:8076)(cid:8076) ““ஏஏ”” –– ெெததல்ல்ககஹஹாா(cid:8089)(cid:8089)லலேேஹஹனன -- வவிிஸ்ஸ்ததீீரரணணம்ம்::
எவேர(cid:8084)ம் உத்திேயாகத்தெரா(cid:8094)வ(cid:8094)க்கு அவ்
00..00223355 ெெஹஹக்க்டடயயாார்ர்
அட்டவைணயின் ேநெராத்த II ஆம் பந்தியில் விபாிக்கப்பட்ட
வடக்கு: ஆர்.எஸ்.(cid:8092).ஜீ. ரனசிங்க மற்(cid:8096)ம் உாிைம ேகா(cid:8094)ம்
காணியின் உைடைமைய ெபா(cid:8096)ப்ேபற்பதற்கு இத்தால்
ெதல்கஹா(cid:8089)லேஹன; கிழக்கு: இ. கி. வ. 112 (cid:8080)ண்(cid:8076) இல.
கட்டைளயி(cid:8076)கின்ேறன்.
34 மற்(cid:8096)ம் ஆர்.எஸ்.(cid:8092).ஜீ. ரனசிங்க மற்(cid:8096)ம் உாிைம ேகா(cid:8094)ம்
ேக.(cid:8074) லால் காந்த, ெதல்கஹா(cid:8089)லேஹன; ெதற்கு: ஆர்.எஸ்.(cid:8092).ஜீ. ரனசிங்க
கமத்ெதாழில், கால்நைட வளங்கள், மற்(cid:8096)ம் உாிைம ேகா(cid:8094)ம் ெதல்கஹா(cid:8089)லேஹன, (cid:8106)தி மற்(cid:8096)ம்
காணி மற்(cid:8096)ம் நீர்ப்பாசன அைமச்சர்.
(cid:8080)ண்(cid:8076) பீ; ேமற்கு: (cid:8080)ண்(cid:8076) பீ (cid:8106)தி மற்(cid:8096)ம் ஆர்.எஸ்.(cid:8092).ஜீ.
கமத்ெதாழில், கால்நைட வளங்கள், காணி மற்(cid:8096)ம் ரனசிங்க மற்(cid:8096)ம் உாிைம ேகா(cid:8094)ம் ெதல்கஹா(cid:8089)லேஹன.
நீர்ப்பாசன அைமச்சு,
“மிஹிகத்த ெம(cid:8080)ர”,
02. (cid:8080)(cid:8080)ண்ண்(cid:8076)(cid:8076) ““பீபீ”” –– -- வவிிஸ்ஸ்ததீீரரணணம்ம்:: 00..00001111 ெெஹஹக்க்டடயயாார்ர்
காணிச் ெசயலகம்,
வடக்கு: ஆர்.எஸ்.(cid:8092).ஜீ. ரனசிங்க மற்(cid:8096)ம் உாிைம ேகா(cid:8094)ம்
இல. 1200/6, இரஜமல்வத்ைத (cid:8106)தி,
ெதல்கஹா(cid:8089)லேஹன மற்(cid:8096)ம் (cid:8080)ண்(cid:8076) ஏ; கிழக்கு: (cid:8080)ண்(cid:8076)
பத்தர(cid:8089)ல்ைல.
2025, திெசம்பர் 19.
1A - G46002 - 13(2026/01)
இவ் அதிவி ேஷட வர்த்தமானிைய www.documents.gov.lk எ(cid:8084)ம் இைணயத்தளத்தி(cid:8098)(cid:8094)ந்(cid:8080) பதிவிறக்கம் ெசய்ய (cid:8089)(cid:8074)(cid:8092)ம்.
2A III ෙක(cid:675)ටස - (cid:636) ලංකා (cid:541)ජාතා(cid:486)(cid:437)ක සමාජවා(cid:463) ජනරජෙ(cid:591) අ(cid:431) (cid:618)ෙශෂ ගැස(cid:376) ප(cid:436)ය - 2026.01.01
பகுதி III - இலங்ைகச் சனநாயக ேசாச(cid:8098)சக் கு(cid:8074)யரசு வர்த்தமானப் பத்திாிைக - அதி விேசஷமான(cid:8080) - 2026.01.01
இல. 1 மற்(cid:8096)ம் ஆர்.எஸ்.(cid:8092).ஜீ. ரனசிங்க மற்(cid:8096)ம் உாிைம காணியின் உைடைமைய ெபா(cid:8096)ப்ேபற்பதற்கு இத்தால்
ேகா(cid:8094)ம் ெதல்கஹா(cid:8089)லேஹன; ெதற்கு: (cid:8106)தி மற்(cid:8096)ம் ஆர்.பீ. கட்டைளயி(cid:8076)கின்ேறன்.
(cid:8087)ஷ்பகுமார உாிைம ேகா(cid:8094)ம் ெதல்கஹா(cid:8089)லேஹன, மற்(cid:8096)ம்
ேக.(cid:8074) லால் காந்த,
(cid:8080)ண்(cid:8076) சீ; ேமற்கு: (cid:8080)ண்(cid:8076) சீ மற்(cid:8096)ம் ஆர்.பீ. (cid:8087)ஷ்பகுமார
கமத்ெதாழில், கால்நைட வளங்கள்,
மற்(cid:8096)ம் உாிைம ேகா(cid:8094)ம் ெதல்கஹா(cid:8089)லேஹன.
காணி மற்(cid:8096)ம் நீர்ப்பாசன அைமச்சர்.
03. (cid:8080)(cid:8080)ண்ண்(cid:8076)(cid:8076) ““சசீீ”” –– ெெததல்ல்ககஹஹாா(cid:8089)(cid:8089)லலேேஹஹனன -- வவிிஸ்ஸ்ததீீரரணணம்ம்::
கமத்ெதாழில், கால்நைட வளங்கள், காணி மற்(cid:8096)ம்
00..00110011 ெெஹஹக்க்டடயயாார்ர் நீர்ப்பாசன அைமச்சு,
வடக்கு: ஆர்.பீ. (cid:8087)ஷ்பகுமார மற்(cid:8096)ம் உாிைம ேகா(cid:8094)ம் “மிஹிகத்த ெம(cid:8080)ர”,
ெதல்கஹா(cid:8089)லேஹன (cid:8106)தி மற்(cid:8096)ம் (cid:8080)ண்(cid:8076) பீ ; கிழக்கு: (cid:8080)ண்(cid:8076) காணிச் ெசயலகம்,
இல. 1200/6, இரஜமல்வத்ைத (cid:8106)தி,
பீ மற்(cid:8096)ம் (cid:8106)தி மற்(cid:8096)ம் ஆர்.பீ. (cid:8087)ஷ்பகுமார மற்(cid:8096)ம் உாிைம
பத்தர(cid:8089)ல்ைல.
ேகா(cid:8094)ம் ெதல்கஹா(cid:8089)லேஹன; ெதற்கு: (cid:8106)தி மற்(cid:8096)ம் ஆர்.பீ.
2025, திெசம்பர் 19.
(cid:8087)ஷ்பகுமார உாிைம ேகா(cid:8094)ம் ெதல்கஹா(cid:8089)லேஹன, மற்(cid:8096)ம்
ஆர்.சி.என். அேபவிக்ரம உாிைம ேகா(cid:8094)ம் பம்பரேஹன
அஅட்ட்டடவவைைணண
மற்(cid:8096)ம் (cid:8080)ண்(cid:8076) (cid:8074); ேமற்கு: (cid:8080)ண்(cid:8076) (cid:8074), ஆர்.சி.என். அேபவிக்ரம
உாிைம ேகா(cid:8094)ம் பம்பரேஹன மற்(cid:8096)ம் ஆர்.பீ. (cid:8087)ஷ்பகுமார II.. ககாாணணிி எஎ(cid:8076)(cid:8076)த்த்ததல்ல் உஉத்த்ததிிேேயயாாககத்த்ததர்ர் :: பிரேதச ெசயலாளர்,
மற்(cid:8096)ம் உாிைம ேகா(cid:8094)ம் ெதல்கஹா(cid:8089)லேஹன. ரம்(cid:8087)க்கைன.
04. (cid:8080)(cid:8080)ண்ண்(cid:8076)(cid:8076) ““டீடீ”” –– பபம்ம்பபரரேேஹஹனன -- வவிிஸ்ஸ்ததீீரரணணம்ம்:: 00..00119911 IIII.. ககாாணணிியயிின்ன் வவிிபபரரம்ம் :: சப்ரக(cid:8089)வ மாகாணத்தில்,
ெெஹஹக்க்டடயயாார்ர் ேககாைல மாவட்டத்தில், ரம்(cid:8087)க்கைன பிரேதச ெசயலாளர்
வடக்கு: ஆர்.சி.என். அேபவிக்ரம மற்(cid:8096)ம் உாிைம பிாிவில், இல. 03 நத்தகும்(cid:8087)ர கிராம அ(cid:8100)வலர் பிாிவில்
ேகா(cid:8094)ம் பம்பரேஹன ஆர்.பீ. (cid:8087)ஷ்பகுமார உாிைம ேகா(cid:8094)ம் அைமந்(cid:8080)ள்ள நத்தகும்(cid:8087)ர கிராமத்தில் உள்ள நில
ெதல்கஹா(cid:8089)லேஹன மற்(cid:8096)ம் (cid:8080)ண்(cid:8076) சீ; கிழக்கு: (cid:8080)ண்(cid:8076) சீ: அளைவயாளர் நாயகத்தினால் தயாாிக்கப்பட்ட (cid:8089)தற் சுவட்(cid:8076)
ஆர்.பீ. (cid:8087)ஷ்பகுமார் உாிைம ேகா(cid:8094)ம் ெதல்கஹா(cid:8089)லேஹன இல. KE/RMB/2025/166 மற்(cid:8096)ம் 2025.09.15 ஆம் திகதியில்
மற்(cid:8096)ம் ஆர்.சி.என். அேபவிக்ரம மற்(cid:8096)ம் உாிைம ேகா(cid:8094)ம் விபாிக்கப்பட்(cid:8076)ள்ள காணித் (cid:8080)ண்(cid:8076)கள் விஸ்தாிப்பதற்காக
பம்பரேஹன; ெதற்கு: ஆர்.சி.என். அேபவிக்ரம மற்(cid:8096)ம் எ(cid:8076)க்கப்ப(cid:8076)கின்ற(cid:8080). வைரபடத்தின் எல்ைலகள் பின்வ(cid:8094)மா(cid:8096):
உாிைம ேகா(cid:8094)ம் பம்பரேஹன மற்(cid:8096)ம் (cid:8106)தி ((cid:8106)தி அபிவி(cid:8094)த்தி
அதிகாரசைப); ேமற்கு: (cid:8106)தி ((cid:8106)தி அபிவி(cid:8094)த்தி அதிகாரசைப) 01. (cid:8080)(cid:8080)ண்ண்(cid:8076)(cid:8076) ““ஏஏ”” –– நநாாககஹஹ(cid:8089)(cid:8089)குகு(cid:8087)(cid:8087)ரர -- வவிிஸ்ஸ்ததீீரரணணம்ம்:: 00..00222244
மற்(cid:8096)ம் ஆர்.சி.என். அேபவிக்ரம உாிைம ேகா(cid:8094)ம் ெெஹஹக்க்டடயயாார்ர்
பம்பரேஹன. வடக்கு: மத்திய அதிேவகபாைத ெசயற்திட்டம் - 3;
கிழக்கு: மத்திய அதிேவகபாைத ெசயற்திட்டம் - 3; ெதற்கு:
(cid:8080)ண்(cid:8076) பீ; ேமற்கு: (cid:8080)ண்(cid:8076) பீ.
EOG 01-0009
02. (cid:8080)(cid:8080)ண்ண்(cid:8076)(cid:8076) ““பீபீ”” –– நநாாககஹஹ(cid:8089)(cid:8089)குகு(cid:8087)(cid:8087)ரர -- வவிிஸ்ஸ்ததீீரரணணம்ம்:: 00..00556633
ெெஹஹக்க்டடயயாார்ர்
ககாாணணிி எஎ(cid:8076)(cid:8076)த்த்ததற்ற் சசட்ட்டடம்ம் ((அஅத்த்ததிியயாாயயம்ம் 446600))
வடக்கு: (cid:8080)ண்(cid:8076) ஏ; கிழக்கு: மத்திய அதிேவகபாைத
ெசயற்திட்டம்- 3 மற்(cid:8096)ம் (cid:8080)ண்(cid:8076) சீ; ெதற்கு: சீ.ேஜ.எம்.
38 ஆம் பிாிவின் காப்(cid:8087) வாசகம் (அ) வின் கீழான கட்டைள
விமலரத்ன உாிைம ேகா(cid:8094)ம் நாகஹ(cid:8089)கு(cid:8087)ர மற்(cid:8096)ம் ேஜ. எம்.
வி. பண்டார மற்(cid:8096)ம் சிலர் உாிைம ேகா(cid:8094)ம் நாகஹ(cid:8089)கு(cid:8087)ர;
22002255 ஆஆம்ம் ஆஆண்ண்(cid:8074)(cid:8074)ன்ன் 112277 ஆஆம்ம் இஇலலக்க்ககக்க் ககட்ட்டடைைளள ேமற்கு: ேஜ. எம். வி. பண்டார மற்(cid:8096)ம் சிலர் உாிைம ேகா(cid:8094)ம்;
நாகஹ(cid:8089)கு(cid:8087)ர மற்(cid:8096)ம் மத்திய அதிேவகபாைத ெசயற்திட்டம்
என(cid:8080) குறிப்(cid:8087) இல.: 4-3/3/2024/HW/108. - 3.
பிரேதச ெசயலாளர் குறிப்(cid:8087) இல.: KEG/RBK/LLA/
03. (cid:8080)(cid:8080)ண்ண்(cid:8076)(cid:8076) ““சசீீ”” –– நநாாககஹஹ(cid:8089)(cid:8089)குகு(cid:8087)(cid:8087)ரர -- வவிிஸ்ஸ்ததீீரரணணம்ம்:: 00..00001166
AQURE/D59/152.
ெெஹஹக்க்டடயயாார்ர்
காணி எ(cid:8076)த்தற் சட்டத்தின் (அத்தியாயம் 460) 38 ஆம் வடக்கு: (cid:8080)ண்(cid:8076) பீ மற்(cid:8096)ம் மத்திய அதிேவகபாைத
பிாிவின் காப்(cid:8087) வாசகம் (அ) வினால் எனக்களிக்கப்பட்ட ெசயற்திட்டம் - 3; கிழக்கு: மத்திய அதிேவகபாைத
தத்(cid:8080)வங்களின் பிரகாரம், கமத்ெதாழில், கால்நைட வளங்கள், ெசயற்திட்டம் - 3; ெதற்கு: சீ.ேஜ.எம். விமலரத்ன உாிைம
காணி மற்(cid:8096)ம் நீர்ப்பாசன அைமச்சர் குரகமேக ெதான் லால் ேகா(cid:8094)ம் நாகஹ(cid:8089)கு(cid:8087)ர; ேமற்கு: ேஜ.எம். விமலரத்ன உாிைம
காந்த ஆகிய நான், இங்கு கீழ்க் கா(cid:8078)ம் அட்டவைணயின்
ேகா(cid:8094)ம் மற்(cid:8096)ம் ேஜ. எம். வி. பண்டார மற்(cid:8096)ம் சிலர் உாிைம
I ஆம் பந்தியில் குறிப்பிடப்பட்ட காணி எ(cid:8076)த்தல்
ேகா(cid:8094)ம் நாகஹ(cid:8089)கு(cid:8087)ர மற்(cid:8096)ம் (cid:8080)ண்(cid:8076) பீ.
உத்திேயாகத்த(cid:8094)க்கு அல்ல(cid:8080) அவரால் அதிகாரமளிக்கப்பட்ட
எவேர(cid:8084)ம் உத்திேயாகத்தெரா(cid:8094)வ(cid:8094)க்கு அவ்
EOG 01-0010
அட்டவைணயின் ேநெராத்த II ஆம் பந்தியில் விபாிக்கப்பட்ட
இலங்ைக அரசாங்க அச்சுத் திைணக்களத்தில் அச்சிடப்பட்ட(cid:8080).</t>
  </si>
  <si>
    <t>9e1ee40e-58c0-4a5b-9877-7114b82c498f</t>
  </si>
  <si>
    <t>2469_28</t>
  </si>
  <si>
    <t>2469/28</t>
  </si>
  <si>
    <t>Land Acquisition Act, Section 28 — Notice (Gazette 2469/28)</t>
  </si>
  <si>
    <t>ඉඩම් අත්පත් කරගැනීමේ පනත, 28 වැනි වගන්තිය යටතේ දැන්වීම</t>
  </si>
  <si>
    <t>காணி எடுத்தற் சட்டம், 28 ஆம் பிரிவின் கீழ் அறிவித்தல்</t>
  </si>
  <si>
    <t>English-language notice under Section 28 of the Land Acquisition Act. Part III — Lands.</t>
  </si>
  <si>
    <t>m1/raw/2469_28.pdf</t>
  </si>
  <si>
    <t>III fldgi – Y%S ,xld m%cd;dka;%sl iudcjd§ ckrcfha w;s úfYI .eiÜ m;%h – 2026'01'01 1A
PART III – GAZETTE EXTRAORDINARY OF THE DEMOCRATIC SOCIALIST REPUBLIC OF SRI LANKA – 01.01.2026
ශ්‍රීශ්‍රී ලංලංංංකාකාාා ප්‍රප්‍රජාජාාාතාතාාාන්න්ත්‍රිත්‍රිකාකා සසමාමාාාජාජාවාවාාාදීදී ජාජානනරරජාජායේයේ�� ගැගැැැසසට්ට් පපත්‍රත්‍රයය
The Gazette of the Democratic Socialist Republic of Sri Lanka
අති විශෙ�ෂ
EXTRAORDINARY
අංඅංංංකාකා 22446699//2288 –– 22002266 ජාජානනවාවාාාරිරි මාමාසස 0011 වාවාැැනිනි බ්‍රබ්‍රහහසස්ප්පතිතින්න්දාදාාා –– 22002266..0011..0011
NNoo.. 22446699//2288 –– TTHHUURRSSDDAAYY,, JJAANNUUAARRYY 0011,, 22002266
(Published by Authority)
PART III – LANDS
Land Acquisition Notices
THE LAND ACQUISITION ACT (CHAPTER 460) SCHEDULE
Order under Proviso (a) to Section 38
I. Description of the land.– Acquiring Officer
Divisional Secretary Polgahawela:
Order No. 129 of 2025
My Ref. No.: 4-3/3/2024/HW/112. II. Description of servitude.– The allotments of land
Div. Sec. Ref. No.: DIVPG/LND/LA/6/4. described under the names given below, having an aggregate
extent of approximately 0.3466 hectares, and depicted as Lots
BY virtue of the powers vested in me by Proviso (a) to Section ‘A to K’ in the Surveyor General’s Advance Tracing No. KU/
38 of Land Acquisition Act, (Chapter 460) I, Kuragamage PLG/2025/175 dated 26.08.2025, are situated at Parabevila
Don Lal Kantha, Minister of Agriculture, Livestock, Land Village in No. 893, Parabevila Grama Niladhari Division,
and Irrigation do herby direct the Acquiring Officer or any within the Polgahawela Divisional Secretary’s Division of
other officer authorized by him referred to in paragraph I the Kurunegala District, North Western Province, and are
of the Schedule to take immediate possession of the land bounded as follows:
specified in the corresponding entry in paragraph II of
Schedule. 01. Lot ‘A’ – Jothihamige waththa - Extent: 0.0753
Hectare
K. D. Lal Kantha, North: Road (Pradeshiya Sabha), Road and Lot B; East: Lot
Minister of Agriculture, B, Jothihamuge waththa claimed by W. R. D. S. K. Wijesingha
Livestock, Lands and Irrigation. and Lot C; South: Lot C and Acquired lands for the Central
Expressway Project Phase III (P.P.Ku 2497); West: Acquired
Ministry of Agriculture,
lands for the Central Expressway Project Phase III (P.P.Ku
Livestock, Lands and Irrigation,
2497).
“Mihikatha Medura”,
No. 1200/06, Rajamalwatta Road,
Battaramulla.
19th December, 2025.
1A – G 046003 – 08 (01/2026)
This Gazette Extraordinary can be downloaded from www.documents.gov.lk
2A III fldgi – Y%S ,xld m%cd;dka;%sl iudcjd§ ckrcfha w;s úfYI .eiÜ m;%h – 2026'01'01
PART III – GAZETTE EXTRAORDINARY OF THE DEMOCRATIC SOCIALIST REPUBLIC OF SRI LANKA – 01.01.2026
02. Lot ‘B’ – Jothihamige waththa - Extent: 0.0624 Phase III (P.P.Ku 2497); West: Acquired lands for the Central
Hectare Expressway Project Phase III (P.P.Ku 2497) and Lot E.
North: Road and Beliwaththa claimed by A. D. C.
Sriyalatha; East: Road, Beliwaththa claimed by A. D. C. 07. Lot ‘G’ – Alugollawaththa - Extent: 0.0162 Hectare
Sriyalatha and Jothihamige waththa claimed by W. R. D. S. North: Lot F and H; East: Lot H; South: Lot H and Acquired
K. Wijesingha; South: Lot C and A; West: Lot A and Road. lands for the Central Expressway Project Phase III (P.P.Ku
2497); West: Acquired lands for the Central Expressway
03. Lot ‘C’ – Jothihamige waththa - Extent: 0.0124 Project Phase III (P.P.Ku 2497) and Lot F.
Hectare
North: Lot A and B, Jothihamige waththa claimed by W. 08. Lot ‘H’ – Alugollawaththa - Extent: 0.0743 Hectare
R. D. S. K. Wijesingha; East: Jothihamuge waththa claimed North: Lot E, D and Alugollawaththa land claimed by R.
by W. R. D. S. K. Wijesingha, Road and Lot F; South: Lot H. M. G. Kaluhendiwela; East: Alugollawaththa land claimed
F and Acquired lands for the Central Expressway Project by R. H. M. G. Kaluhendiwela and Lot J; South: Lot J and
Phase III (P.P.Ku 2497); West: Acquired lands for the Central Acquired lands for the Central Expressway Project Phase III
Expressway Project Phase III (P.P.Ku 2497) and Lot A. (P.P.Ku 2497); West: Lot J and Acquired lands for the Central
Expressway Project Phase III (P.P.Ku 2497), Lot G, F and E.
04. Lot ‘D’ – Jothihamige waththa - Extent: 0.0293
Hectare 09. Lot ‘J’ – Alugollawaththa - Extent: 0.0247 Hectare
North: Road and Jothihamige waththa claimed by R. A. T. North: Lot H, Alugollawaththa land claimed by R. H. M. G.
P. Sarathchandra and Alugollawaththa claimed by R. H. M. Kaluhendiwela; East: Alugollawaththa land claimed by R. H.
G. Kaluhendiwela; East: Jothihamige waththa claimed by R. M. G. Kaluhendiwela and Lot K; South: Lot K and Acquired
A. T. P. Sarathchandra and Alugollawaththa claimed by R. H. lands for the Central Expressway Project Phase III (P.P.Ku
M. G. Kaluhendiwela; South: Alugollawaththa claimed by R. 2497); West: Acquired lands for the Central Expressway
H. M. G. Kaluhendiwela and Lot E; West:Lot E and Road. Project Phase III (P.P.Ku 2497), Lot H and Alugollawaththa
land claimed by R. H. M. G. Kaluhendiwela.
05. Lot ‘E’ – Jothihamige waththa - Extent: 0.0064
Hectare 10. Lot ‘K’ – Alugollawaththa - Extent: 0.0334 Hectare
North: Lot F. Road and Lot D; East: Lot D, Alugollawaththa North: Lot J and Alugollawaththa land claimed by R. H.
claimed by R. H. M. G. Kaluhendiwela and Lot H; South: Lot M. G. Kaluhendiwela and Kahatagahamulawaththa claimed
H and F; West: Lot F. by H. M. C. Herath; East: Acquired lands for the Central
Expressway Project Phase III (P.P.Ku 2497); South: Acquired
06. Lot ‘F’ –Extent: 0.0122 Hectare lands for the Central Expressway Project Phase III (P.P.Ku
North: Lot C, Jothihamige waththa claimed by W. R. D. 2497); West: Lot J.
S. K. Wijesingha, Lot D and E; East: Road, Lot D, E, and H;
South: Acquired lands for the Central Expressway Project EOG 10 - 0011
PRINTED AT THE DEPARTMENT OF GOVERNMENT PRINTING, SRI LANKA.</t>
  </si>
  <si>
    <t>8dd0333d-a086-430d-a655-c6aa7c8fb09b</t>
  </si>
  <si>
    <t>2469_30</t>
  </si>
  <si>
    <t>2469/30</t>
  </si>
  <si>
    <t>Title Registration Act, No. 21 of 1998, Section 14 — Commissioner of Title Settlement's decision under Section 14 (Gazette 2469/30)</t>
  </si>
  <si>
    <t>m1/raw/2469_30.pdf</t>
  </si>
  <si>
    <t>7e6e1a4e-fc14-407a-9986-61e0d1437044</t>
  </si>
  <si>
    <t>2469_31</t>
  </si>
  <si>
    <t>2469/31</t>
  </si>
  <si>
    <t>Title Registration Act, No. 21 of 1998, Section 14 — Commissioner of Title Settlement's decision under Section 14 (Gazette 2469/31)</t>
  </si>
  <si>
    <t>m1/raw/2469_31.pdf</t>
  </si>
  <si>
    <t>99d51a92-bc7a-4db5-a661-ecf55c65f2e7</t>
  </si>
  <si>
    <t>2469_32</t>
  </si>
  <si>
    <t>2469/32</t>
  </si>
  <si>
    <t>Title Registration Act, No. 21 of 1998, Section 14 — Commissioner of Title Settlement's decision under Section 14 (Gazette 2469/32)</t>
  </si>
  <si>
    <t>m1/raw/2469_32.pdf</t>
  </si>
  <si>
    <t>e638f38e-a3e0-43f2-82b4-84e11f2164ca</t>
  </si>
  <si>
    <t>2469_33</t>
  </si>
  <si>
    <t>2469/33</t>
  </si>
  <si>
    <t>Title Registration Act, No. 21 of 1998, Section 14 — Commissioner of Title Settlement decision (Gazette 2469/33)</t>
  </si>
  <si>
    <t>m1/raw/2469_33.pdf</t>
  </si>
  <si>
    <t>III �ක ස�ටස - ශ්‍රී ��ක ස� ‍රා���්ත්‍රික ස සම�ා�� ජ ාජයා�� ි ව ශෙ��ග ��ස ප ්‍ර� - 2026.01.02 1 A
பகுத� III - இலங்�கச் சன��யக �ச�சலிசக் குடியரசு வர்த்தம�னப் பத்த����க - அத� வ��சஷம�னது - 2026.01.02
ශ්‍රී ��ක� ප්‍රජ���්ත්‍රික ස��ජ��දී ජනරජ�� ��සට් පත්‍රය
இலங்�கச் சன��யக �ச�சலிசக் குடியரசு வர்த்தம�னப் பத்த����க
ි ව ශෙ��ග அத� வ��சஷம�னது
ි�ක ස 2469/33 - 2026 ාජ��රි මස 02 ��නි සිකුය��� - 2026.01.02
2469/33 ஆம் இலக்கம் - 2026 ஆம் ஆண்டு சனவ�� ம�தம் 02 ஆந் த�கத� �வள்ள�க்க�ழ�ம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��ன், 1998 ஆம் ஆண்டின் 21 ஆம் இலக்க உ��த்துப் பத�வுச் சட்டத்த�ன் 12 ஆம் ப���வ�ன்
��யத�கள�ன்படி 2024.03.26 ஆந் த�கத�ய, 2377/21 ஆம் இலக்க வர்த்தம�ன�ய�ல் உ��ய மு�றய�ல் �வள�ய�டப்பட்டதும், க�ண�க்க�ன
உ���மக் �க���க்�கக�ளக் �க�ருக�ன்றதும�ன 42/0962 ஆம் இலக்க அற�வ�த்தலில் குற�ப்பீடு �சய்யப்பட்ட வட �மல் ம�க�ணத்த�ல்
குரு��கல் ம�வட்டத்த�ல், குள�ய�ப்ப�டிய �மற்கு ப�ர�தச �சயல�ளர் ப���வ�ல், இல. 1197 - �வரழுகம க�ர�ம அலுவலர் ப���வ�னுள்
பர�க�டமுல்ல க�ர�மத்த�ல் அ�மந்துள்ளதும் 421438 ஆம் இலக்க கடத்த�ரல் அள�வ வ�ரபடத்த�ல் ப���வு இல. 1 இல் அடங்க�
யுள்ளதும�ன 1 : 14 ஆம் இலக்கங்க�ளக் �க�ண்ட க�ண�த்துண்டுகளுக்க�ன உ��த்து �த�டர்ப�க இத�ன�டு இ�ணக்கப்பட்ட
அட்டவ�ணய�ல் தரப்பட்டுள்ளவ�ற�ன எனது த�ர்ம�னத்�த இத்த�ல் �வள�ப்படுத்துக�ன்�றன்.
பீ.ச�.டீ. ச��கர�,
க�ண� உ��த்து ��ர்ணய ஆ�ணய�ளர் ��யகம்.
க�ண� உ��த்து ��ர்ணயத் த��ணக்களம்,
இல. 1200/6, “ம���கத �மதுர”,
இரஜமல்வத்த வீத�,
பத்தரமுல்�ல,
2025 ஆம் ஆண்டு ஒற்�ற�பர் ம�தம் 28 ஆம் த�கத�.
1A - G 46012 - 03 (2026/01)
மு. கு. - இவ் அத�வ��ஷட வர்த்தம�ன��ய www.documents.gov.lk எனும் இ�ணயத்தளத்த�லிருந்து பத�வ�றக்கம் �சய்ய முடியும்.
2 A III �ක ස�ටස - ශ්‍රී ��ක ස� ‍රා���්ත්‍රික ස සම�ා�� ජ ාජයා�� ි ව ශෙ��ග ��ස ප ්‍ර� - 2026.01.02
பகுத� III - இலங்�கச் சன��யக �ச�சலிசக் குடியரசு வர்த்தம�னப் பத்த����க - அத� வ��சஷம�னது - 2026.01.02
அட்டவ�ண
க�ண� வ��சட
வழக்க�ற்கு அல்லது
த�ள் இல.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(��க்டய�ர்) முகவ��யும் அட்�ட வ�ஸ்த�ரணம் இயல்பும் த�க களுள் எவ்
துண்டின் இல. தடுப்புக் வ�கக்கும்
இல. கட்ட�ள அ�மந்த�ருப்
பற்ற�ய ப�ன் வ�பரங்
வ�பரங்கள் கள்
1:14 0.1223 எத���ம�ன்ன ஆரச்ச�ல��க குணத�ச 593113752V முழுவதும் 2வது வகுப்பு _ வயல்
பர�க�டம�ல்ல, வலகும்புருமுல்ல.
EOG 01 - 0017
இலங்�க அரச�ங்க அச்சுத் த��ணக்களத்த�ல் பத�ப்ப�க்கப்�பற்றது.</t>
  </si>
  <si>
    <t>252b3878-ba1b-4219-94f7-c4790cfa2515</t>
  </si>
  <si>
    <t>2469_34</t>
  </si>
  <si>
    <t>2469/34</t>
  </si>
  <si>
    <t>Title Registration Act, No. 21 of 1998, Section 14 — Commissioner of Title Settlement's decision under Section 14 (Gazette 2469/34)</t>
  </si>
  <si>
    <t>m1/raw/2469_34.pdf</t>
  </si>
  <si>
    <t>4e02b3aa-16dc-4e75-adfd-9b0ad943a74f</t>
  </si>
  <si>
    <t>2469_35</t>
  </si>
  <si>
    <t>2469/35</t>
  </si>
  <si>
    <t>Land Acquisition Act (Chapter 460), Section 5 — Notice of Intended Acquisition (Gazette 2469/35)</t>
  </si>
  <si>
    <t>ඉඩම් අත්කර ගැනීමේ පනත (460 වන අධිකාරිය) - අත්කර ගැනීමේ දැන්වීම</t>
  </si>
  <si>
    <t>காணி கையகப்படுத்தல் சட்டம் (அதிகாரம் 460) - கையகப்படுத்தல் அறிவித்தல்</t>
  </si>
  <si>
    <t>Notice under Section 5 of the Land Acquisition Act (Chapter 460) declaring intended acquisition of identified land parcels for a public purpose (e.g. highway, irrigation, public infrastructure). Part III — Lands.</t>
  </si>
  <si>
    <t>m1/raw/2469_35.pdf</t>
  </si>
  <si>
    <t>bfff7d49-26d8-4a7a-a49a-7851cbe63f33</t>
  </si>
  <si>
    <t>2469_36</t>
  </si>
  <si>
    <t>2469/36</t>
  </si>
  <si>
    <t>General Government Notification (Gazette 2469/36)</t>
  </si>
  <si>
    <t>රජයේ දැන්වීම</t>
  </si>
  <si>
    <t>அரசாங்க அறிவித்தல்</t>
  </si>
  <si>
    <t>General Government Notification published in Part I — General.</t>
  </si>
  <si>
    <t>general</t>
  </si>
  <si>
    <t>other</t>
  </si>
  <si>
    <t>m1/raw/2469_36.pdf</t>
  </si>
  <si>
    <t>Y%S ,xld m%cd;dka;%sl iudcjd§ ckrcfha .eiÜ m;%h
w;s úfYI
,yq;ifr; rdehaf Nrhryprf; FbauR th;j;jkhdg; gj;jphpif
mjp tpNr\khdJ
wxl 2469/36 - 2026 ckjdß ui 04 jeks bßod - 2026'01'04
2469/ 36 Mk; ,yf;fk; - 2026 Mk; Mz;L rdtup khjk; 04 Me; jpfjp Qhapw;Wf;fpoik
(murhq;fj;jpd; mjpfhuj;Jld; gpuRupf;fg;gl;lJ)
gFjp I : njhFjp (I) - nghJ
,yq;if kj;jpa tq;fpapd; mwptpj;jy;fs;
22002233 ஆஆம்ம் ஆஆண்ண்டிடின்ன் 1177 ஆஆம்ம் இஇலலக்க்கக வவங்ங்ககிித்த்தத��ொொழிழிிில்ல் ((வவிிசேசேேேடட ஏஏற்ற்பாபாொொடுடுககள்ள்)) ேேட்ட்டடத்த்��ிின்ன் 1188 ஆஆம்ம் பாபாிிொொிிவவிின்ன் ககீீழ்ழ்
சேசேேேஷஷன்ன் லலங்ங்ககொொ பாபாிினானாொொன்ன்ஸ்ஸ் பாபாிிஎஎல்ல்ேேிி இஇற்ற்குகு ேேிியயமிமிிிக்க்ககப்ப்பாபாட்ட்டட ேேிிருருவவொொககத்த் ��த்த்துதுவவக்க்ககொொரரொொிின்ன் பாபா��வவிிக்க்ககொொலலத்த்தைதை�� ேேீீடிடித்த்��ல்ல்
2023 ஆம் ஆண்டின் 17 ஆம் இலக்க வங்கித் த�ொழிில் (விசேேட ஏற்பாொடுகள்) ேட்டத்�ின் 19 ஆம் பாிொிவுடன் சேேர்த்து வொேிக்கப்பாட
சேவண்டிய 18 ஆம் பாிொிவின் கீழ் இலங்தைக மித்�ிய வங்கிக்கு அளிிக்கப்பாட்டுள்ளி �த்துவங்களிின் பாிரகொரம், 2025.07.04 அன்று
த�ொடக்கம் ேதைடமுதைைக்கு வரும் வதைகயில், 2025.07.04 ஆந் �ிக�ியிடப்பாட்ட 2443/57 ஆம் இலக்க அ�ிவிசேேட வர்த்�மிொனாியில்
தவிியிடப்பாட்ட கட்டதைளியின் ஊடொக சேேஷன் லங்கொ பாினாொன்ஸ் பாிஎல்ேி இன் ேிருவொகத் �த்துவக்கொரரொக ேியமிிக்கப்பாட்ட �ிரு.
பாி. டபாிள்யூ. டி. என். ஆர். தரொட்ொிசேகொ என்பாவொின் பா�விக்கொலத்தை� 2026.01.04 ஆந் �ிக�ியிலிருந்து ஆரம்பாித்து 2026.07.03
ஆந் �ிக�ி முடிவதைடயும் வதைகயில் சேமிலும் ஆறு (06) மிொ� கொலப்பாகு�ிதயொன்ைிற்கு இத்�ொல் ேீடிக்கப்பாட்டுள்ளிது.
இந்ேீடிப்பு ேிருவொகத் �த்துவக்கொரொின் ேிருவொக மிற்றும் ேிய�ிச் ேட்ட த�ொழிிற்பாொடுகளிின் த�ொடர்ச்ேிதைய வே�ிப்
பாடுத்துவ�ற்கும் 2026 ஆம் ஆண்டின் 17 ஆம் இலக்க வங்கித்த �ொழிில் (விசேேட ஏற்பாொடுகள்) ேட்டத்�ின் பாிரகொரம் சேேஷன் லங்கொ
பாினாொன்ஸ் பாிஎல்ேி இற்குப் தபாொருத்�மிொனாத�ொரு �ீர்மிொனாக் கருவிதைய ேதைடமுதைைப்பாடுத்துவதை� இயலச் தேய்வ�ற்கொகவும்
சேமிற்தகொள்ளிப்பாட்டுள்ளிது.
முமுதைதைனானாவவர்ர்.. பாபாிி.. ேேந்ந்��லலொொல்ல் வீவீரரேேிிங்ங்கக,,
ஆளும் ேதைபாயின் �தைலவரும் ஆளுேரும்,
இலங்தைக மித்�ிய வங்கி.
EOG 12-0228
1A - G 45975— 23 (2025/12) ,yq;if murhq;f mr;Rj; jpizf;fsj;jpw; gjpg;gpf;fg;ngw;wJ.
,t; mjptpNrl tu;j;jkhdpia www.documents.gov.lk vDk; ,izaj;jsj;jpypUe;J gjptpwf;fk; nra;a KbAk;.</t>
  </si>
  <si>
    <t>dd8ae04c-7db9-4cfd-89ed-945b32d9e61a</t>
  </si>
  <si>
    <t>2469_37</t>
  </si>
  <si>
    <t>2469/37</t>
  </si>
  <si>
    <t>Land Acquisition Act (Chapter 460), Section 5 — Notice of Intended Acquisition (Gazette 2469/37)</t>
  </si>
  <si>
    <t>ඉඩම් අත්පත් කරගැනීමේ පනත (460 අධිකාරය), 5 වැනි වගන්තිය යටතේ දැන්වීම</t>
  </si>
  <si>
    <t>Notice under Section 5 of the Land Acquisition Act (Chapter 460) declaring intended acquisition. Part III — Lands.</t>
  </si>
  <si>
    <t>m1/raw/2469_37.pdf</t>
  </si>
  <si>
    <t>III කො�ොටස - ශ්‍රී ලංං�ා ප්‍රජාාතාාන්ත්‍රි� සමාාජාවාාදී ජානරජාකො� අති විකො�ෂ ගැැසට් පත්‍රය - 2026.01.04 1A
பகுதி III - இலங்கைச் சனநாயகை சசாசலிசக் குடியரசு வர்ததமானப் ப்ததிாி்கை - அதி விசசஷமானது - 2026.01.04
ශ්‍රීශ්‍රී ලංලංංංකාකාාා ප්‍රප්‍රජාජාාාතාතාාාන්න්ත්‍රිත්‍රිකාකා සසමාමාාාජාජාවාවාාාදීදී ජාජානනරරජාජායේයේ�� ගැගැැැසසට්ට් පපත්‍රත්‍රයය
இஇலலஙங்்கைகைச்ச் சசனனநநாாயயகைகை சசசசாாசசலிலிசசக்க் குகுடிடியயரரசுசு வவரர்த்த்த்தமமாானனப்ப் பப்த்த்த்ததிதிாாதிதி்்கைகை
අඅතිති විවියේයේ��ෂෂ அஅ்த்ததிதி வவதிதிசசசசஷஷமமாானனதுது
අංඅංංංකක 22446699//3377 -- 22002266 ජජනනවාවාාාරිරි මමසස 0044 වාවාැැනිනි ඉඉරිරිදාදාාා -- 22002266..0011..0044
22446699//3377 ஆஆம்ம் இஇலலக்க்கைகைம்ம் -- 22002266 ஆஆம்ம் ஆஆண்ண்டுடு சசனனவவாாதிதி மமாா்த்தம்ம் 0044 ஆஆந்ந் ்த்ததிதிகைகை்த்ததிதி ஞஞாாயயதிதிற்ற்றுறுக்க்கைகைதிதிழழ்்மம
(அரசாஙகை்த்ததின் அ்ததிகைார்ததுடன் பதிரசுாதிக்கைப்படடது)
பபகுகு்த்ததிதி IIIIII -- கைகைாாணணதிதிகைகைள்ள்
கைகைாாணணதிதி கககைகைாாள்ள்வவனனவுவு பபற்ற்்்திதியய அஅ்்திதிவவதிதி்த்த்த்தலலகைகைள்ள்
கைகைாாணணதிதி எஎடுடு்த்த்த்தற்ற் சசடடடடம்ம் ((அஅ்த்த்த்ததிதியயாாயயம்ம் 446600)) 197 இன் துண்டு இலக்கைம் 83B மற்றும் இந்்த வ்ரபடப்
படிகயடுப்பதின் துண்டு D; க்தற்கு: இ.கைதி.வ. 197 இன் துண்டு
5 ஆம் பதிாதிவதின் படியான பதிரகைடனம் இலக்கைம் 83B மற்றும் இந்்த வ்ரபடப் படிகயடுப்பதின் துண்டு
D; சமற்கு : இந்்த வ்ரபடப் படிகயடுப்பதின் துண்டு B மற்றும்
இஙகு கைீசழ வதிவாதிக்கைப்படடுள்ள கைாணதிப்பகு்ததிகைள், பகைதிரஙகை இ.கைதி.வ. 197 இன் துண்டு இலக்கைம் 83B.
பணதிகயான்்தின் நதிமதி்த்தம் ச்த்வப்படுவ்தாகைவும், கு்தி்த்த
கைாணதிப்பகு்ததிகைள் கைாணதி எடு்த்தற் சடட்த்ததின் ஏற்பாடுகைளதின் 02. துதுண்ண்டுடு ‘‘BB’’ –– கககைகைாாடடமமடிடி்த்தசச்த்தபப்த்தனன -- வவதிதிஸஸ்த்தீீரரணணம்ம்:: 00..00880033
கைீழ் எடு்ததுக் ககைாள்ளப்படுவ்தாகைவும், கைாணதி எடு்த்தற் ககஹஹக்க்டடயயாாரர
சடட்த்ததின் 5 ஆம் பதிாதிவதின் (1) ஆம் உப பதிாதிவதின் கைீழ் வடக்கு : இ.கைதி.வ. 197 இன் துண்டு இலக்கைம் 83B மற்றும் இந்்த
கைம்தக்தாழதில, கைாலந்ட வளஙகைள், கைாணதி மற்றும் நீரப்பாசன வ்ரபடப் படிகயடுப்பதின் துண்டு A; கைதிழக்கு: இ.கைதி.வ. 197 இன்
அ்மச்சர குரகைமசகை க்தான் லால கைாந்்த ஆகைதிய நான், இ்த்தால துண்டு இலக்கைம் 83B மற்றும் இந்்த வ்ரபடப் படிகயடுப்பதின்
அ்திவதி்ததுக்ககைாள்கைதின்ச்ன். துண்டு A ; க்தற்கு: இந்்த வ்ரபடப் படிகயடுப்பதின் துண்டு
A,C மற்றும் இ.கைதி.வ. 197 இன் துண்டு இலக்கைம் 83B;
ஊவா மாகைாண்த்ததில, பது்ள மாவடட்த்ததில, ஹாலிஎல சமற்கு : இந்்த வ்ரபடப் படிகயடுப்பதின் துண்டு C மற்றும்
பதிரச்தச கசயலகைப் பதிாதிவதில, க்தஹதிவதிநதிபலா்த சகைா்ள இ.கைதி.வ. 197 இன் துண்டு இலக்கைம் 83B.
சதிறு பதிாதிவதில, பலசலகைம (55A) கைதிராம அலுவலா் பதிாதிவதில,
அடம்பதிடிய (இ.கைதி.வ. 197) கைதிராம்த்ததில அ்மந்துள்ள, 03. துதுண்ண்டுடு ‘‘CC’’ –– கககைகைாாடடமமடிடி்த்தசச்த்தபப்த்தனன -- வவதிதிஸஸ்த்தீீரரணணம்ம்:: 00..00449944
நதில அள்வயாளார நாயகை்த்ததினால ்தயாாதிக்கைப்படடுள்ள ககஹஹக்க்டடயயாாரர
இலக்கைம்: B/HLF/2021/261 மற்றும் 2020.06.29 ஆம் வடக்கு : இ.கைதி.வ. 197 இன் துண்டு இலக்கைம் 83B மற்றும்
்ததிகை்ததியதிடப்படட சமம்படு்த்தப்படட வ்ரபடப் படிகயடுப்பதில இந்்த வ்ரபடப் படிகயடுப்பதின் துண்டு B மற்றும் A;
கு்திப்பதிடப்படடுள்ள பதின்வரும் கைாணதியதின் எல்லகைளாவன: கைதிழக்கு: இந்்த வ்ரபடப் படிகயடுப்பதின் துண்டு A மற்றும்
C; க்தற்கு: இந்்த வ்ரபடப் படிகயடுப்பதின் துண்டு D;
01. துதுண்ண்டுடு ‘‘AA’’ –– கககைகைாாடடமமடிடி்த்தசச்த்தபப்த்தனன -- வவதிதிஸஸ்த்தீீரரணணம்ம்:: 00..00225566 சமற்கு : இ.கைதி.வ. 197 இன் துண்டு இலக்கைம் 83B.
ககஹஹக்க்டடயயாாரர
வடக்கு : இந்்த வ்ரபடப் படிகயடுப்பதின் துண்டு B மற்றும்
இ.கைதி.வ. 197 இன் துண்டு இலக்கைம் 83B; கைதிழக்கு: இ.கைதி.வ.
1A - G45994 - 15 (20256/01)
இவ் அ்ததிவதிச ஷட வர்த்தமானதி்ய www.documents.gov.lk எனும் இ்ணய்த்தள்த்ததிலிருந்து ப்ததிவதி்க்கைம் கசயய முடியும்.
2A III කො�ොටස - ශ්‍රී ලංං�ා ප්‍රජාාතාාන්ත්‍රි� සමාාජාවාාදී ජානරජාකො� අති විකො�ෂ ගැැසට් පත්‍රය - 2026.01.04
பகுதி III - இலங்கைச் சனநாயகை சசாசலிசக் குடியரசு வர்ததமானப் ப்ததிாி்கை - அதி விசசஷமானது - 2026.01.04
04. துதுண்ண்டுடு ‘‘DD’’ –– கககைகைாாடடமமடிடி்த்தசச்த்தபப்த்தனன -- வவதிதிஸஸ்த்தீீரரணணம்ம்:: 00..00556677 இன் துண்டு இலக்கைம் 83B; சமற்கு : இ.கைதி.வ. 197 இன் துண்டு
ககஹஹக்க்டடயயாாரர இலக்கைம் 83B.
வடக்கு : இந்்த வ்ரபடப் படிகயடுப்பதின் துண்டு C மற்றும் A; சகை. டி. லால கைாந்்த,
கைதிழக்கு: இ.கைதி.வ. 197 இன் துண்டு இலக்கைம் 83B; க்தற்கு: கைம்தக்தாழதில, கைாலந்ட வளஙகைள்,
இ.கைதி.வ. 197 இன் துண்டு இலக்கைம் 83B மற்றும் இந்்த கைாணதி மற்றும் நீரப்பாசன அ்மச்சர.
வ்ரபடப் படிகயடுப்பதின் துண்டு E; சமற்கு : இந்்த வ்ரபடப்
எனது இல. : 4-3/18/2020/WS/186.
படிகயடுப்பதின் துண்டு E, இ.கைதி.வ. 197 இன் துண்டு இலக்கைம்
83B மற்றும் இந்்த வ்ரபடப் படிகயடுப்பதின் துண்டு C மற்றும் கைம்தக்தாழதில, கைாலந்ட வளஙகைள், கைாணதி மற்றும்
நீரப்பாசன அ்மச்சு,
A.
“மதிஹதிகை்த கமதுர”, கைாணதிச் கசயலகைம்,
05. துதுண்ண்டுடு ‘‘EE’’ –– கககைகைாாடடமமடிடி்த்தசச்த்தபப்த்தனன -- வவதிதிஸஸ்த்தீீரரணணம்ம்:: 00..00335577
இரஜமலவ்த்்த வீ்ததி,
ககஹஹக்க்டடயயாாரர
ப்த்தரமுல்ல,
வடக்கு : இந்்த வ்ரபடப் படிகயடுப்பதின் துண்டு D;
2025, கச்தக்தம்பர 11.
கைதிழக்கு: இந்்த வ்ரபடப் படிகயடுப்பதின் துண்டு D மற்றும்
இ.கைதி.வ. 197 இன் துண்டு இலக்கைம் 83B; க்தற்கு: இ.கைதி.வ. 197
EOG 12 - 0254
இலங்கை அரசாஙகை அச்சு்த ்ததி்ணக்கைள்த்ததில அச்சதிடப்படடது.</t>
  </si>
  <si>
    <t>9ba82ef2-0bd8-44f0-9408-c05e2974c20e</t>
  </si>
  <si>
    <t>2469_38</t>
  </si>
  <si>
    <t>2469/38</t>
  </si>
  <si>
    <t>Title Registration Act, No. 21 of 1998, Section 14 — Commissioner of Title Settlement's decision under Section 14 (Gazette 2469/38)</t>
  </si>
  <si>
    <t>m1/raw/2469_38.pdf</t>
  </si>
  <si>
    <t>ded98297-aaad-462f-a89e-aff27961fc4c</t>
  </si>
  <si>
    <t>2469_39</t>
  </si>
  <si>
    <t>2469/39</t>
  </si>
  <si>
    <t>Title Registration Act, No. 21 of 1998, Section 14 — Commissioner of Title Settlement decision (Gazette 2469/39)</t>
  </si>
  <si>
    <t>Commissioner of Title Settlement's decision under Section 14 of the Title Registration Act No. 21 of 1998. Part III — Lands. Land parcels with references to Gazette 810/61 covering Block 123 and lots; Gazette 2026.01.04 references 1124, 1107, 1117, 1133, 3136 references Gazette 2026.01.02 of 21 January 2024 Gazette 2409/16. References 810/70 from Mihintale.</t>
  </si>
  <si>
    <t>m1/raw/2469_39.pdf</t>
  </si>
  <si>
    <t>ශී ලංකා පජාතාන්තික සමාජවාදී ජනරජෙය් ගැසට් පතය
අති විෙශෂ
අංක 2469/39 - 2026 ජනවාරි ම ස 04 වැනි ඉරිදා - 2026.01.04
(රජෙය් බලයපිට පසිද්ධ කරන ලදී)
III වැනි ෙකොටස - ඉඩම්
හිමිකම් ලියාපදිංචි කිරීම
1998 අංක 21 දරන හිමිකම් ලියාපදිංචි කිරීෙම් පනත
14 වැනි වගන්තිය යටෙත් හිමිකම් නිරවුල් කිරීෙම් ෙකොමසාරිස්ෙග් තීරණ පකාශය
දකුණු පළාෙත්, ගාල්ල දිස්තික්කෙය්, ෙබෝෙප ෙපෝද්දල පාෙද්ශීය ෙල්කම් ෙකොට්ඨාසෙය්, අංක 123 - හපුගල ගාම නිලධාරි ෙකොට්ඨාසය තුළ හපුගල
නමැති ගෙම් පිහිටියා වූ ද, අංක 810181 දරන කැඩැස්තර සිතියෙම් කලාප අංක 2 හි කැබලි අංක 1:24, 1:107, 1:117, 3:135, 3:136 දරන ඉඩම්
ෙකොටස් ෙලස ෙපන්නුම් ෙකොට ඇත්තා වූ ද, හිමිකම් පෑම් ඉදිරිපත් කරන ෙලස දැනුම් ෙදමින් 1998 අංක 21 දරන හිමිකම් ලියාපදිංචි කිරීෙම්
පනෙත් 12 වැනි වගන්තිය පකාර 2024.11.05 වැනි දින අංක 2409/12 දරන ගැසට් පතෙය් යථා පරිදි පළකරන ලද අංක 81/0370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ජුනි මස 03 වැනි දින,
බත්තරමුල්ල,
රජමල්වත්ත පාර,
"මිහිකත මැදුර", අංක 1200/6,
ඉඩම් හිමිකම් නිරවුල් කිරීෙම් ෙදපාර්තෙම්න්තුෙව් දී ය.
1A - G 046015 - 04 (2026/01)
සැ.යු.- ෙමම අති විෙශෂ ගැසට් පතය www.documents.gov.lk ෙවබ් අඩවිෙයන් බාගත කළ හැක.
2 A III ෙකොටස : ශී ලංකා පජාතාන්තික සමාජවාදී ජනරජෙය් අති විෙශෂ ගැසට් පතය - 2026.01.04
උපෙල්ඛනය
———————————————————————————————–--—————————————————————————————————————————————————
——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
(ෙහක්ටයාර්)
1 : 24 0.0357 ඈපා කංකානම්ෙග් අෙනෝජා 197250402736 සම්පූර්ණ පථම පන්තිය _
ලසංගනී
අංක 517/2, කහදූව වත්ත, ගාල්ල.
1 : 107 0.0204 මද්දුම ෙදොඩන්ෙගොඩෙග් 988392316V සම්පූර්ණ පථම පන්තිය වැලිවිටිය
මධුෂානි කංකානම්ෙග් ශියානී
ආරච්චිකන්ද, හපුගල, සහ මද්දුම
වක්වැල්ල. ෙදොඩන්ෙගොඩෙග්
නිමල් යන අයෙග්
ජීවිත භුක්තියට යටත්ව.
1 : 117 0.0239 උමගිලියෙග් සිරිල් ඇන්ටන් 195932501861 සම්පූර්ණ පථම පන්තිය _
අංක 642, ෙකොහිලකැටිය
වත්ත, හපුගල.
3 : 135 0.0253 අප්පු හැන්නදි ෙතොටෙහේවාෙග් ඉන්දානිනැත සම්පූර්ණ පථම පන්තිය _
ද සිල්වියා
අංක 250බී2, මවුන්ට්
ප්ලස්න්ට්, හපුගල, වක්වැල්ල.
3 : 136 0.0835 අප්පු හැන්නදි ෙතොටෙහේවාෙග් නැත සම්පූර්ණ පථම පන්තිය _
ඉන්දානි ද සිල්වියා
අංක 250බී, මවුන්ට් ප්ලසන්් ට්,
හපුගල, වක්වැල්ල.
EOG 01 - 0020/01
1998 අංක 21 දරන හිමිකම් ලියාපදිංචි කිරීෙම් පනත
14 වැනි වගන්තිය යටෙත් හිමිකම් නිරවුල් කිරීෙම් ෙකොමසාරිස්ෙග් තීරණ පකාශය
දකුණු පළාෙත්, ගාල්ල දිස්තික්කෙය්, ෙබෝෙප ෙපෝද්දල පාෙද්ශීය ෙල්කම් ෙකොට්ඨාසෙය්, අංක 127 ඒ - හිරිඹුරගම ගාම නිලධාරි ෙකොට්ඨාසය තුළ
හිරිඹුර නමැති ගෙම් පිහිටියා වූ ද, අංක 810194 දරන කැඩැස්තර සිතියෙම් කලාප අංක 3 හි කැබලි අංක 1:1, 1:2, 1:112, 1:115 දරන ඉඩම් ෙකොටස්
ෙලස ෙපන්නුම් ෙකොට ඇත්තා වූ ද, හිමිකම් පෑම් ඉදිරිපත් කරන ෙලස දැනුම් ෙදමින් 1998 අංක 21 දරන හිමිකම් ලියාපදිංචි කිරීෙම් පනෙත් 12 වැනි
වගන්තිය පකාර 2024.11.05 වැනි දින අංක 2409/12 දරන ගැසට් පතෙය් යථා පරිදි පළකරන ලද අංක 81/0372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ජුනි මස 03 වැනි දින,
බත්තරමුල්ල,
රජමල්වත්ත පාර,
"මිහිකත මැදුර", අංක 1200/6,
ඉඩම් හිමිකම් නිරවුල් කිරීෙම් ෙදපාර්තෙම්න්තුෙව් දී ය.
III ෙකොටස : ශී ලංකා පජාතාන්තික සමාජවාදී ජනරජෙය් අති විෙශෂ ගැසට් පතය - 2026.01.04 3A
උපෙල්ඛනය
———————————————————————————————–--—————————————————————————————————————————————————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 : 1 0.0839 ඉෙල්ෙපරුම වික්ටර් 194014310051 සම්පූර්ණ පථම පන්තිය ෙකොමර්ෂල් බෑන්ක්
35ඒ, බද්ෙද්ගම පාර, ඔෆ් සිෙලෝන් පී.ඒල්.සී.
හිරිඹුරගම, ගාල්ල. ෙවත තබා ඇති අංක
722 හා 2018/12/19
දිනැති, අංක 550 හා
2018/05/11දිනැති,
අංක 5022 හා
2014/11/20 දිනැති,
අංක 2205 හා
2007/09/11 දිනැති,
අංක366 හා
2001/07/25 දිනැති,
අංක 1575 හා
2006/06/07 දිනැති,
උකස් වලට යටත්ව.
1 : 2 0.0957 ඉෙල්ෙපරුම වික්ටර් 194014310051 සම්පූර්ණ පථම පන්තිය ෙකොමර් ෂල් බෑන්ක්
35ඒ, බද්ෙද්ගම පාර, ඔෆ් සිෙලෝන් පී.ඒල්.සී.
හිරිඹුරගම, ගාල්ල. ෙවත තබා ඇති අංක
722 හා 2018/12/19
දිනැති, අංක 550 හා
2018/05/11දිනැති,
අංක 5022 හා
2014/11/20 දිනැති,
අංක 2205 හා
2007/09/11 දිනැති,
අංක 366 හා
2001/07/25 දිනැති,
අංක 1575 හා
2006/06/07 දිනැති,
උකස් වලට යටත්ව.
1 : 112 0.0245 1. මත්තක ගමෙග් ලක්සිරි 197007101790 සම්පූර්ණ පථම පන්තිය කැබලි අංක 1:109 හි
ශාන්තපිය සම මාර්ග හා අෙනකුත්
2. මත්තක ගමෙග් 197253700911 අයිතිය පරවශ්‍යතාවයට
පුන්‍යා උදය කුමාරි යටත්ව.
119/28, ෙටොරින්ටන් ෙටරස්, ලංකා බැංකුවට
හිරිඹුර, ගාල්ල. ෙවත තබා ඇති අංක
5776 හා 2007/05/08
දිනැති, අංක 2560 හා
2011/03/08 දිනැති,
අංක 4081 හා
2016/12/15 දිනැති,
අංක 242 හා
2022/03/16 දිනැති
උකස් වලට යටත්ව.
4 A III ෙකොටස : ශී ලංකා පජාතාන්තික සමාජවාදී ජනරජෙය් අති විෙශෂ ගැසට් පතය - 2026.01.04
උපෙල්ඛනය
———————————————————————————————–--—————————————————————————————————————————————————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 : 115 0.0159 දයානන්ද පලිහවඩන 196828700753 සම්පූර්ණ පථම පන්තිය කැබලි අංක 1:99 හි
අංක 119/56, මාර්ග පරවශ්‍යතා
ෙටොරින්ටන් ෙටරස්, හිරිඹුර, ගාල්ල. අයිතිය සමග,
හැටන්
නැෂනල් බෑන්ක්
පී.එල්.සී. ෙවත තබා
ඇති අංක 984 හා
2017/08/11
දිනැති,
අංක 5148 හා
2021/08/09 දිනැති,
අංක 5485 හා
2023/04/26 දිනැති
උකස් වලට යටත්ව.
EOG 01- 0020/02
ශී ලංකා රජෙය් මුදණ ෙදපාර්තෙම්න්තුෙව් මුදණය කරන ලදී.</t>
  </si>
  <si>
    <t>d3bdd2b6-0f7c-4442-8bcc-6ff2f5cca4ef</t>
  </si>
  <si>
    <t>2469_40</t>
  </si>
  <si>
    <t>2469/40</t>
  </si>
  <si>
    <t>Title Registration Act, No. 21 of 1998, Section 14 — Commissioner of Title Settlement's decision under Section 14 (Gazette 2469/40)</t>
  </si>
  <si>
    <t>m1/raw/2469_40.pdf</t>
  </si>
  <si>
    <t>90127cc5-7351-4d88-a88f-2c68c77dc814</t>
  </si>
  <si>
    <t>2470_01</t>
  </si>
  <si>
    <t>2470/01</t>
  </si>
  <si>
    <t>Sri Lanka Standards Institution / Food Act No. 235 — Notice (Gazette 2470/01)</t>
  </si>
  <si>
    <t>ශ්‍රී ලංකා ප්‍රමිතීන් ආයතන පනත / ආහාර පනත අංක 235 යටතේ දැන්වීම</t>
  </si>
  <si>
    <t>இலங்கை தரநிர்ணய நிறுவனச் சட்டம் / உணவுச் சட்டம் இல. 235 கீழ் அறிவித்தல்</t>
  </si>
  <si>
    <t>Notice issued by the Minister under the relevant 17th sub-act (Act No. 235) referencing 2025.12.29 and 2493/01 of 30 December 2025. Signed by S.B. Aragoda. Part I — General. Dated 12 January 2026.</t>
  </si>
  <si>
    <t>standards</t>
  </si>
  <si>
    <t>m1/raw/2470_01.pdf</t>
  </si>
  <si>
    <t>Y%S ,xld m%cd;dka;%sl iudcjd§ ckrcfha .eiÜ m;%h
w;s úfYI
,yq;ifr; rdehaf Nrhryprf; FbauR th;j;jkhdg; gj;jphpif
mjp tpNr\khdJ
wxl 2470/01 - 2026 ckjdß ui 05 jeks i÷od - 2026'01'05
2470/01 Mk; ,yf;fk; - 2026 Mk; Mz;L rdtup khjk; 05 Me; jpfjp jpq;fl;fpoik
(murhq;fj;jpd; mjpfhuj;Jld; gpuRupf;fg;gl;lJ)
gFjp I : njhFjp (I) - nghJ
murhq;f mwptpj;jy;fs;
R. g. eh. V877 /gPvy; 305.
Rq;f mwptpj;jy; (nghJ)
Rq;ff; fl;lisr; rl;lk; (mj;jpahak; 235)
me;epar; nryhtzp tPjk;
Rq;ff; fl;lisr; rl;lj;jpd; (235 Mk; mj;jpahak;) 17 Mk; gpuptpdhy; vdf;F mspf;fg;gl;l jj;Jtq;fis mbg;gilahff;
nfhz;L&gt; v];. gP. mWf;nfhl&gt; Rq;fg; gzpg;ghsu; ehafk; Mfpa ehd;&gt; 2026.01.05 Me; jpfjpapypUe;J mKYf;F tUk;
tifapy;&gt; Rq;ff; fl;lisr; rl;lj;jpd; fPo; (mj;jpahak; 235) mwtplg;gLk; Rq;fj; jPu;itfs;&gt; mguhjq;fs; kw;Wk; gwpKjy;fs;
ahTk; kWgf;f ml;ltizapy; jug;gl;Ls;s nryhtzp tPjq;fspy; nrYj;jg;glYk; ngwg;glYk; Ntz;Lk; vd ,j;jhy;
mwpaj;jUfpd;Nwd;.
2025.12.29 Me; jpfjpa 2469/ 01 Mk; ,yf;f tu;j;jkhdpapy; ntspaplg;gl;l nryhtzp tPjq;fs; njhlu;gpyhd
mwptpj;jy; ,j;jhy; ,uj;Jr; nra;ag;gLfpwJ.
v];. gP. mWf;nfhl&gt;
Rq;fg; gzpg;ghsu; ehafk;.
,yq;ifr; Rq;fk;&gt;
nfhOk;G 11&gt;
2026&gt; rdtup 02.
1A - G 46022 — 09 (2026/01)
,t; mjptpNrl tu;j;jkhdpia www.documents.gov.lk vDk; ,izaj;jsj;jpypUe;J gjptpwf;fk; nra;a KbAk;.
2A I fldgi ( ^I&amp; fPoh - YS% ,xld m%cd;dka;s%l iudcjd§ ckrcfha w;s úfYI .eiÜ m;%h - 2026'01'05
gFjp I : njhFjp (I) - ,yq;ifr; rdehaf Nrhryprf; FbauR tu;j;jkhdg; gj;;jpupif - mjp tpNr\khdJ - 2026.01.05
ml;ltiz
2026.01.05 njhlf;fk; 2026.01.11 Me ; jpfjp tiu mKYfF; tUk ; mee; par;
nryhtzp
njhlu; ehL ehl;Lf; ehzak; ehzaf; nryhtzp
,y. FwpaPL FwpaPL tPjk;
( &amp;gh;)
1. mT];jpNuypah AU mT];jpNuypad; nlhyu; AUD 209.6751
2. g`;Nud; BH g`;Nud; jpdhu; BHD 830.9026
3. gq;fshNj\; BD gq;fshNj\; lhf;fh BDT 2.5629
4. gpNwrpy; BR gpNwrpy; wpay; BRL 57.0047
5. GW}iz BN GW}iz nlhyu; BND 244.0028
6. fdlh CA fNdbad; nlhyu; CAD 228.5346
7. rPdh CN rPdh a{thd; (xg;N\h) CNH 44.9469
8. rPdh CN rPdh a{thd; (nudk; pdg; p) CNY 44.8234
9. nrf;Nfh];rpNyhthf;fpah CZ nrf;Nfh];rpNyhthf;fpah
nfhWdh CZK 15.2552
10. nld;khu;f; DK ldp\; FNuhzu; DKK 49.3308
11. vfpg;J EG vfpg;J gTz; EGP 6.5679
12. A{Nuh tyak; A{Nuh EUR 368.4430
13. fhdh GH fhdh rPb GHS 29.8525
14. n`hq;nfhq ; HK n`hq; nfhq; nlhyu; HKD 40.2130
15. `q;Nfup HU `q;Nfup Nghupd;l; HUF 0.9584
16. ,e;jpah IN ,e;jpa &amp;gh INR 3.4821
17. ,e;NjhNd\pah ID ,e;NjhNd\pad; Wgpah IDR 0.0187
18. &lt;uhd; IR &lt;uhd; wpahy; IRR 0.0075
19. [g;ghd ; JP [g;ghdpa nad; JPY 2.0004
20. N[hu;jhd; JO N[hu;jhd; jpdhu; JOD 441.9797
21. nfhupah KR nfhupad; nthd; KRW 0.2172
22. Fitj; KW Fitj; jpdhu; KWD 1,017.5568
23. kf;fhc MO kf;fhc glhfh MOP 39.0418
24. kNyrpah MY kNyrpah wpd;[pw; MYR 77.2184
25. khiyjPT MV khiyjPT Wg;gpah MVR 20.5730
26. nkhwPrpa]; MU nkhwPrpa]; &amp;gh MUR 6.7891
27. kpad;khu; MM kpad;khu; fpahj; MMK 0.1489
28. Neghsk; NP Neghsk; &amp;gha; NPR 2.1763
29. epA{rpyhe;J NZ epA{rpyhe;J nlhyu; NZD 180.6971
30. ie[Pupah NG ie[Pupah iewh NGN 0.2169
31. Nehu;Nt NO Nehu;Nt FNuhd; NOK 31.1388
32. Xkhd; OM Xkhd; wpahy; OMR 813.6807
33. ghfp];jhd; PK ghfp];jhd; &amp;gha; PKR 1.1178
34. gg;Tth epA{fpdpah PG gg;Tth epA{ fpdpah fpdh PGK 73.4944
35. gpypg;igd;]; PH gpypg;igd;]; ngNrh PHP 5.3198
36. Nghye;J PL Nghye;J ];Nyhl;b PLN 87.3728
37. fl;lhu; QA fl;lhu; wpahy; QAR 85.8994
38. u\;ah RU u\;ah &amp;gpy; RUB 3.9781
I fldgi ( ^I&amp; fPoh - YS% ,xld m%cd;dka;s%l iudcjd§ ckrcfha w;s úfYI .eiÜ m;%h - 2026'01'05 3A
gFjp I : njhFjp (I) - ,yq;ifr; rdehaf Nrhryprf; FbauR tu;j;jkhdg; gj;;jpupif - mjp tpNr\khdJ - 2026.01.05
ml;ltiz (njhlh;r;rp)
njhlu; ehL ehl;Lf; ehzak; ehzaf; nryhtzp
,y. FwpaPL FwpaPL tPjk;
(,yq;if &amp;ghtpy;)
39. rt{jp mNugpah SA rt{jp mNugpah wpahy; SAR 83.5289
40. rPnry;]; SC rPnry;]; &amp;gha; SCR 21.1816
41. rpq;fg;G{u; SG rpq;fg;G{u; nlhyu; SGD 244.0028
42. njd; Mgpupf;fh ZA njd; Mgpupf;fh nud;l; ZAR 18.9353
43. RtPld; SE RtPb\; FNuhzu; SEK 34.0350
44. Rtpw;ru;yhe;J CH Rtp]; gpuhq; CHF 396.0996
45. jha;thd; TW jha;thd; nlhyu; TWD 9.9715
46. jha;yhe;J TH jha;yhe;J ghj; THB 9.9333
47. If;fpa muG ,uhr;rpak; AE If;fpa muG ,uhr;rpak;
jpu;fhk; AED 85.2914
48. If;fpa ,uhr;rpak; GB ];Nuypq; gTz; GBP 422.5456
49. If;fpa mnkupf;fh ehLfs; US mnkupf;fd; nlhyu; USD 313.2752
50. rk;gpah (gioa) ZM rk;gpah f;tr;rh (gioa) ZMK 14.1433
EOG 01 - 0030
,yq;if murhq;f mr;Rj; jpizf;fsj;jpw; gjpg;gpf;fg;ngw;wJ.</t>
  </si>
  <si>
    <t>a5e402a6-6b20-414e-a243-e1c75d95d466</t>
  </si>
  <si>
    <t>2470_02</t>
  </si>
  <si>
    <t>2470/02</t>
  </si>
  <si>
    <t>General Government Notification (Gazette 2470/02)</t>
  </si>
  <si>
    <t>General Government Notification published in Part III — Lands.</t>
  </si>
  <si>
    <t>m1/raw/2470_02.pdf</t>
  </si>
  <si>
    <t>(cid:636) ලංකා (cid:541)ජාතා(cid:486)(cid:437)ක සමාජවා(cid:463) ජනරජෙ(cid:591) ගැස(cid:376) ප(cid:436)ය
අ(cid:431) (cid:618)ෙශෂ
இல(cid:8113)ைக(cid:8114) சனநாயக ேசாச(cid:8098)ச(cid:8112) (cid:8065)(cid:8074)யர(cid:8070) வ(cid:8125)(cid:8119)தமான(cid:8122) ப(cid:8119)திாிைக
அதி விேசஷமான(cid:8080)
අංක 2470/02 - 2026 ජනවා(cid:604) මස 05 වැ(cid:487) ස(cid:511)දා - 2026.01.05
2470/02 ஆ(cid:8123) இல(cid:8112)க(cid:8123) - 2026 ஆ(cid:8123) ஆ(cid:8118)(cid:8076) சனவாி மாத(cid:8123) 05 ஆ(cid:8120) திகதி தி(cid:8113)க(cid:8117)கிழைம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0.0329 ெஹ(cid:8112)டயா(cid:8125) வி(cid:8132)தீரண(cid:8089)ைடய காணி(cid:8119)
(cid:8080)(cid:8118)(cid:8076)க(cid:8128) (02) வி(cid:8132)தாி(cid:8122)பத(cid:8126)காக எ(cid:8076)(cid:8112)க(cid:8122)ப(cid:8076)கி(cid:8121)ற(cid:8080):
7 ஆ(cid:8123) பிாிவி(cid:8121) கீ(cid:8129) அறிவி(cid:8119)த(cid:8127)
01. (cid:8080)(cid:8118)(cid:8076) இல. 379
என(cid:8080) இல.: R/De/L.A./OCH/233. காணியி(cid:8121) ெபய(cid:8125): ேகா(cid:8121)கஹவ(cid:8119)ைத; விபர(cid:8123):
கம(cid:8119)ெதாழி(cid:8127), கா(cid:8127)நைட வள(cid:8113)க(cid:8128), காணி ம(cid:8126)(cid:8096)(cid:8123) (cid:8106)(cid:8117)(cid:8076)(cid:8119)ேதா(cid:8117)ட(cid:8123), 20 - 30 வய(cid:8080)ைடய ெத(cid:8121)ைன
நீ(cid:8125)(cid:8122)பாசன அைம(cid:8114)சி(cid:8121) (cid:8065)றி(cid:8122)(cid:8087) இல.: 4-3/7/2019/ மர(cid:8113)க(cid:8128) 4உ(cid:8123), 10 - 15 வய(cid:8080)ைடய காமர(cid:8113)கா மர(cid:8123)
HW/90. ம(cid:8126)(cid:8096)(cid:8123) 1 - 5 வய(cid:8080)ைடய ெத(cid:8121)ன(cid:8113)க(cid:8121)(cid:8096)(cid:8123) உ(cid:8128)ள(cid:8080);
உாிைம ேகா(cid:8094)பவ(cid:8125): அர(cid:8070); ஆர(cid:8123)ப உாிைம ேகா(cid:8094)
ஒ(cid:8094) பகிர(cid:8113)க(cid:8119) ேதைவ(cid:8112)(cid:8065) ேவ(cid:8118)(cid:8074)யதான கீ(cid:8129)(cid:8112)
பவ(cid:8125): பஹி(cid:8121)தர ேதவேக சமி(cid:8120)த உதய ஷா(cid:8120)த, இல.
கா(cid:8078)(cid:8123) காணிைய எ(cid:8076)(cid:8119)(cid:8080)(cid:8112)ெகா(cid:8128)ள அரசா(cid:8117)சியா(cid:8125)
16/1/(cid:8086), ப(cid:8118)டாரவ(cid:8119)ைத, கடவ(cid:8119)ைத, (காணி எ(cid:8076)(cid:8119)த
எ(cid:8118)ணியி(cid:8094)(cid:8112)கிறா(cid:8125)க(cid:8128) எ(cid:8121)பைத காணி எ(cid:8076)(cid:8119)த(cid:8126)
(cid:8100)(cid:8112)கான இ(cid:8096)தி(cid:8112)க(cid:8117)ட நடவ(cid:8074)(cid:8112)ைக); வி(cid:8132)தீரண(cid:8123):
ச(cid:8117)ட(cid:8119)தி(cid:8121) (அ(cid:8119)தியாய(cid:8123) 460) 7 ஆ(cid:8123) பிாிவி(cid:8121) (1) ஆ(cid:8123)
0.0080 ெஹ(cid:8112)டயா(cid:8125).
உ(cid:8117) பிாிவி(cid:8121) கீ(cid:8129), நா(cid:8121) இ(cid:8119)தா(cid:8127) அறிவி(cid:8112)கி(cid:8121)ேற(cid:8121).
02. (cid:8080)(cid:8118)(cid:8076) இல. 385
எ(cid:8076)(cid:8119)(cid:8080)(cid:8112) ெகா(cid:8128)ளவி(cid:8094)(cid:8112)(cid:8065)(cid:8123) காணியி(cid:8121) விபர(cid:8123):
காணியி(cid:8121) ெபய(cid:8125): - ; விபர(cid:8123): (cid:8106)தி; உாிைம
ேகா(cid:8094)பவ(cid:8125): அர(cid:8070); ஆர(cid:8123)ப உாிைம ேகா(cid:8094)பவ(cid:8125):
ேம(cid:8127) மாகாண(cid:8119)தி(cid:8121) க(cid:8123)பஹா மாவ(cid:8117)ட(cid:8119)தி(cid:8127) மஹர
பிரேதச ெசயலாள(cid:8125) பிாிவி(cid:8127), இல. 245A, (cid:8071)ாிய க(cid:8118)(cid:8076)பி(cid:8074)(cid:8112)க (cid:8089)(cid:8074)யா(cid:8080), (காணி எ(cid:8076)(cid:8119)த(cid:8100)(cid:8112)கான
பா(cid:8100)வ கிராம அ(cid:8100)வல(cid:8125) பிாிவி(cid:8127) உ(cid:8128)ள (cid:8071)ாியபா(cid:8100)வ இ(cid:8096)தி(cid:8112)க(cid:8117)ட நடவ(cid:8074)(cid:8112)ைக); வி(cid:8132)தீரண(cid:8123): 0.0249
கிராம(cid:8119)தி(cid:8127) அைம(cid:8120)(cid:8080)(cid:8128)ள நில அளைவயாள(cid:8125) அதிபதி ெஹ(cid:8112)டயா(cid:8125).
சா(cid:8125)பாக க(cid:8123)பஹா மாவ(cid:8117)ட நில அளைவயாள(cid:8125) ேம(cid:8126)(cid:8065)றி(cid:8119)த காணி(cid:8112)(cid:8065) உாி(cid:8119)(cid:8080)(cid:8122) ேப(cid:8070)கி(cid:8121)ற சகல(cid:8094)(cid:8123)
அ(cid:8119)திய(cid:8117)சகாினா(cid:8127) 2022.03.07 ஆ(cid:8120) திகதி தயாாி(cid:8112) தாமாக அ(cid:8127)ல(cid:8080) (cid:8089)ைற(cid:8122)ப(cid:8074) எ(cid:8104)(cid:8119)(cid:8080) (cid:8090)ல(cid:8123) அதிகார
க(cid:8122)ப(cid:8117)ட (cid:8070)வ(cid:8117)(cid:8074)(cid:8121) வைரபட இல. க. வ. 510821, மளி(cid:8112)க(cid:8122)ப(cid:8117)ட காாிய(cid:8112)கார(cid:8125) (cid:8090)லமாக 2026 ஆ(cid:8123)
ெதா(cid:8065)தி இல. 05, தா(cid:8128) இல. 5 ெகா(cid:8118)ட(cid:8080)மான ஆ(cid:8118)(cid:8076) சனவாி மாத(cid:8123) 28 ஆ(cid:8120) திகதி (cid:8089).ப. 10.00
1A - G 46025 — 13 (2026/01)
இ(cid:8130) அதிவிேசட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- 2026.01.05
ப(cid:8065)தி III - இல(cid:8113)ைக(cid:8114) சனநாயக ேசாச(cid:8098)ச(cid:8112) (cid:8065)(cid:8074)யர(cid:8070) வ(cid:8125)(cid:8119)தமான(cid:8122) ப(cid:8119)திாிைக - அதி விேசஷமான(cid:8080) - 2026.01.05
மணி(cid:8112)(cid:8065) மஹர பிரேதச ெசயலக(cid:8119)தி(cid:8127) எ(cid:8121) (cid:8089)(cid:8121) அறிவி(cid:8119)த(cid:8127) இல(cid:8112)க(cid:8123) 08 - 254, அதிவிேசட
ெவளி(cid:8122)ப(cid:8076)(cid:8119)(cid:8080)(cid:8123)ப(cid:8074)(cid:8092)(cid:8123) ேம(cid:8100)(cid:8123), அ(cid:8112)காணியி(cid:8127) வ(cid:8125)(cid:8119)தமானி இல. 1664/15, 2010, (cid:8093)ைல 28 ஆ(cid:8120)
அவ(cid:8125)க(cid:8102)(cid:8112)(cid:8065)(cid:8128)ள உட(cid:8120)ைதகளி(cid:8121) த(cid:8121)ைமைய(cid:8092)(cid:8123) திகதி.
(cid:8065)றி(cid:8119)த காணிைய எ(cid:8076)(cid:8119)த(cid:8126)கான ந(cid:8117)டஈ(cid:8076) ப(cid:8126)றிய அறிவி(cid:8119)த(cid:8127) இல(cid:8112)க(cid:8123) 10 - 245, அதிவிேசட
அவ(cid:8125)களி(cid:8121) ேகாாி(cid:8112)ைககளி(cid:8121) விபர(cid:8113)கைள(cid:8092)(cid:8123) ந(cid:8117)ட வ(cid:8125)(cid:8119)தமானி இல. 2460/04, 2025, ஒ(cid:8126)ேறாப(cid:8125) 28 ஆ(cid:8120)
ஈ(cid:8117)(cid:8076)(cid:8119) ெதாைகைய(cid:8092)(cid:8123) அ(cid:8119) ெதாைக கணி(cid:8112)க(cid:8122)ப(cid:8117)ட திகதி.
வித(cid:8119)ைத(cid:8092)(cid:8123) 2026 ஆ(cid:8123) ஆ(cid:8118)(cid:8076) சனவாி மாத(cid:8123) 21 ேம(cid:8126)ப(cid:8074) இ(cid:8130) அறிவி(cid:8119)த(cid:8127)க(cid:8128) இல(cid:8113)ைக(cid:8114) சனநாயக
ஆ(cid:8120) திகதி(cid:8112)(cid:8065) (cid:8089)(cid:8121)ன(cid:8125) எ(cid:8104)(cid:8119)தி(cid:8127) இ(cid:8094)பிரதிகளாக ேசாச(cid:8098)ச(cid:8112) (cid:8065)(cid:8074)யரசி(cid:8121) அதிவிேசட வ(cid:8125)(cid:8119)தமானியி(cid:8127)
என(cid:8112)(cid:8065) அறிவி(cid:8112)(cid:8065)(cid:8123)ப(cid:8074)(cid:8092)(cid:8123) இ(cid:8119)தா(cid:8127) ேக(cid:8117)(cid:8076)(cid:8112) பிர(cid:8070)ாி(cid:8112)க(cid:8122)ப(cid:8117)ட காணி எ(cid:8076)(cid:8119)த(cid:8126) ச(cid:8117)ட(cid:8119)தி(cid:8121) 7 ஆ(cid:8123)
ெகா(cid:8128)ள(cid:8122)ப(cid:8076)கி(cid:8121)றன(cid:8125). பிாிவி(cid:8121) கீ(cid:8129) பிர(cid:8070)ாி(cid:8112)க(cid:8122)ப(cid:8117)(cid:8076)(cid:8128)ள(cid:8080). ேம(cid:8126)க(cid:8118)ட இ(cid:8130)
அறிவி(cid:8119)த(cid:8127)களி(cid:8127) (cid:8065)றி(cid:8122)பிட(cid:8122)ப(cid:8117)ட திகதிக(cid:8128) நீ(cid:8112)க(cid:8122)
ஜீ. (cid:8086). எ(cid:8123). ல(cid:8098)(cid:8119) ப(cid:8118)டார,
பிரேதச ெசயலாள(cid:8125) ப(cid:8117)(cid:8076) அவ(cid:8126)றி(cid:8126)(cid:8065)(cid:8122) பதிலாக கீேழ (cid:8065)றி(cid:8122)பிட(cid:8122)ப(cid:8117)ட
ம(cid:8126)(cid:8096)(cid:8123) காணி எ(cid:8076)(cid:8119)த(cid:8127) உ(cid:8119)திேயாக(cid:8119)த(cid:8125), திகதிக(cid:8128) மா(cid:8126)றீ(cid:8076) ெச(cid:8124)ய(cid:8122)ப(cid:8117)(cid:8076)(cid:8128)ள(cid:8080) எ(cid:8121)பைத
மஹர. இ(cid:8119)தா(cid:8127) (cid:8090)ல(cid:8123) அறிவி(cid:8112)கி(cid:8121)ேற(cid:8121).
பிரேதச ெசயலக(cid:8123),
நீ(cid:8112)க(cid:8122)பட ேவ(cid:8118)(cid:8074)ய நீ(cid:8112)க(cid:8122)பட ேவ(cid:8118)(cid:8074)ய
மஹர,
திகதி திகதி(cid:8112)(cid:8065)(cid:8122) பதிலாக மா(cid:8126)றீ(cid:8076)
2026, சனவாி 01.
ெச(cid:8124)ய(cid:8122)பட ேவ(cid:8118)(cid:8074)ய
EOG 01 - 0041 திகதி
தி(cid:8094)(cid:8119)த(cid:8123) 2025, நெவ(cid:8123)ப(cid:8125) 25 2026, ைத 27
2025, நெவ(cid:8123)ப(cid:8125) 18 2026, ைத 20
காணி எ(cid:8076)(cid:8119)த(cid:8126) ச(cid:8117)ட(cid:8123) (அ(cid:8119)தியாய(cid:8123) 460)
ஆ(cid:8125). ஐ. பி. ச(cid:8120)தியா (cid:8086) ர(cid:8119)னமலல,
7 ஆ(cid:8123) பிாிவி(cid:8121) கீ(cid:8129) அறிவி(cid:8119)த(cid:8127)
பிரேதச ெசயலாள(cid:8125),
என(cid:8080) இல.: எ(cid:8121)சிபி/எ(cid:8114)ஜி/எ(cid:8127)02/462. ஹி(cid:8113)(cid:8065)ரா(cid:8112)ெகாட.
காணி அைம(cid:8114)சி(cid:8121) (cid:8065)றி(cid:8122)(cid:8087) இல.: 03 ேஜ/80/
டபி(cid:8128)(cid:8093)எ(cid:8132)/498. பிரேதச ெசயலக(cid:8123),
ஹி(cid:8113)(cid:8065)ரா(cid:8112)ெகாட.
ேம(cid:8126)ப(cid:8074) தைல(cid:8122)பி(cid:8121) கீ(cid:8129) அறிவி(cid:8119)த(cid:8127) இல(cid:8112)க(cid:8123)
2025, திெச(cid:8123)ப(cid:8125) 30.
12 - 781 - அதிவிேசட வ(cid:8125)(cid:8119)தமானி இல. 1631/28,
2009, திெச(cid:8123)ப(cid:8125) 10 ஆ(cid:8120) திகதி. EOG 01 - 0040
இல(cid:8113)ைக அரசா(cid:8113)க அ(cid:8114)(cid:8070)(cid:8119) திைண(cid:8112)கள(cid:8119)தி(cid:8127) அ(cid:8114)சிட(cid:8122)ப(cid:8117)ட(cid:8080).</t>
  </si>
  <si>
    <t>79dac41d-506d-4fb8-b7a9-41a610a5146c</t>
  </si>
  <si>
    <t>2470_04</t>
  </si>
  <si>
    <t>2470/04</t>
  </si>
  <si>
    <t>Public and Subsidiary Societies (Registration) Act No. 22 of 2002 — Notice (Gazette 2470/04)</t>
  </si>
  <si>
    <t>2002 අංක 22 දරන ලියාපදිංචි මහජන සහ අතුරු සංගම් පනත යටතේ දැන්වීම</t>
  </si>
  <si>
    <t>2002 ஆம் ஆண்டின் 22 ஆம் இலக்க பொது மற்றும் கீழ்ச்சங்கங்கள் (பதிவு) சட்டத்தின் கீழ் அறிவித்தல்</t>
  </si>
  <si>
    <t>Notice under the Public and Subsidiary Societies (Registration) Act No. 22 of 2002. Part I — General/Government Notifications.</t>
  </si>
  <si>
    <t>Public and Subsidiary Societies (Registration) Act, No. 22 of 2002</t>
  </si>
  <si>
    <t>registration_change</t>
  </si>
  <si>
    <t>m1/raw/2470_04.pdf</t>
  </si>
  <si>
    <t>Y%S ,xld m%cd;dka;%sl iudcjd§ ckrcfha .eiÜ m;%h
w;s úfYI
,yq;ifr; rdehaf Nrhryprf; FbauR th;j;jkhdg; gj;jphpif
mjp tpNr\khdJ
wxl 2470/04 - 2026 ckjdß ui 05 jeks i÷od - 2026'01'05
2470/ 04 Mk; ,yf;fk; - 2026 Mk; Mz;L rdtup khjk; 05 Me; jpfjp jpq;fl;fpoik
(murhq;fj;jpd; mjpfhuj;Jld; gpuRupf;fg;gl;lJ)
gFjp I : njhFjp (I) - nghJ
murhq;f mwptpj;jy;fs;
ச.வ.பிி. -3/2022
22000022 ஆஆம்ம் ஆஆண்ண்டிடின்ன் 2255 ஆஆம்ம் இஇலலக்க்கக,, குகுற்ற்றறவவிியயல்ல் ககருருமமங்ங்ககளிளிிில்ல் பிபிரரஸ்ஸ்பிபிரர உஉததவவிியயளிளிிித்த்ததல்ல் சசட்ட்டடம்ம்
22 ஆஆம்ம் பிபிிிரிரிிிவவிின்ன் ககீீழாழாரிரினன ககட்ட்டடளைளைளிளி
2002 ஆம் ஆண்டின் 25 ஆம் இலக்க, குற்றவியல் கருமங்களிில் பிரஸ்பிர உதவியளிித்தல் சட்டத்தின் 2 ஆம் பிிரிிவினரில்
எனக்கு உரிித்தரிக்கப்பிட்ட் தத்துவங்களிின் பியளைனக்ககரிண்டு, நீீதி மற்றும் தேதசிய ஒருளைமப்பிரிட்டு அளைமச்சர் ஹர்சண
நீரிணரியக்கரிர ஆகிய நீரின், இலங்ளைகச் சனநீரியக தேசரிசலிசக் குடியரசின் அரசரிங்கத்திற்கும் மரிளைலத்தீவு குடியரசின்
அரசரிங்கத்திற்கும் இளைடயிலரின 2025,யூளைல மரிதத்தில் ளைககயரிப்பிமிடப்பிட்ட கபிரிருத்தளைன கதரிடர்பிில் தேமற்கசரில்லப்பிட்ட
சட்டத்தின் ஏற்பிரிடுகள் ஏற்புளைடயனவரிதல் தேவண்டுகமன இக்கட்டளைளி மூலம் கவிிப்பிடுத்துகிதேறன். இலங்ளைகச் சனநீரியக
தேசரிசலிசக் குடியரசின் அரசரிங்கத்திற்கும் மரிளைலத்தீவு குடியரசின் அரசரிங்கத்திற்கும் இளைடதேய கசய்து ககரிள்ளிப்பிட்ட இப்
கபிரிருத்தளைன குற்றவியல் கருமங்களிில் பிரஸ்பிர சட்ட உதவியளிித்தல் கதரிடர்பிில் ளைகயரிளுவதுடன், மற்றவற்றுக்கிளைடயில்,
பியங்கரவரிதத்துடன் கதரிடர்பிரின குற்றங்கள் மற்றும் பியங்கரவரிதத்திற்கு நீிதியளிிப்பிதற்கரிகவுள்ளி நீிதிகளைளியும் குற்றச்
கசயல்களிின் வரும்பிடிகள் மற்றும் சரிதனங்களைளியும் கண்டறிதல், தளைட கசய்தல், இழாப்பிித்தல், மற்றும் பிறிமுதல் கசய்தல்
உள்ளிிட்ட குற்றங்களைளித் தடுத்தல், புலனரிய்வு கசய்தல், வழாக்குத் கதரிடருதல் மற்றும் ஒடுக்குதல் கதரிடர்பிரின குற்றவியல்
கருமங்களிில் ஒத்துளைழாப்பிதனூடரிகவும் பிரஸ்பிர சட்ட உதவியளிிப்பிதனூடரிகவும் கபிரிருத்தளைனயின் இரு திறத்தவர்களிின்
பிங்கும் தேமம்பிடுத்தப்பிட்ட பியனுறுதியுடன் சம்பிந்தப்பிட்டதரிகிறது.
ஹஹர்ர்ஷஷணண நீநீரிரிணணரிரியயக்க்ககரிரிரர,
நீீதி மற்றும் தேதசிய ஒருளைமப்பிரிட்டு அளைமச்சர்.
ககரிழும்பு,
2025, திகசம்பிர் 24.
EOG 01 - 0033
1A - PG 7449 — 353 (2026/01) ,yq;if murhq;f mr;Rj; jpizf;fsj;jpw; gjpg;gpf;fg;ngw;wJ.
,t; mjptpNrl tu;j;jkhdpia www.documents.gov.lk vDk; ,izaj;jsj;jpypUe;J gjptpwf;fk; nra;a KbAk;.</t>
  </si>
  <si>
    <t>10b74ffe-fe47-451f-a3b0-30a9a463be4c</t>
  </si>
  <si>
    <t>2470_05</t>
  </si>
  <si>
    <t>2470/05</t>
  </si>
  <si>
    <t>Land Acquisition Act (Chapter 460), Section 5 — Notice of Intended Acquisition (Gazette 2470/05)</t>
  </si>
  <si>
    <t>m1/raw/2470_05.pdf</t>
  </si>
  <si>
    <t>III ෙකාටස - (cid:636) ලංකා (cid:541)ජාතා(cid:486)(cid:437)ක සමාජවා(cid:463) ජනරජෙ(cid:591) අ(cid:431) (cid:618)ෙශෂ ගැස(cid:376) ප(cid:436)ය - 2025.03.28 1A
பகுதி III - இலங்ைகச் சனநாயக ேசாச(cid:8098)சக் கு(cid:8074)யரசு வர்த்தமானப் பத்திாிைக - அதி விேசஷமான(cid:8080) - 2025.03.28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22447700//0055 -- 22002266 ජජනනවවාා(cid:604)(cid:604) මමසස 0055 වවැැ(cid:487)(cid:487) සස(cid:511)(cid:511)දදාා -- 22002266..0011..0055
22447700//0055 ஆஆம்ம் இஇலலக்க்ககம்ம் -- 22002266 ஆஆம்ம் ஆஆண்ண்(cid:8076)(cid:8076) சசனனவவாாிி மமாாததம்ம் 0055 ஆஆந்ந் ததிிககததிி த திிங்ங்ககட்ட்ககிிழழைைமம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695 இன் (cid:8080)ண்(cid:8076) இல. 2691 மற்(cid:8096)ம் (cid:8106)தி; கிழக்கு : (cid:8106)தி
(பிரேதச சைப); ெதற்கு : இ.கி.வ. 695 இன் (cid:8080)ண்(cid:8076) இல.
5 ஆம் பிாிவின் ப(cid:8074)யான பிரகடனம் 1221 மீகாமடயாய மின்மாற்றி; ேமற்கு : (cid:8080)ண்(cid:8076) இல. 1221
(டீ. ேக. (cid:8093). ேசனாரத்ன உாிைம ேகா(cid:8094)ம் மீகாமடயாய).
இங்கு கீேழ விபாிக்கப்பட்ட காணியிைன ெபா(cid:8080)மக்களின்
ேதைவக்காக காணி எ(cid:8076)த்தற் சட்டத்தின் ஏற்பா(cid:8076)களின் கீழ்
ேக.(cid:8074).லால் காந்த,
எ(cid:8076)க்கப்ப(cid:8076)வதாக(cid:8107)ம் காணி எ(cid:8076)த்தற் சட்டத்தின் 5 ஆம்
கமத்ெதாழில், கால்நைட வளங்கள்,
பிாிவின் (1) ஆம் உப பிாிவின் கீழ் கமத்ெதாழில், கால்நைட
காணி மற்(cid:8096)ம் நீர்ப்பாசன அைமச்சர்.
வளங்கள், காணி மற்(cid:8096)ம் நீர்ப்பாசன அைமச்சர் குரகமேக
ெதான் லால் காந்த ஆகிய நான், இத்தால் அறிவிக்கின்ேறன்.
சப்பிரக(cid:8089)வ மாகாணத்தில், இரத்தின(cid:8087)ாி மாவட்டத்தில் என(cid:8080) இல.: 4-3/9/2017/WS/282.
ெகாடக்கெவல பிரேதச ெசயலாளர் பிாிவில் ெமத பத்(cid:8080)வ சி(cid:8096) கமத்ெதாழில், கால்நைட வளங்கள்,
பிாிவில் பலவின்ன (இ.கி.வ. 695) கிராமத்தில் அைமந்(cid:8080)ள்ள காணி மற்(cid:8096)ம் நீர்ப்பாசன அைமச்சு,
நில அளைவயாளர் நாயகத்தினால் தயாாிக்கப்பட்ட ‘‘மிஹிகத்த ெம(cid:8080)ர’’,
R/GDK/2017/878
இல. மற்(cid:8096)ம் 2019.03.12 ஆந் திகதியிடப் ரஜமல்வத்த (cid:8106)தி,
பட்ட வைரபடத்தில் கீழ் குறிப்பிடப்பட்(cid:8076)ள்ள காணித்(cid:8080)ண்(cid:8074)ன்
பத்தர(cid:8089)ல்ல.
எல்ைலகள்:
2025, ெசத்ெதம்பர் 26.
01. (cid:8080)(cid:8080)ண்ண்(cid:8076)(cid:8076) “AA”” -- மமீீககாாமமடடயயாாயய -- வவிிஸ்ஸ்ததீீரரணணம்ம்:: 00..00009955
ெெஹஹக்க்டடயயாார்ர்
வடக்கு : இ.கி.வ. 695 இன் (cid:8080)ண்(cid:8076) இல 1221 (டப்ளி(cid:8093) எம்.
ெபா(cid:8074)அப்(cid:8087)ஹாமி உாிைம ேகா(cid:8094)ம் மீகாமடயாய) இ.கி.வ. EOG 01 - 0034
1A - G 046023 - 08 (2025/01)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</si>
  <si>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d3f7c6e3-39e3-4da0-82b5-30b63ff44fc5</t>
  </si>
  <si>
    <t>2470_06</t>
  </si>
  <si>
    <t>2470/06</t>
  </si>
  <si>
    <t>Provincial Councils Act, No. 42 of 1987, Section 32(1) — Multiple Provincial Council appointments (Gazette 2470/06)</t>
  </si>
  <si>
    <t>1987 අංක 42 දරන පළාත් සභා පනත, 32(1) වගන්තිය - බහුවිධ පළාත් සභා පත් කිරීම්</t>
  </si>
  <si>
    <t>1987 ஆம் ஆண்டின் 42 ஆம் இலக்க மாகாண சபைகள் சட்டம், 32(1) ஆம் பிரிவு - பல மாகாண சபை நியமனங்கள்</t>
  </si>
  <si>
    <t>Multiple Provincial Council appointment notifications under Section 32(1) of the PC Act No. 42 of 1987 covering Western Province, Central Province, Southern Province and others. Effective 05 January 2026. Part IV(A) — Provincial Councils.</t>
  </si>
  <si>
    <t>Provincial Councils Act, No. 42 of 1987</t>
  </si>
  <si>
    <t>provincial_councils</t>
  </si>
  <si>
    <t>m1/raw/2470_06.pdf</t>
  </si>
  <si>
    <t>Y%S ,xld m%cd;dka;%sl iudcjd§ ckrcfha .eiÜ m;%h
w;s úfYI
අංඅංංංකක 22447700//0066 -- 22002266 ජජනනවාවාාාරිරි මමසස 0055 වාවාැැනිනි සසඳුඳුදාදාාා -- 22002266..0011..0055
(rcfha n,hmsg m%isoaO lrk ,§)
IV ^w&amp; jeks fldgi - m&lt;d;a iNd
ආණ්ඩුකාරවාරුන් විසින් කරන ලදා පත් කිරීම් ආදිය
W;=re ueo m&lt;df;a m&lt;d;a iNdj
W;=re ueo m&lt;d;a wdKavqldrjrhd úiska lrkq ,nk m;a lsÍï
1987 අංංක 42 දරන පළාාත් සභාා පනතේත් අංංක 32(1) වගන්තිතේ� දක්වා ඇති විධි විධාාන යටතේත් උතුරු මැැද පළාාත් ගරු ආණ්ඩුකාරතුමැා
තේවත පැවරී ඇති බලතල ප්‍රකාරව, එතුමැා විසින් 2025 වර්ෂතේ� දී උතුරු මැැද පළාාත් සභාාතේේ පහත සඳහන් තනතුරු සඳහා පත් කිරීම් සිදු
කර ඇති බව ගරු ආණ්ඩුකාරතුමැාතේ� උපතේදස් පරිදි තේමැයින් නිතේේදනය කරමි.
01. ශ්‍රී ලංකා පරිපාලන තේස්වතේ� II තේ�්ණිතේ� - ඩබ්. එම්. ජී. ඉන්දික මැහතා 2025.01.15 දින සිට නැවත නියමැයක් කරන තුරු,
උතුරු මැැද පළාාත් ක්‍රීඩා අංධායක්ෂ වශතේයන්.
02. ශ්‍රී ලංකා පරිපාලන තේස්වතේ� II තේ�්ණිතේ� - එම්. පී. ඩී. පී. ජයසිංහ මැහත්මිය 2025.01.15 දින සිට නැවත නියමැයක් කරන
තුරු, උතුරු මැැද පළාාත් සංස්කෘතික අංධායක්ෂ වශතේයන්.
03. ශ්‍රී ලංකා පරිපාලන තේස්වතේ� විතේශ්ෂ තේ�්ණිතේ� - තේක්. එම්. එච්. එස.් තේක්. ජයලත් මැහතා 2025.01.16 දින සිට නැවත නියමැයක්
කරන තුරු, උතුරු මැැද පළාාත් ප්‍රධාාන අංමැාතයංශ තේ�කම් වශතේයන්.
04. ශ්‍රී ලංකා පරිපාලන තේස්වතේ� විතේශ්ෂ තේ�්ණිතේ� - ආර්. එම්. ජී. තේස්නාරත්න මැහතා 2025.01.16 දින සිට 2025.08.15 දින දක්වා
වූ කාල සීමැාව සඳහා, උතුරු මැැද පළාාත් කෘෂිකර්මැ අංමැාතයංශ තේ�කම් වශතේයන්.
05. ශ්‍රී ලංකා පරිපාලන තේස්වතේ� විතේශ්ෂ තේ�්ණිතේ� - ඩී. ජී. එස්. ධාර්මැතේස්න මැහතා 2025.01.16 දින සිට 2025.04.15 දින දක්වා
වූ කාල සීමැාව සඳහා, උතුරු මැැද පළාාත් තේසෞඛ්‍යය අංමැාතයංශ තේ�කම් වශතේයන්.
06. ශ්‍රී ලංකා පරිපාලන තේස්වතේ� විතේශ්ෂ තේ�්ණිතේ� - ආර්. එම්. ඩී. පී. පුෂ්පකුමැාරි මැහත්මිය 2025.01.20 දින සිට 2025.04.21 දින
දක්වා වූ කාල සීමැාව සඳහා, උතුරු මැැද පළාාත් නිතේයා්ජය ප්‍රධාාන තේ�කම් (පාලන) වශතේයන්.
1A - PG 7450 — 04 (2026/01)
fuu w;s úfYI .eiÜ m;%h www.documents.gov.lk fjí wvúfhka nd.; l&lt; yel'
2A IV^w&amp; jeks fldgi – YS% ,xld m%cd;dka;s%l iudcjd§ ckrcfha w;s úfYI .eiÜ m;%h - 2026'01'05
07. ශ්‍රී ලංකා පරිපාලන තේස්වතේ� I තේ�්ණිතේ� - ජී. ඒ. කිත්සිරි මැහතා නිතය තනතුතේර් රාජකාරි කටයුතුවලට අංමැතරව, 2025.01.20
දින සිට 2025.02.18 දින දක්වා වූ කාල සීමැාව සඳහා, උතුරු මැැද පළාාත් නිතේයා්ජය ප්‍රධාාන තේ�කම් (පුහුණු) තනතුතේර් වැඩ
බැලීමැ සඳහා.
08. ශ්‍රී ලංකා පරිපාලන තේස්වතේ� විතේශ්ෂ තේ�්ණිතේ� - පී. එස්. විමැලවීර මැහත්මිය 2025.01.21 දින සිට 2025.05.13 දින දක්වා වූ
කාල සීමැාව සඳහා, උතුරු මැැද පළාාත් සභාා තේ�කම් වශතේයන්.
09. ශ්‍රී ලංකා පරිපාලන තේස්වතේ� I තේ�්ණිතේ� - ඩබ්. එම්. රුවන් විතේේසිංහ මැහතා 2025.01.27 දින සිට නැවත නියමැයක් කරන
තුරු, උතුරු මැැද පළාාත් පාලන තේකාමැසාරිස් වශතේයන්.
10. ශ්‍රී ලංකා පරිපාලන තේස්වතේ� II තේ�්ණිතේ� - ඩී. පී. ඒ. එස්. දිසානායක මැහතා 2025.01.27 දින සිට නැවත නියමැයක් කරන
තුරු, උතුරු මැැද පළාාත් සමුපකාර සංවර්ධාන තේකාමැසාරිස් හා තේරජිස්ට්‍රාාර් තනතුතේර් වැඩ බැලීමැ සඳහා.
11. ශ්‍රී ලංකා වෛවදය තේස්වතේ� විතේශ්ෂ තේ�්ණිතේ� - ජී. ඩී. එන්. සමැරුතිලක මැහතා නිතය තනතුතේර් රාජකාරි කටයුතුවලට අංමැතරව
2025.01.27 දින සිට 2025.10.31 දින දක්වා වූ කාල සීමැාව සඳහා උතුරු මැැද පළාාත් තේසෞඛ්‍යය තේස්වා අංධායක්ෂ තනතුතේර් වැඩ
බැලීමැ සඳහා.
12. ශ්‍රී ලංකා පරිපාලන තේස්වතේ� විතේශ්ෂ තේ�්ණිතේ� - ජී. තේක්. ජි. ඒ. ආර්. පී. තේක්. නන්දන මැහතා 2025.02.19 දින සිට 2025.07.14
දින දක්වා වූ කාල සීමැාව සඳහා, උතුරු මැැද පළාාත් නිතේයා්ජය ප්‍රධාාන තේ�කම් (පුහුණු) වශතේයන්.
13. ශ්‍රී ලංකා පරිපාලන තේස්වතේ� III තේ�්ණිතේ� - ආර්. එම්. තේක්. සී. විතේේරත්න මැහත්මිය නිතය තනතුතේර් රාජකාරි කටයුතුවලට
අංමැතරව, 2025.04.09 දින සිට නැවත නියමැයක් කරන තුරු, උතුරු මැැද පළාාත් සමුපකාර තේසව් ක තේකාමිෂන් සභාාතේේ, තේ�කම්
තනතුතේර් වැඩ බැලීමැ සඳහා.
14. ශ්‍රී ලංකා පරිපාලන තේස්වතේ� I තේ�්ණිතේ� - එන්. එච්. ආර්. නිශාන්ත මැහතා නිතය තනතුතේර් රාජකාරි කටයුතුවලට අංමැතරව,
2025.04.12 දින සිට 2025.11.26 දින දක්වා, උතුරු මැැද පළාාත් ආණ්ඩුකාරවර තේ�කම් තනතුතේර් වැඩ බැලීමැ සඳහා.
15. ශ්‍රී ලංකා පරිපාලන තේස්වතේ� විතේශ්ෂ තේ�්ණිතේ� - ආර්. එම්. ඩී. පී. පුෂ්පකුමැාරි මැහත්මිය 2025.04.22 දින සිට නැවත නියමැයක්
කරන තුරු, උතුරු මැැද පළාාත් තේසෞඛ්‍යය අංමැාතයංශ තේ�කම් වශතේයන්.
16. ශ්‍රී ලංකා පරිපාලන තේස්වතේ� විතේශ්ෂ තේ�්ණිතේ� - පී. එස්. විමැලවීර මැහත්මිය 2025.04.23 දින සිට නැවත නියමැයක් කරන
තුරු, උතුරු මැැද පළාාත් රාජය තේස්වා තේකාමිෂන් සභාාතේේ තේ�කම් වශතේයන්.
17. ශ්‍රී ලංකා පරිපාලන තේස්වතේ� විතේශ්ෂ තේ�්ණිතේ� - ජී. තේක්. එස්. චන්ද්‍රලතා මැහත්මිය 2025.04.23 දින සිට නැවත නියමැයක්
කරන තුරු, උතුරු මැැද පළාාත් නිතේයා්ජය ප්‍රධාාන තේ�කම් (පාලන) වශතේයන්.
18. ශ්‍රී ලංකා ඉංජිතේන්රු තේස්වතේ� විතේශ්ෂ තේ�්ණිතේ� - එන්. සී. බටුතේගදර මැහත්මිය 2025.04.28 දින සිට නැවත නියමැයක් කරන
තුරු, උතුරු මැැද පළාාත් නිතේයා්ජය ප්‍රධාාන තේ�කම් (ඉංජිතේන්රු) වශතේයන්.
19. ශ්‍රී ලංකා පරිපාලන තේස්වතේ� II තේ�්ණිතේ� - ඩබ්. එම්. ඩී. එන්. අංමැරතුංග මැහත්මිය 2025.05.14 දින සිට නැවත නියමැයක්
කරන තුරු, උතුරු මැැද පළාාත් පරිවාස හා ළාමැාරක්ෂක තේස්වා තේකාමැසාරිස් වශතේයන්.
20. ශ්‍රී ලංකා පරිපාලන තේස්වතේ� විතේශ්ෂ තේ�්ණිතේ� - සුභාාජිනී මැදියලගන් මැහත්මිය 2025.07.14 දින සිට 2025.11.26 දින දක්වා,
උතුරු මැැද පළාාත් සභාා තේ�කම් වශතේයන්.
21. ශ්‍රී ලංකා පරිපාලන තේස්වතේ� විතේශ්ෂ තේ�්ණිතේ� - ජී. තේක්. ජී. ඒ. ආර්. පී. තේක්. නන්දන මැහතා 2025.07.15 දින සිට 2025.08.19
දින දක්වා වූ කාල සීමැාව සඳහා, උතුරු මැැද පළාාත් සමුපකාර අංමැාතයංශ තේ�කම් වශතේයන්.
22. ශ්‍රී ලංකා පරිපාලන තේස්වතේ� විතේශ්ෂ තේ�්ණිතේ� - එම්. ශ්‍රීස්කන්දකුමැාර් මැහතා 2025.07.15 දින සිට 2025.08.19 දින දක්වා වූ
කාල සීමැාව සඳහා, උතුරු මැැද පළාාත් නිතේයා්ජය ප්‍රධාාන තේ�කම් (පුහුණු) වශතේයන්.
23. ශ්‍රී ලංකා පරිපාලන තේස්වතේ� විතේශ්ෂ තේ�්ණිතේ� - ජී. තේක්. ජී. ඒ. ආර්. පී. තේක්. නන්දන මැහතා 2025.08.20 දින සිට 2025.11.26
දින දක්වා, උතුරු මැැද පළාාත් කෘෂිකර්මැ අංමැාතයංශ තේ�කම් වශතේයන්.
IV^w&amp; jeks fldgi – YS% ,xld m%cd;dka;s%l iudcjd§ ckrcfha w;s úfYI .eiÜ m;%h - 2026'01'05 3A
24. ශ්‍රී ලංකා පරිපාලන තේස්වතේ� විතේශ්ෂ තේ�්ණිතේ� - එම්. ශ්‍රීස්කන්දකුමැාර් මැහතා 2025.08.20 දින සිට නැවත නියමැයක් කරන
තුරු, උතුරු මැැද පළාාත් සමුපකාර අංමැාතයංශ තේ�කම් වශතේයන්.
25. ශ්‍රී ලංකා පරිපාලන තේස්වතේ� I තේ�්ණිතේ� - ආර්. එම්. තේක්. ආර්. බී. රත්නායක මැහතා 2025.08.20 දින සිට නැවත නියමැයක්
කරන තුරු, උතුරු මැැද පළාාත් නිතේයා්ජය ප්‍රධාාන තේ�කම් (පුහුණු) තනතුතේර් වැඩ බැලීමැ සඳහා.
26. ශ්‍රී ලංකා ක්‍රමැ සම්පාදන තේස්වතේ� විතේශ්ෂ තේ�්ණිතේ� - එන්. ජී. දයාරත්න මැහතා 2025.10.07 දින සිට නැවත නියමැයක් කරන
තුරු, උතුරු මැැද පළාාත් නි තේයා්ජය ප්‍රධාාන තේ�කම් (සැළාසුම්) වශතේයන්.
27. ශ්‍රී ලංකා පරිපාලන තේස්වතේ� III තේ�්ණිතේ� - ආර්. එච්. ඒකනායක මැහතා 2025.11.07 දින සිට නැවත නියමැයක් කරන තුරු,
උතුරු මැැද පළාාත් ග්‍රාාමැ සංවර්ධාන අංධායක්ෂ වශතේයන්.
28. ශ්‍රී ලංකා පරිපාලන තේස්වතේ� විතේශ්ෂ තේ�්ණිතේ� - ජී. තේක්. ජී. ඒ. ආර්. පී. තේක්. නන්දන මැහතා 2025.11.27 දින සිට නැවත
නියමැයක් කරන තුරු, උතුරු මැැද පළාාත් ආණ්ඩුකාරවර තේ�කම් වශතේයන්.
29. ශ්‍රී ලංකා පරිපාලන තේස්වතේ� විතේශ්ෂ තේ�්ණිතේ� - සුභාාජිනී මැදියලගන් මැහත්මිය 2025.11.27 දින සිට නැවත නියමැයක් කරන
තුරු, උතුරු මැැද පළාාත් කෘෂිකර්මැ අංමැාතයංශ තේ�කම් වශතේයන්.
30. ශ්‍රී ලංකා පරිපාලන තේස්වතේ� විතේශ්ෂ තේ�්ණිතේ� - එස්. ගුණපාලන් මැහතා 2025.11.26 දින සිට නැවත නියමැයක් කරන තුරු,
උතුරු මැැද පළාාත් සභාා තේ�කම් වශතේයන්
.
නන්දාන ගලබො�ාඩ,
උතුරු මැැද පළාාත් ආණ්ඩුකාරවර තේ�කම්.
2025 තේදසැම්බර් මැස 31 දින,
උතුරු මැැද පළාාත් ආණ්ඩුකාර කාර්යාලතේ� දී ය.
EOG 01 - 0035
Y%S ,xld rcfha uqøK fomd¾;fïka;=fõ uqøKh lrk ,§'</t>
  </si>
  <si>
    <t>9167d3f0-3af2-43ab-ab47-7e122d4413a0</t>
  </si>
  <si>
    <t>2470_08</t>
  </si>
  <si>
    <t>2470/08</t>
  </si>
  <si>
    <t>Title Registration Act, No. 21 of 1998, Section 14 — Commissioner of Title Settlement decision (Gazette 2470/08)</t>
  </si>
  <si>
    <t>m1/raw/2470_08.pdf</t>
  </si>
  <si>
    <t>III ෙක(cid:675)ටස – (cid:636) ලංකා (cid:541)ජාතා(cid:486)(cid:437)ක සමාජවා(cid:463) ජනරජෙ(cid:591) අ(cid:431) (cid:618)ෙශෂ ගැස(cid:376) ප(cid:436)ය – 2026.01.05 1 A
ப(cid:8065)தி III – இல(cid:8113)ைக(cid:8114) சனநாயக ேசாச(cid:8098)ச(cid:8112) (cid:8065)(cid:8074)யர(cid:8070) வ(cid:8125)(cid:8119)தமான(cid:8122) ப(cid:8119)திாிைக - அதி விேசஷமான(cid:8080) – 2026.01.05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2470/08 - 2026 ජනවා(cid:604) මස 05 වැ(cid:487) ස(cid:511)දා - 2026.01.05
2470/08 ஆ(cid:8123) இல(cid:8112)க(cid:8123) - 2026 ஆ(cid:8123) ஆ(cid:8118)(cid:8076) சனவாி மாத(cid:8123) 05 ஆ(cid:8120) திகதி தி(cid:8113)க(cid:8117)கிழைம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12 ஆ(cid:8123) பிாிவி(cid:8121)
நியதிகளி(cid:8121)ப(cid:8074) 2023.07.11 ஆ(cid:8120) திகதிய 2340/24 ஆ(cid:8123) இல(cid:8112)க வ(cid:8125)(cid:8119)தமானியி(cid:8127) உாிய (cid:8089)ைறயி(cid:8127) ெவளியிட(cid:8122)ப(cid:8117)ட(cid:8080)(cid:8123), காணி(cid:8112)கான
உாிைம(cid:8112) ேகாாி(cid:8112)ைககைள(cid:8112) ேகா(cid:8094)கி(cid:8121)ற(cid:8080)மான 62/0710 ஆ(cid:8123) இல(cid:8112)க அறிவி(cid:8119)த(cid:8098)(cid:8127) (cid:8065)றி(cid:8122)(cid:8086)(cid:8076) ெச(cid:8124)ய(cid:8122)ப(cid:8117)ட ச(cid:8122)பிரக(cid:8089)வ மாகாண(cid:8119)தி(cid:8121),
இர(cid:8119)தின(cid:8087)ாி மாவ(cid:8117)ட(cid:8119)தி(cid:8127), அயகம பிரேதச ெசயலாள(cid:8125) பிாிவி(cid:8127), இல. 193 எ(cid:8122) - பிடக(cid:8120)த கிராம அ(cid:8100)வல(cid:8125) பிாிவி(cid:8084)(cid:8128) அயகம கிராம(cid:8119)தி(cid:8127)
அைம(cid:8120)(cid:8080)(cid:8128)ள(cid:8080)(cid:8123) 620379 ஆ(cid:8123) இல(cid:8112)க கட(cid:8119)திர(cid:8127) அளைவ வைரபட(cid:8119)தி(cid:8127) பிாி(cid:8107) இல. 04 இ(cid:8127) அட(cid:8113)கி(cid:8092)(cid:8128)ள(cid:8080)மான 1 : 1, 1 : 98, 1 : 101,
1 : 116 ம(cid:8126)(cid:8096)(cid:8123) 1 : 121 ஆ(cid:8123) இல(cid:8112)க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ஒ(cid:8126)ேறாப(cid:8125) மாத(cid:8123) 27 ஆ(cid:8120) திகதி.
1A - G 46017 - 03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2026.01.05
ப(cid:8065)தி III – இல(cid:8113)ைக(cid:8114) சனநாயக ேசாச(cid:8098)ச(cid:8112) (cid:8065)(cid:8074)யர(cid:8070) வ(cid:8125)(cid:8119)தமான(cid:8122) ப(cid:8119)திாிைக - அதி விேசஷமான(cid:8080) – 2026.01.05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1:1 0.0387 அர(cid:8070) (cid:8089)(cid:8104)வ(cid:8080)(cid:8123) 1ஆவ(cid:8080) வ(cid:8065)(cid:8122)(cid:8087) _ _
1:98 0.0716 அர(cid:8070) (cid:8089)(cid:8104)வ(cid:8080)(cid:8123) 1ஆவ(cid:8080) வ(cid:8065)(cid:8122)(cid:8087) _ _
1:101 0.0780 அர(cid:8070) (cid:8089)(cid:8104)வ(cid:8080)(cid:8123) 1ஆவ(cid:8080) வ(cid:8065)(cid:8122)(cid:8087) _ _
1:116 0.0357 அர(cid:8070) (cid:8089)(cid:8104)வ(cid:8080)(cid:8123) 1ஆவ(cid:8080) வ(cid:8065)(cid:8122)(cid:8087) _ _
1:121 0.0870 அர(cid:8070) (cid:8089)(cid:8104)வ(cid:8080)(cid:8123) 1ஆவ(cid:8080) வ(cid:8065)(cid:8122)(cid:8087) _ _
EOG 01 - 0022
இல(cid:8113)ைக அரசா(cid:8113)க அ(cid:8114)(cid:8070)(cid:8119) திைண(cid:8112)கள(cid:8119)தி(cid:8127) பதி(cid:8122)பி(cid:8112)க(cid:8122)ெப(cid:8126)ற(cid:8080).</t>
  </si>
  <si>
    <t>a11d1241-8d40-40c6-85bb-1a07a18507d0</t>
  </si>
  <si>
    <t>2470_09</t>
  </si>
  <si>
    <t>2470/09</t>
  </si>
  <si>
    <t>Title Registration Act, No. 21 of 1998, Section 14 — Commissioner of Title Settlement's decision under Section 14 (Gazette 2470/09)</t>
  </si>
  <si>
    <t>m1/raw/2470_09.pdf</t>
  </si>
  <si>
    <t>6e8442ea-63de-4555-9afb-0106592c0862</t>
  </si>
  <si>
    <t>2470_10</t>
  </si>
  <si>
    <t>2470/10</t>
  </si>
  <si>
    <t>Title Registration Act, No. 21 of 1998, Section 14 — Commissioner of Title Settlement decision (Gazette 2470/10)</t>
  </si>
  <si>
    <t>Commissioner of Title Settlement's decision under Section 14 of the Title Registration Act No. 21 of 1998. Part III — Lands. Land Parcel No. 66 in Cadastral Map references 4-3/5421, 451, 1: 432, 1: 440, 1: 442, 1: 443, 1: 444, 1: 707, 1: 708, 1: 709, 1: 712, 1: 713, 1: 754, 1: 758, 1: 798, 1: 861 references Gazette 21 January 2025. Reference 2377/12 references Gazette 83/0442 of 21 January 2024.</t>
  </si>
  <si>
    <t>m1/raw/2470_10.pdf</t>
  </si>
  <si>
    <t>ශී ලංකා පජාතාන්තික සමාජවාදී ජනරජෙය් ගැසට් පතය
අති විෙශෂ
අංක 2470/10 - 2026 ජනවාරි මස 05 වැනි සඳුදා - 2026.01.05
(රජෙය් බලයපිට පසිද්ධ කරන ලදී)
III වැනි ෙකොටස - ඉඩම්
හිමිකම් ලියාපදිංචි කිරීම
1998 අංක 21 දරන හිමිකම් ලියාපදිංචි කිරීෙම් පනත
14 වැනි වගන්තිය යටෙත් හිමිකම් නිරවුල් කිරීෙම් ෙකොමසාරිස්ෙග් තීරණ පකාශය
දකුණු පළාෙත් හම්බන්ෙතොට දිස්තික්කෙය් ලුනුගම්ෙවෙහර පාෙද්ශීය ෙල්කම් ෙකොට්ඨාසෙය් අංක 66 - වීරවිල ගාම නිලධාරි ෙකොට්ඨාසය තුළ
වීරවිල නවනගරය නමැති ගෙම් පිහිටියා වූ ද, අංක 830008 දරන කැඩැස්තර සිතියෙම් කලාප අංක 1 හි කැබලි අංක 1 : 428, 1 : 431, 1 : 432,
1 : 440, 1 : 442, 1 : 443, 1 : 444, 1 : 707, 1 : 708, 1 : 709, 1 : 712, 1 : 713, 1 : 788, 1 : 795, 1 : 798, 1 : 861 සහ 1 : 878 දරන ඉඩම් ෙකොටස්
ෙලස ෙපන්නුම් ෙකොට ඇත්තා වූ ද, හිමිකම් පෑම් ඉදිරිපත් කරන ෙලස දැනුම් ෙදමින් 1998 අංක 21 දරන හිමිකම් ලියාපදිංචි කිරීෙම් පනෙත් 12 වැනි
වගන්තිය පකාර 2024.03.26 වැනි දින අංක 2377/12 දරන ගැසට් පතෙය් යථා පරිදි පළකරන ලද අංක 83/0442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සැප්තැම්බර් මස 09 වැනි දින,
බත්තරමුල්ල,
රජමල්වත්ත පාර,
"මිහිකත මැදුර", අංක 1200/6,
ඉඩම් හිමිකම් නිරවුල් කිරීෙම් ෙදපාර්තෙම්න්තුෙව් දී ය.
1A - G 046019 - 03 (2026/ 01)
සැ.යු.- ෙමම අති විෙශෂ ගැසට් පතය www.documents.gov.lk ෙවබ් අඩවිෙයන් බාගත කළ හැක.
2 A III ෙකොටස - ශී ලංකා පජාතාන්තික සමාජවාදී ජනරජෙය් අති විෙශෂ ගැසට් පතය - 2026.01.05
උපෙල්ඛනය
———————————————————————————————–--———————————————————————————————————————————————————
විනිශ්චයන් සහ යම් විෙශේෂ ෙහෝ
පත අංකය ඉන්ෙජන්ෂන් තහනම් ෙපෞද්ගලික
සහ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1:428 0.1100 රජය සම්පූර්ණ පථම පන්තිය _ _
1:431 0.1100 රජය සම්පූර්ණ පථම පන්තිය _ _
1:432 0.1070 රජය සම්පූර්ණ පථම පන්තිය _ _
1:440 0.1080 රජය සම්පූර්ණ පථම පන්තිය _ _
1:442 0.1070 රජය සම්පූර්ණ පථම පන්තිය _ _
1:443 0.1070 රජය සම්පූර්ණ පථම පන්තිය _ _
1:444 0.1040 රජය සම්පූර්ණ පථම පන්තිය _ _
1:707 0.1040 රජය සම්පූර්ණ පථම පන්තිය _ _
1:708 0.1030 රජය සම්පූර්ණ පථම පන්තිය _ _
1:709 0.1030 රජය සම්පූර්ණ පථම පන්තිය _ _
1:712 0.1040 රජය සම්පූර්ණ පථම පන්තිය _ _
1:713 0.1060 රජය සම්පූර්ණ පථම පන්තිය _ _
1:788 0.0990 රජය සම්පූර්ණ පථම පන්තිය _ _
1:795 0.1020 රජය සම්පූර්ණ පථම පන්තිය _ _
1:798 0.1030 රජය සම්පූර්ණ පථම පන්තිය _ _
1:861 0.1060 රජය සම්පූර්ණ පථම පන්තිය _ _
1:878 0.1030 රජය සම්පූර්ණ පථම පන්තිය _ _
EOG 01 - 0024/1
1998 අංක 21 දරන හිමිකම් ලියාපදිංචි කිරීෙම් පනත
14 වැනි වගන්තිය යටෙත් හිමිකම් නිරවුල් කිරීෙම් ෙකොමසාරිස්ෙග් තීරණ පකාශය
දකුණු පළාෙත් හම්බන්ෙතොට දිස්තික්කෙය් ලුනුගම්ෙවෙහර පාෙද්ශීය ෙල්කම් ෙකොට්ඨාසෙය් අංක 56 - ලුණුගම්ෙවෙහර නව නගරය ගාම නිලධාරි
ෙකොට්ඨාසය තුළ ලුණුගම්ෙවෙහර නවනගරය නමැති ගෙම් පිහිටියා වූ ද, අංක 830023 දරන කැඩැස්තර සිතියෙම් කලාප අංක 6 හි කැබලි අංක
1 : 242, 1 : 249, 1 : 253, 1 : 254, 1 : 273 සහ 1 : 277 දරන ඉඩම් ෙකොටස් ෙලස ෙපන්නුම් ෙකොට ඇත්තා වූ ද, හිමිකම් පෑම් ඉදිරිපත් කරන ෙලස
දැනුම් ෙදමින් 1998 අංක 21 දරන හිමිකම් ලියාපදිංචි කිරීෙම් පනෙත් 12 වැනි වගන්තිය පකාර 2010.02.15 වැනි දින අංක 1641/10 දරන ගැසට්
පතෙය් යථා පරිදි පළකරන ලද අංක 83/0068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සැප්තැම්බර් මස 09 වැනි දින,
බත්තරමුල්ල,
රජමල්වත්ත පාර,
"මිහිකත මැදුර", අංක 1200/6,
ඉඩම් හිමිකම් නිරවුල් කිරීෙම් ෙදපාර්තෙම්න්තුෙව් දී ය.
උපෙල්ඛනය
———————————————————————————————–--———————————————————————————————————————————————————
විනිශ්චයන් සහ යම් විෙශේෂ ෙහෝ
පත අංකය ඉන්ෙජන්ෂන් තහනම් ෙපෞද්ගලික
සහ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1:242 0.0815 ආසලෙග් ධනපාල 196015101738 සම්පූර්ණ පථම පන්තිය _ ඉ.සං.ආ. පනෙත්
අංක 108, එකමුතුගම, කිරිදිනදී මාවත, ෙකොන්ෙද්සි වලට
නවනගරය, ලුණුගම්ෙවෙහර යටත්ව
III ෙකොටස - ශී ලංකා පජාතාන්තික සමාජවාදී ජනරජෙය් අති විෙශෂ ගැසට් පතය - 2026.01.05 3 A
උපෙල්ඛනය (සම්බන්ධිතයි)
———————————————————————————————–--——————————————————————————————————————————————————
විනිශ්චයන් සහ යම් විෙශේෂ ෙහෝ
පත අංකය ඉන්ෙජන්ෂන් තහනම් ෙපෞද්ගලික
සහ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1:249 0.0847 රජය සම්පූර්ණ පථම පන්තිය බලපත අංක ඉ.සං.ආ.පනෙත්
හමි/11/56/4145 ෙකොන්ෙද්සි වලට
යටෙත් හතිරින්ෙග් යටත්ව,
චිතලතා භුක්ති
විදි
1:253 0.0766 පැලවින්නෙග් අෙය්ෂා උදයංගනී 918360387V සම්පූර්ණ පථම පන්තිය _ ඉ.සං.ආ. පනෙත්
අංක 103, එකමුතුගම, නවනගරය, ෙකොන්ෙද්සි වලට
ලුණුගම්ෙවෙහර යටත්ව
1:254 0.0763 රජය සම්පූර්ණ පථම පන්තිය බලපත අංක ඉ.සං.ආ.පනෙත්
හම්/11/56/4153 ෙකොන්ෙද්සි වලට
යටෙත් ෙරෝෂාන් යටත්ව,
මහානාම දිසානායක
භුක්ති විදි
1:273 0.0834 රජය සම්පූර්ණ පථම පන්තිය බලපත අංක ඉ.සං.ආ.පනෙත්
හමි/11/56/4164 ෙකොන්ෙද්සි වලට
යටෙත් කරනප්පුලිෙග් යටත්ව,
සනත් ජයෙනත්ති
භුක්ති විදි
1:277 0.1059 රජය සම්පූර්ණ පථම පන්තිය බලපත අංක ඉ.සං.ආ.පනෙත්
හමි/11/56/4146 ෙකොන්ෙද්සි වලට
යටෙත් සායක්කාරෙග් යටත්ව,
සිරිපාල භුක්ති
විදි
EOG 01 - 0024/2
1998 අංක 21 දරන හිමිකම් ලියාපදිංචි කිරීෙම් පනත
14 වැනි වගන්තිය යටෙත් හිමිකම් නිරවුල් කිරීෙම් ෙකොමසාරිස්ෙග් තීරණ පකාශය
දකුණු පළාෙත් හම්බන්ෙතොට දිස්තික්කෙය් ලුනුගම්ෙවෙහර පාෙද්ශීය ෙල්කම් ෙකොට්ඨාසෙය් අංක 77 - සාලියපුර ගාම නිලධාරි ෙකොට්ඨාසය තුළ
සාලියපුර නමැති ගෙම් පිහිටියා වූ ද, අංක 830062 දරන කැඩැස්තර සිතියෙම් කලාප අංක 3 හි කැබලි අංක 5 : 4 දරන ඉඩම් ෙකොටස් ෙලස
ෙපන්නුම් ෙකොට ඇත්තා වූ ද, හිමිකම් පෑම් ඉදිරිපත් කරන ෙලස දැනුම් ෙදමින් 1998 අංක 21 දරන හිමිකම් ලියාපදිංචි කිරීෙම් පනෙත් 12 වැනි
වගන්තිය පකාර 2009.08.13 වැනි දින අංක 1614/23 දරන ගැසට් පතෙය් යථා පරිදි පළකරන ලද අංක 83/0023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සැප්තැම්බර් මස 09 වැනි දින,
බත්තරමුල්ල,
රජමල්වත්ත පාර,
"මිහිකත මැදුර", අංක 1200/6,
ඉඩම් හිමිකම් නිරවුල් කිරීෙම් ෙදපාර්තෙම්න්තුෙව් දී ය.
4 A III ෙකොටස - ශී ලංකා පජාතාන්තික සමාජවාදී ජනරජෙය් අති විෙශෂ ගැසට් පතය - 2026.01.05
උපෙල්ඛනය
———————————————————————————————–--——————————— ————————————————————————————————————————
විනිශ්චයන් සහ යම් විෙශේෂ ෙහෝ
පත අංකය ඉන්ෙජන්ෂන් තහනම් ෙපෞද්ගලික
සහ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5:4 0.4047 රජය සම්පූර්ණ පථම පන්තිය බලපත අංක ඉ.සං.ආ. පනෙත්
හම්/11/77/7869 ෙකොන්ෙද්සි වලට
යටෙත් ජුවන් යටත්ව,
කංකානම්ෙග් චමිලා
දමයන්ති යන අය
භුක්ති විදි.
EOG 01 - 0024/3
ශී ලංකා රජෙය් මුදණ ෙදපාර්තෙම්න්තුෙව් මුදණය කරන ලදී.</t>
  </si>
  <si>
    <t>68aff223-0862-4b45-831c-1bd71fe8bed2</t>
  </si>
  <si>
    <t>2470_11</t>
  </si>
  <si>
    <t>2470/11</t>
  </si>
  <si>
    <t>Title Registration Act, No. 21 of 1998, Section 14 — Commissioner of Title Settlement's decision under Section 14 (Gazette 2470/11)</t>
  </si>
  <si>
    <t>m1/raw/2470_11.pdf</t>
  </si>
  <si>
    <t>c512e4c6-559d-43d7-979f-56659ce9ab37</t>
  </si>
  <si>
    <t>2470_12</t>
  </si>
  <si>
    <t>2470/12</t>
  </si>
  <si>
    <t>Veterinary Surgeons and Practitioners Act, No. 46 of 1956 — Notice (Gazette 2470/12)</t>
  </si>
  <si>
    <t>1956 අංක 46 දරන පශු වෛද්‍ය සහ පශු වෛද්‍ය වෘත්තික පනත</t>
  </si>
  <si>
    <t>1956 ஆம் ஆண்டின் 46 ஆம் இலக்க பசு வைத்தியர் சட்டம்</t>
  </si>
  <si>
    <t>Notice under the Veterinary Surgeons and Practitioners Act, No. 46 of 1956, typically covering registration of veterinary surgeons, recognised qualifications, or council rules.</t>
  </si>
  <si>
    <t>Veterinary Surgeons and Practitioners Act, No. 46 of 1956</t>
  </si>
  <si>
    <t>welfare</t>
  </si>
  <si>
    <t>m1/raw/2470_12.pdf</t>
  </si>
  <si>
    <t>ad3def7c-25a6-4b14-9f4b-fb78adbd919e</t>
  </si>
  <si>
    <t>2470_13</t>
  </si>
  <si>
    <t>2470/13</t>
  </si>
  <si>
    <t>Land Acquisition Act (Chapter 460), Section 5 — Notice of Intended Acquisition (Gazette 2470/13)</t>
  </si>
  <si>
    <t>m1/raw/2470_13.pdf</t>
  </si>
  <si>
    <t>III කො�ොටස - ශ්‍රී ලංං�ා ප්‍රජාාතාාන්ත්‍රි� සමාාජාවාාදී ජානරජාකො� අති විකො�ෂ ගැැසට් පත්‍රය - 2025.08.01 1A
பகுதி III - இலங்கைச் சனநாயகை சசாசலிசக் குடியரசு வர்ததமானப் ப்ததிாி்கை - அதி விசசஷமானது - 2025.08.01
ශ්‍රීශ්‍රී ලංලංංංකාකාාා ප්‍රප්‍රජාජාාාතාතාාාන්න්ත්‍රිත්‍රිකාකා සසමාමාාාජාජාවාවාාාදීදී ජාජානනරරජාජායේයේ�� ගැගැැැසසට්ට් පපත්‍රත්‍රයය
இஇலலஙங்்கைகைச்ச் சசனனநநாாயயகைகை சசசசாாசசலிலிசசக்க் குகுடிடியயரரசுசு வவரர்த்த்த்தமமாானனப்ப் பப்த்த்த்ததிதிாாதிதி்்கைகை
අඅතිති විවියේයේ��ෂෂ அஅ்த்ததிதி வவதிதிசசசசஷஷமமாானனதுது
අංඅංංංකක 22447700//1133 -- 22002266 ජජනනවාවාාාරිරි මමසස 0055 වාවාැැනිනි සසඳුඳුදාදාාා -- 22002266..0011..0055
2470/13 ஆம் இலக்கைம் - 2026 ஆம் ஆண்டு சனவாதி மா்தம் 05 ஆந் ்ததிகை்ததி ்ததிஙகைடகைதிழ்ம
(அரசாஙகை்த்ததின் அ்ததிகைார்ததுடன் பதிரசுாதிக்கைப்படடது)
பபகுகு்த்ததிதி IIIIII -- கைகைாாணணதிதிகைகைள்ள்
கைகைாாணணதிதி கககைகைாாள்ள்வவனனவுவு பபறற்்திதியய அஅ்்திதிவவதிதி்த்த்த்தலலகைகைள்ள்
கைகைாாணணதிதி எஎடுடு்த்த்த்தறற சசடடடடம்ம் ((அஅ்த்த்த்ததிதியயாாயயம்ம் 446600)) ஆ்ணக்குழு உாதி்மசகைாரும் நாகைலன்வ்த்த ; சமறகு: மக்கைள்
ச்தாடட அபதிவதிரு்த்ததி ச்ப உாதி்மசகைாரும் நாகைலன்வ்த்த.
5 ஆம் பதிாதிவதின் படியான பதிரகைடனம்
0022.. துதுண்ண்டுடு ““BB”” –– நநாாகைகைலலன்ன்வவ்த்த்த்த –– வவதிதிஸஸ்த்தீீரரணணம்ம்:: சுசுமமாாரர 00..00221155
கைீழக்கைாணும் கைாணதி ஒரு பகைதிரஙகை்த ச்த்வக்கு சவண்டிய்தாய ககெெக்க்டடயயாாரர;;
இருக்கைதின்்க்தன்றும் கைாணதி எடு்த்தற சடட்த்ததின் வடக்கு: துண்டு A மறறும் குளதியாப்பதிடடிய பதிரச்தச ச்ப
ஏறபாடுகைளதின் பதிரகைாரம் அது எடு்ததுக்ககைாள்ளப்படுகமன்றும் உாதி்மசகைாரும் நாகைலன்வ்த்த ; கைதிழக்கு: குளதியாப்பதிடடிய
கைாணதி எடு்த்தற சடட்த்ததின் 5 ஆம் பதிாதிவதின் (1) ஆம் உபபதிாதிவதின் பதிரச்தச ச்ப உாதி்மசகைாரும் நாகைலன்வ்த்த மறறும் பா்்த ;
க்தறகு : பா்்த மறறும் கைாணதிச் சீர்ததிரு்த்த ஆ்ணக்குழு
பதிரகைாரம் கைம்தக்தாழதில, கைாலந்ட வளஙகைள், கைாணதி மறறும்
உாதி்மசகைாரும் நாகைலன்வ்த்த ; சமறகு: கைாணதிச் சீர்ததிரு்த்த
நீரப்பாசன அ்மச்சர குரகைமசகை க்தான் லால கைாந்்த ஆகைதிய
ஆ்ணக்குழு உாதி்மசகைாரும் நாகைலன்வ்த்த மறறும் துண்டு A.
நான், இ்த்தால பதிரகைடனம் கசயகைதின்ச்ன்.
சகை. டி. லால கைாந்்த,
வடசமல மாகைாண்த்ததில, குருநாகைல மாவடட்த்ததில,
கைம்தக்தாழதில, கைாலந்ட வளஙகைள்,
குளதியாப்பதிடடிய சமறகு பதிரச்தச கசயலாளர பதிாதிவதின்,
கைாணதி மறறும் நீரப்பாசன அ்மச்சர.
இல. 1142, கைதி்த்தலவ கைதிராம அலுவலர பதிாதிவதில, கைதி்த்தலவ
கைதிராம்த்ததிலஅ்மந்துள்ள நதில அள்வயாளர நாயகை்த்ததினால
எனது இல. : 4-3/18/2021/WS/125.
்தயாாதிக்கைப்படட ஆரம்ப வ்ரபட இல. KU/KPW/2021/662
கைம்தக்தாழதில, கைாலந்ட வளஙகைள், கைாணதி மறறும்
மறறும் 2023.07.27 ஆந் ்ததிகை்ததியதிடப்படட மு்தற சுவடடு
நீரப்பாசன அ்மச்சு,
வ்ரபட்த்ததில கைீசழ கு்திப்பதிடப்படடுள்ள கைாணதிப்
“மதிெதிகை்த கமதுர”, கைாணதிச் கசயலகைம்,
பகு்ததிகைளுக்கைான எல்லகைள் பதின்வருமாறு:
1200/6, இரஜமலவ்த்்த வீ்ததி,
ப்த்தரமுல்ல,
0011.. துதுண்ண்டுடு ‘‘‘‘AA’’’’ –– நநகைகைலலன்ன்வவ்த்த்த்த –– வவதிதிஸஸ்த்தீீரரணணம்ம்:: சுசுமமாாரர 00..11551188
2025, நகவம்பர 24.
ககெெக்க்டடயயாாரர
வடக்கு: மக்கைள் ச்தாடட அபதிவதிரு்த்ததிச் ச்ப உாதி்மசகைாரும்
EOG 01 - 0042
நாகைலன்வ்த்த மறறும் சுனதில அ சபவர்தன உாதி்மசகைாரும்
நாகைலன்வ்த்த ; கைதிழக்கு: குளதியாப்பதிடடிய பதிரச்தச ச்ப
உாதி்மசகைாரும் நாகைலன்வ்த்த துண்டு B மறறும் கைாணதிச்
சீர்ததிரு்த்த ஆ்ணக்குழு உாதி்மசகைாரும் நாகைலன்வ்த்த;
க்தறகு : குளதியாப்பதிடடிய பதிரச்தச ச்ப உாதி்மசகைாரும்
நாகைலன்வ்த்த, துண்டு B மறறும் கைாணதிச் சீர்ததிரு்த்த
1A - G46026 - 18 (2026/01) இலங்கை அரசாஙகை அச்சு்த ்ததி்ணக்கைள்த்ததில அச்சதிடப்படடது.
இவ் அ்ததிவதிச ஷட வர்த்தமானதி்ய www.documents.gov.lk எனும் இ்ணய்த்தள்த்ததிலிருந்து ப்ததிவதி்க்கைம் கசயய முடியும்.</t>
  </si>
  <si>
    <t>9b59e17a-3720-4a03-b13d-12d36c06662d</t>
  </si>
  <si>
    <t>2470_14</t>
  </si>
  <si>
    <t>2470/14</t>
  </si>
  <si>
    <t>Motor Traffic Act (Chapter 203), Sections 21, 22, 23, 24 and 237 — Notice (Gazette 2470/14)</t>
  </si>
  <si>
    <t>මෝටර් රථ ප්‍රවාහන පනත (203 අධිකාරය), 21, 22, 23, 24 සහ 237 වගන්ති යටතේ දැන්වීම</t>
  </si>
  <si>
    <t>மோட்டார் வாகனச் சட்டம் (203 ஆம் அத்தியாயம்), 21, 22, 23, 24 மற்றும் 237 ஆம் பிரிவுகளின் கீழ் அறிவித்தல்</t>
  </si>
  <si>
    <t>Notice issued by the Minister of Transport, Highways, Ports and Civil Aviation under Sections 21, 22, 23, 24 and 237 of the Motor Traffic Act (Chapter 203). References Gazettes 1952/27 of 27 August 2015 and 2352/29 of 5 September 2023. Reference -24/51(vi). Part I — General.</t>
  </si>
  <si>
    <t>Motor Traffic Act (Chapter 203)</t>
  </si>
  <si>
    <t>transport</t>
  </si>
  <si>
    <t>m1/raw/2470_14.pdf</t>
  </si>
  <si>
    <t>I fldgi ( ^I&amp; fPoh - YS% ,xld m%cd;dka;s%l iudcjd§ ckrcfha w;s úfYI .eiÜ m;%h - 2026'01'05 1A
gFjp I : njhFjp (I) - ,yq;ifr; rdehaf Nrhryprf; FbauR tu;j;jkhdg; gj;;jpupif - mjp tpNr\khdJ - 2026.01.05
Y%S ,xld m%cd;dka;%sl iudcjd§ ckrcfha .eiÜ m;%h
w;s úfYI
,yq;ifr; rdehaf Nrhryprf; FbauR th;j;jkhdg; gj;jphpif
mjp tpNr\khdJ
wxl 2470/14 - 2026 ckjdß ui 05 jeks i÷od - 2026'01'05
2470/ 14 Mk; ,yf;fk; - 2026 Mk; Mz;L rdtup khjk; 05 Me; jpfjp jpq;fl;fpoik
(murhq;fj;jpd; mjpfhuj;Jld; gpuRupf;fg;gl;lJ)
gFjp I : njhFjp (I) - nghJ
murhq;f mwptpj;jy;fs;
ச.வ.பிி. -24/51(vii)
((220033 ஆஆம்ம் அஅத்த்திதிிியாயாாாயாயாமாமாாானன)) மமமாமாாாட்ட்டாடாாார்ர் வவாாககனனச்ச் சசட்ட்டாடாம்ம்
(203 ஆம் அத்திியாாயாமாான) மமாாட்டாார் வாகனச் சட்டாத்திின் 21, 22, 23, 24 மாற்றும் 24அ என்னும் பிிாிவுகளுடான் மசர்த்து
வாசிக்கப்பிடும் அச்சட்டாத்திின் 237 ஆம் பிிாிவின் கீழ் மபிாக்குவரத்து, நெெடுஞ்சாலைைகள் மாற்றும் ெகர அபிிவிருத்திி அலைமாச்சாினால்
ஆக்கப்பிட்டா ஒழுங்குவிதிிகள்.
பிபிிிமாமால்ல் ெெிிமமரராாஷஷன்ன் ரரத்த்ெொாயாயாக்க்கக,,
மபிாக்குவரத்து, நெெடுஞ்சாலைைகள்
மாற்றும் ெகர அபிிவிருத்திி அலைமாச்சர்.
நெகாழும்பு,
2025, திிநெ சம்பிர் 31.
ஒஒழுழுங்ங்குகு வவிிதிதிிிககள்ள்
1952, நெபிப்புருவாி 27 ஆந் திிகதிியா 10,360 ஆம் இைக்க, அதிிவிமசடா வர்த்திமாானியாில் நெவிியாிடாப்பிட்டாதும், 2023, ஒற்ம�ாபிர்
05 ஆந் திிகதிியா 2352/29 ஆம் இைக்க, அதிிவிமசடா வர்த்திமாானியாில் நெவிியாிடாப்பிட்டா ஒழுங்குவிதிிகள் மூைம் கலைடாசியாாக
1A - PG 7454 — 353 (2026/01)
,t; mjptpNrl tu;j;jkhdpia www.documents.gov.lk vDk; ,izaj;jsj;jpypUe;J gjptpwf;fk; nra;a KbAk;.
2A I fldgi ( ^I&amp; fPoh - YS% ,xld m%cd;dka;s%l iudcjd§ ckrcfha w;s úfYI .eiÜ m;%h - 2026'01'05
gFjp I : njhFjp (I) - ,yq;ifr; rdehaf Nrhryprf; FbauR tu;j;jkhdg; gj;;jpupif - mjp tpNr\khdJ - 2026.01.05
திிருத்திப்பிட்டாலைவயுமாான 1951ஆம் ஆண்டின் ம மாாட்டாார் வாகன (ொனாவிதி) ஒழுங்குவிதிிகள், அலைடாயாாளங்காண் இைக்கத்திகடு
வழங்குவதிற்காக கு�ித்துலைரக்கப்பிட்டா கட்டாணங்கள் நெதிாடார்பிிைான அவ்நெவாழுங்குவிதிிகளுக்கான ொன்காம் அட்டாவலைணயாில்,
அவ்வட்டாவலைணயாின் 23 ஆம் விடாயாத்லைதி உடானடுத்து பிின்வரும் புதிியா விடாயாத்லைதிச் மசர்ப்பிதின் மூைம் இத்திால் மமாலும்
திிருத்திப்பிடுகின்�து.
''ெிரல் I ெிரல் II
விவரணம் கட்டாணம் (ரூபிா)
“24 மமாாட்டாார் லைசக்கிள்கள், மமாாட்டாார் முச்சக்கர வண்டிகள் மாற்றும் மமாாட்டாார் 1,000,000.00”.
முச்சக்கர வான்கள் திவிர்ந்தி அலைனத்து மமாாட்டாார் வாகனங்களுக்கும் ெடாப்பு
இைக்கங்களிலிருந்து 100,000 வலைரயாிைான விமசடா இைக்கங்கலைள ஒதுக்கீடு
நெசய்தில்
EOG 01-0043
,yq;if murhq;f mr;Rj; jpizf;fsj;jpw; gjpg;gpf;fg;ngw;wJ.</t>
  </si>
  <si>
    <t>b39f4efa-0a20-4f25-8cd0-7d07f1af69f8</t>
  </si>
  <si>
    <t>2470_15</t>
  </si>
  <si>
    <t>2470/15</t>
  </si>
  <si>
    <t>Local Authorities Elections Ordinance (Chapter 262), Section 66A(1) - Election of new Vice-Chairperson of Irakkamam Pradeshiya Sabha, Ampara District</t>
  </si>
  <si>
    <t>පළාත් පාලන ආයතන ඡන්ද විමසීම් ආඥාපනත (262 අධිකාරය), 66අ(1) වගන්තිය - අම්පාර දිස්ත්‍රික්කයේ ඉරක්කාමම් ප්‍රාදේශීය සභාවේ නව උප සභාපති තේරීම</t>
  </si>
  <si>
    <t>உள்ளூராட்சி அதிகார சபைகள் தேர்தல்கள் கட்டளைச் சட்டம் (262 ஆம் அத்தியாயம்), 66அ(1) ஆம் பிரிவின் கீழ் - இரக்காமம் பிரதேச சபையின் புதிய உப தவிசாளர் தேர்வு</t>
  </si>
  <si>
    <t>Commissioner of Local Government, Eastern Province, A.L.M. Asmi, publishes selection of the new Vice-Chairperson of Irakkamam Pradeshiya Sabha (Ampara District) under Section 66A(1) of the Local Authorities Elections Ordinance. Meeting held 26 December 2025 at 10.00 a.m. at Irakkamam PS Hall, presided by the Chairperson, elected under Section 66(B). Effective publication date 05 January 2026.</t>
  </si>
  <si>
    <t>Local Authorities Elections Ordinance (Chapter 262)</t>
  </si>
  <si>
    <t>local_government</t>
  </si>
  <si>
    <t>m1/raw/2470_15.pdf</t>
  </si>
  <si>
    <t>Y%S ,xld m%cd;dka;%sl iudcjd§ ckrcfha .eiÜ m;%h
w;s úfYI
අංංක 2470/15 - 2026 ජනවාාරි මස 05 වාැනි සඳුදාා - 2026.01.05
^rcfha n,hmsg m%isoaO lrk ,§&amp;
IV ^wd&amp; jeks fldgi - m&lt;d;a md,kh
m&lt;d;a md,k wdh;k Pkao úuiSï wd{dmk; hgf;a oekaùï
(262 අංධිකාරය) පළාාත් පාලන ආයතන ඡන්දා විමසීම් ආඥාාපනත
පළාාත් පාලන ආයතන ඡන්ද විමසීම් ආඥාාපනතේත් 66 ඇ (1) වගන්තියට අනුකූලව මා තේවත ලබාාදී ඇති බාලතලවලට අනුව, 2025.12.26
වැනි දින තේප.ව. 10.00 ට අම්පාර දිස්්ත්‍රික්කතේ� ඉරක්කාමම් ප්‍රාාතේේශීය ස්භාාතේේ ස්භාා ශාාලාතේේදී පැවති රැස්්වීතේම් දී, පළාාත් පාලන ආයතන
ඡන්ද විමසීම් ආඥාාපනතේත් 66 (උ) වගන්තියට අනුව ගරු ස්භාාපතිතේ� ස්ම ප්‍රාධාානත්වතේයන් මා විසින් තේතා්රා ප්‍රාකාශායට පත් කරනු ලැබූ
නව උප ස්භාාපතිතේ� නම ස්හ විස්්තර දැක්තේවන පරිදි වන්තේන්ය.
ඒ. එල්. එම්. අංස්මි,
පළාාත් පාලන තේකාමස්ාරිස්්,
පළාාත් පාලන තේ දපාර්තතේම්න්තුව,
නැතේගනහිර පළාාත.
2026 ජනවාරි මස් 02 වැනි දින,
පළාාත් පාලන තේදපාර්තතේම්න්තුව,
නැතේගනහිර පළාාත,
කන්නියා පාර, වතේරා්දය නගර්,
ත්‍රිකුණාාමලය.
දිස්ත්‍රික්කය පළාාත් පාලන ආයතනයේ� නම උප සභාාපතියේ� නම
අම්පාර ඉරක්කාමම් ප්‍රාාතේේශීය ස්භාාව කරුදු තේලබ්තේබායි ස්මීම්
EOG 01 - 0044
1A - PG 7455 — 04 (2026/01) ශ්‍රී ලංකා රජතේ� මුද්‍රණා තේදපාර්තතේම්න්තුතේේ මුද්‍රණාය කරන ලදී.
fuu w;s úfYI .eiÜ m;%h www.documents.gov.lk fjí wvúfhka nd.; l&lt; yel'</t>
  </si>
  <si>
    <t>0d73b26b-91f3-446d-88d2-2647f7ea2e49</t>
  </si>
  <si>
    <t>2470_16</t>
  </si>
  <si>
    <t>2470/16</t>
  </si>
  <si>
    <t>Provincial Councils Act, No. 42 of 1987 — Appointment under Section 32(1) (Gazette 2470/16)</t>
  </si>
  <si>
    <t>1987 අංක 42 දරන පළාත් සභා පනතේ 32(1) වගන්තිය යටතේ පත් කිරීම</t>
  </si>
  <si>
    <t>1987 ஆம் ஆண்டின் 42 ஆம் இலக்க மாகாண சபைகள் சட்டத்தின் 32(1) ஆம் பிரிவின் கீழான நியமனம்</t>
  </si>
  <si>
    <t>Appointment notice under Section 32(1) of the Provincial Councils Act No. 42 of 1987. Part IV(A) — Provincial Councils.</t>
  </si>
  <si>
    <t>m1/raw/2470_16.pdf</t>
  </si>
  <si>
    <t>ශ්‍රී ලාංකා ප්‍රජාතාන්ත්‍රික සමාජවාාදී ජනරජවේ� �ැසට් පත්‍රය
අංති විවේ�ෂ
අංඅංංංකක 22447700//1166 -- 22002266 ජජනනවාවාාාරිරි මමසස 0055 වාවාැැනිනි සසඳුඳුදාදාාා -- 22002266..0011..0055
(rcfha n,hmsg m%isoaO lrk ,§)
IV (අං) වාැනි වේකාටස - පළාාත් සභාා
පළාාත් සභාා නිවේේදාන
නැවේ�නහිර පළාාවේත් පළාාත් සභාාවා
1987 වසරේේ අංංක 15 දරන ප්‍රාාරේේශීය සභාා පනත
නැරේ�නහිර පළාාරේ� ආණ්ඩුකාර ආචාාේය ජයන්ත ලාාල් ර�නරේසේකර වන මම, 1989 අංංක 12 දරන පළාා� සභාා (අංනුශාංාංගික විධිවිධාාන)
පනරේ� 2 වන ව�න්තිය සම� කියවිය යුතු 1987 අංංක 15 දරන ප්‍රාාරේේශීය සභාා පනරේ� 223 ව�න්තිය හාා 171 (ආ) ව�න්තිය යටරේ�
මා රේවත පැවරී ඇති බලාතලා ප්‍රාකාරව, එකී පනත යටරේ� නිශාංේචිතව දක්වා ඇති කාලා සීමාව සඳහාා මූලාය පරිපාලානය සහා ඊට අංනුෂාංාංගික
කරුණු සම්බන්ධාරේයන් පහාත දක්වා ඇති නීතිමය විධිවිධාාන ක්‍රියා�මක කිරීමට රේමයින් බලාය පවරමි.
ආචාාේය ජයන්ත ලාාල් රත්නවේසේකර,
ආණ්ඩුකාරවර,
නැරේ�නහිර පළාාත.
2026 ජනවාරි මස 01 වැනි දින,
ආණ්ඩුකාර රේල්කම් කාේයාලාය,
ඔේසේහීල්,
ත්‍රිකුණාාමලාය.
නිවේයාේ�ය
නැරේ�නහිර පළාාතට අංය� අංම්පාර දිසේත්‍රික් සීමාව තුළා පිහිටි නින්දවූේ ප්‍රාාරේේශීය සභාාරේේ සභාාපති තනතුර පුරප්පාඩු වීම රේහාේතුරේවන්,
2012 අංංක 22 දරන පළාා� පාලාන ආයතන ඡන්ද විමසීම් (සංරේශාංාේධාන) පනත මගින් සංරේශාංාේධිත පළාා� පාලාන ආයතන ඡන්ද විමසීම්
ආඥාාපනරේ� 66(උ) ව�න්තිය ප්‍රාකාරව නව සභාාපතිවරරේයකු රේතාේරා ප� කළා යුතුය. නමු�, නින්දවූේ ප්‍රාාරේේශීය සභාාව සඳහාා නව
1A - PG 7450 — 06 (2026/01)
fuu w;s úfYI .eiÜ m;%h www.documents.gov.lk fjí wvúfhka nd.; l&lt; yel'
2A IV^w&amp; jeks fldgi – YS% ,xld m%cd;dka;s%l iudcjd§ ckrcfha w;s úfYI .eiÜ m;%h - 2026'01'05
සභාාපතිවරරේයකු රේතාේරාප� කර �ැනීම සඳහාා පව�වන ලාද රැසේවීරේම්දී සභාාරේේ �ණාපුරණාය රේනාමැති වීම නිසා 2012 අංංක 22 දරන
පළාා� පාලාන ආයතන ඡන්ද විමසීම් (සංරේ ශාංාේධාන) පහාත මගින් සංරේශාංාේධිත පළාා� පාලාන ආයතන ඡන්ද විමසීම් ආඥාාපනරේ� 66 (ඈ)
ව�න්තිරේ� 3 වන උප ව�න්තිය ප්‍රාකාරව නව සභාාපතිවරරේයකු රේතාේරාප� කර �ැනීමට රේනාහාැකි විය. එබැවින්, නින්දවූේ ප්‍රාාරේේශීයේ
සභාාරේේ සභාාපති තනතුර පුරප්පාඩු වීම රේහාේතුරේවන්, 2026 වේෂාංයට අංදාළා අංයවැය වාේතාව ඉදිරිප� කිරීමට රේනාහාැකි විය. ඒ අංනුව,
නින්දවූේ ප්‍රාාරේේශීය සභාාරේේ 2026 වේෂාංයට අංදාළා අංතයවශාංය කටයුතු සිදු කිරීමට රේනාහාැකිවී ඇත. එබැවින් , නින්දවූේ ප්‍රාාරේේශීය සභාාරේේ
පුරප්පාඩු වී ඇති සභාාපති තනතුර සඳහාා ප� කිරීම් සිදු කරන රේතක් රේහාාේ නැතරේහාා� පනරේ� සඳහාන් රේවන� විධි විධාානයක් ක්‍රියා�මක
කරන රේතක්, අංම්පාර දිසේත්‍රික් පළාා� පාලාන සහාකාර රේකාමසාරිසේ රේවත පහාත උපරේල්ඛනරේ� නිශාංේචිතව දක්වා ඇති ක්‍රියාකාරකම් සිදු
කිරීමට මම රේමයින් බලාය පවරමි.
උපවේල්ඛනය :
01. පුනරාවේථන වියදම්
02. පළාා� නිශාංේචිත සංවේධාන ප්‍රාදාන, උපමාන පාදක ප්‍රාදාන සහා පළාා� සභාාරේේ අංනුමැතිය ලා� රේවන� වයාපෘති
EOG 01 - 0050
Y%S ,xld rcfha uqøK fomd¾;fïka;=fõ uqøKh lrk ,§'</t>
  </si>
  <si>
    <t>65aee990-d906-4fa5-bdb6-2ebf5f780373</t>
  </si>
  <si>
    <t>2470_17</t>
  </si>
  <si>
    <t>2470/17</t>
  </si>
  <si>
    <t>Provincial Councils Act, No. 42 of 1987 — Appointment under Section 32(1) (Gazette 2470/17)</t>
  </si>
  <si>
    <t>Appointment notice under Section 32(1) of the Provincial Councils Act No. 42 of 1987. Part IV(A) — Provincial Councils. References Provincial Councils Act amendments and 1947 Order Section 277.</t>
  </si>
  <si>
    <t>m1/raw/2470_17.pdf</t>
  </si>
  <si>
    <t>ශ්‍රී ලංකා ප්‍රජාතාාන්ත්‍රික සමාාජවාදී ජනරජතේ� ගැැසට් පත්‍රය
අති විතේ�ෂ
අංක 2470/17 - 2026 ජනවාරි මාස 05 වැනි සඳුදා - 2026.01.05
(රජතේ� බලයපිට ප්‍රසිද්ධ කරන ලදී)
IV (අ) වැනි තේකාටස - පළාා� සභාා
පළාා� සභාා නිතේේදන
උතුරු පළාාතේ� පළාා� සභාාව
උතුරු පළාාත් ගරු ආණ්ඩුකාාරතුමාාගේ� නිගේේදනය
1. 1989 අංංකා 12 දරන පළාාත් සභාා (ආනුෂංංගිිිකා විධිවිධාාන) පනගේත් 2 වන වගන්තිය සමාග කියවිය යුතු 1947 අංංකා 29 දරන මාහ නගර
සභාා අංඥාාපනගේත් (252 පරිච්ගේේදය) 277(1A) වගන්තිය යටගේත් පවත්වන ලද පරීක්ෂංණයක්.
2. උතුරු පළාාගේත් ආණ්ඩුකාාර නාගලිංංගම් ගේේදනායකාන් වන මාමා, 1947 අංංකා 29 දරන මාහ නගර සභාා අංඥාාපනගේත් (252 වන පරිච්ගේේදය)
2 වන වගන්තිය සමාග කියවිය යුතු 1989 අංංකා 12 දරන පළාාත් සභාා (ආනුෂංංගිිකා විධිවිධාාන) පනගේත් 2 වන වගන්තිගේයන් මාා ගේවත
පැවරී ඇති බලතල ප්‍රකාාරව, 1947 අංංකා 29 දරන මාහ නගර සභාා අංඥාාපනගේත් (252 වන පරිච්ගේේදය) 277 වන වගන්තිගේ� (1A) (B)
උපවගන්තිය යටගේත් විශ්‍රාාමිකා දිස්ත්‍රික් අංධිකාරණ මාගේහස්ත්‍රාාත්වරයා ගේපෟද්ගලිංකා විමාර්ශන මාණ්ඩලයක් ගේලස ගේමායින් පත් කාරමි.
1947 අංංකා 29 දරන මාහ නගර සභාා ආඥාාපනගේත් (252 වන පරිච්ගේේදය) 277 වන වගන්තිය (1) උප වගන්තියට අංනුව පහත සඳහන්
කාරුණු/ ගේ�ා්දනා සම්බන්ධාගේයන් වවුනියාව මාහ නගර සභාාගේේ ක්‍රියාකාාරකාම් විමාර්ශනය කිරීමා, පරීක්ෂංා කිරීමා සහ විමාර්ශනය කිරීමා
සඳහා මාාස ගේදකාක් ඇතුළාත වාර්තාවක් ඉදිරිපත් කිරීමා සඳහා මාමා කාන්දයියා ආරියනායකාම් මාහතා පත් කාර ඇත්ගේතමි.
3. විමාර්ශනය කාළා යුතු කාරුණු/ ගේ�ා්දනා:-
i. නගර සභාා ආඥාාපනගේත් 40(1)(f) වගන්තිය ප්‍රකාාරව සුදුසු අංවසරයක් ලබා ගේනාගේගන, ගේපාලිංස් ස්ථාානය ඉදිරිපිට වවුනියාව
නගර සභාාවට අංයත් ඉඩම් ගේකාාටස්වලට ගේබදා ගේවළාඳුන්ට ගේබදා දීගේමාන් නීතිගේයන් පවරා ඇති බලතල අංනිසි ගේලස භාාවිතා
කිරීමා.
ii. ගේපාලිංස් ස්ථාානය ඉදිරිපිට ඇති වවුනියාව නගර සභාාවට අංයත් ඉඩමා, සභාා ගේයා්ජනාව සම්මාත ගේනාකාර, ගේකාාටස්වලට ගේබදා
ගේවළාඳුන්ට ගේබදා දීගේමාන් නීතිගේයන් ලබා දී ඇති බලතල අංනිසි ගේලස භාාවිතා කිරීමා.
iii. ගේපාලිංස් ස්ථාානය ඉදිරිපිට ඇති වවුනියාව නගර සභාාවට අංයත් ඉඩමා ගේකාාටස්වලට ගේබදා ගේවළාඳුන්ට ගේබදා දීගේම්දී රජගේ�
ප්‍රසම්පාදන ක්‍රියා පටිපාටි අංනුගමානය ගේනාකිරීගේමාන් රාජකාාරි ඉටු කිරීගේම්දී විෂංමාා�ාරය.
1A - PG 7457 — 04 (2026/01)
fuu w;s úfYI .eiÜ m;%h www.documents.gov.lk fjí wvúfhka nd.; l&lt; yel'
2A IV^w&amp; jeks fldgi – YS% ,xld m%cd;dka;s%l iudcjd§ ckrcfha w;s úfYI .eiÜ m;%h - 2026'01'05
iv. ගේපාලිංස් ස්ථාානය ඉදිරිපිට වවුනියාව නගර සභාාවට අංයත් ඉඩමා, කිසිදු ගිිවිසුමාක් ගේහා් ගේකාාන්ගේද්සියක් අංත්සන් ගේනාකාර,
ගේකාාටස්වලට ගේබදා, ගේවළාඳුන්ට ගේබදා දීගේමාන්, අංකාාර්යක්ෂංමාතාව සහ වැරදි කාළාමානාකාරණය සිදු කාරන ලදී.
v. ගේපාලිංස ්සථා් ානය ඉදිරිපිට වවුනියාව නගර සභාාවට අංයත් ඉඩමා ගේකාාටසව් ලට ගේබදා ගේවළාඳුන්ට ගේබදා දුන් විට, රජගේ� තක්ගේස්රු
ගේදපාර්තගේම්න්තුව එමා ඉඩම් තක්ගේස්රු කාර කිසිදු බදු ගේගවීමාක් ලබා ගැනීමාට අංගේපාගේහාසත් වූ අංතර එමාගිින් එහි රාජකාාරි
උල්ලංඝනය විය.
vi තිරුනාවත්කුලම් ප්‍රධාාන ඇගේළා් කාැණීම් සහ අංලුත්වැඩියා කාටයුතු සම්බන්ධාගේයන් නගර සභාාගේේ ගේයා්ජනාව ක්‍රියාත්මාකා
ගේනාකිරීගේමාන් නීතිගේයන් පවරා ඇති බලතල අංනිසි ගේලස භාාවිතා කිරීමා.
vii තිරුනාවත්කුලම් ප්‍රධාාන ඇළා මාාර්ගය ප්‍රතිසංස්කාරණය කිරීගේම් ගේකාාන්ත්‍රාාත්තුව බණ්ඩාරවන්නියන් ප්‍රජා මාධායසථා් ානයට ප්‍රදානය
කාරන ලද අංතර එය 2025.09.15 දින අංත්සන් කාරන ලදී. ගේකාා්න්ත්‍රාාත්තුව අංත්සන් කාරන ලද්ගේද් නගරාධිපතිවරයා විසින්
පමාණි. ගේකාාන්ත්‍රාාත්තුව අංත්සන් ගේනාකාර වැඩ ප්‍රදානය කිරීගේමාන් නාගරිකා ගේකාාමාසාරිස්වරයා මාහ නගර සභාා ආඥාාපනගේත් 227
වගන්තිගේ� විධිවිධාානවලට පටහැනිව ක්‍රියා කාගේළා්ය.
viii තිරුනාවත්කුලම් ප්‍රධාාන ඇළා මාාර්ගය හෑරීගේම්දී කාැණීම් කාරන ලද පස් මාැණීමාට ලක් ගේනාකාළා අංතර නිශ්චිත ප්‍රමාාණය ලබා
ගේනාගත් අංතර කාැණීම් කාරන ලද පස් විවිධා ස්ථාානවලට බැහැර කාරන ලද අංතර, එහි ප්‍රතිඵලයක් ගේලස රාජකාාරි පැහැර හැරීමාක්
සිදුවිය.
නාගැලිංංගැම් තේේදනායගැන්"
උතුරු පළාාත් ආණ්ඩුකාාර.
2025 ගේදසැම්බර් මාස 31 වැනි දින,
ආණ්ඩුකාාර ගේල්කාම් කාාර්යාලය,
පැරණි උදයානය,
චුණ්ඩිකුලිං,
යාපනය'
EOG 01 - 0049
Y%S ,xld rcfha uqøK fomd¾;fïka;=fõ uqøKh lrk ,§'</t>
  </si>
  <si>
    <t>5119e8f5-c8a6-4a1d-b66a-5313c64c117d</t>
  </si>
  <si>
    <t>2470_18</t>
  </si>
  <si>
    <t>2470/18</t>
  </si>
  <si>
    <t>2023 Act No. 9, Section 32(2) — Information and Communication Technology Authority Notification (Gazette 2470/18)</t>
  </si>
  <si>
    <t>2023 අංක 9 දරන පනත, 32(2) වගන්තිය - තොරතුරු හා සන්නිවේදන තාක්ෂණ අධිකාරිය දැන්වීම</t>
  </si>
  <si>
    <t>2023 ஆம் ஆண்டின் 9 ஆம் இலக்க சட்டம், 32(2) ஆம் பிரிவு - தகவல் தொடர்பாடல் தொழில்நுட்ப அதிகார சபை அறிவித்தல்</t>
  </si>
  <si>
    <t>Notice by the Hon. Minister under Section 32(2) of Act No. 9 of 2023 amended by Act No. 26 of 2025, concerning Information and Communication Technology Authority operations and reporting. Part I — General. Dated 24 December 2025.</t>
  </si>
  <si>
    <t>Act No. 9 of 2023 (as amended)</t>
  </si>
  <si>
    <t>technology</t>
  </si>
  <si>
    <t>m1/raw/2470_18.pdf</t>
  </si>
  <si>
    <t>Y%S ,xld m%cd;dka;%sl iudcjd§ ckrcfha .eiÜ m;%h
w;s úfYI
,yq;ifr; rdehaf Nrhryprf; FbauR th;j;jkhdg; gj;jphpif
mjp tpNr\khdJ
wxl 2470$18 - 2026 ckjdß ui 05 jeks i÷od - 2026'01'05
2470/ 18 Mk; ,yf;fk; - 2026 Mk; Mz;L rdtup khjk; 05 Me; jpfjp jpq;fl;fpoik
(murhq;fj;jpd; mjpfhuj;Jld; gpuRhpf;fg;gl;lJ)
gFjp I : njhFjp (I) - nghJ
murhq;f mwptpj;jy;fs;
இஇலலஞ்ஞ்சசம்ம் அஅல்ல்லலதுது ஊஊழழல்ல் பபற்ற்றிறிிியய சசாார்ர்த்த்துதுததல்ல்ககளைளைைைப்ப் புபுலலனானாாாய்ய்வுவு செசெசசய்ய்வவததற்ற்ககாானானா ஆஆளைளை��க்க்குகுழுழு
22002233 ஆஆம்ம் ஆஆண்ண்டிடின்ன் 99 ஆஆம்ம் இஇலலக்க்கக ஊஊழழல்ல் எஎததிிர்ர்ப்ப்புபுச்ச் சசட்ட்டடம்ம்
2023 ஆம் ஆண்டின் 9 ஆம் இலக்க, ஊழல் எதிர்ப்புச் சட்டத்தின் 32(2) ஆம் பிாிவுடன் சேசர்த்து வாசிக்கப்படும் 157 (1) ஆம் பிாிவின்
கீழ் இலஞ்சம் அல்லது ஊழல் பற்றிிய சார்த்துதல்களைைப் புலனாாய்வு செசய்வதற்கானா ஆளை�க்குழுவினாால் ஆக்கப்படும் விதிகள்.
நீீதிபதி டபிள்யூ. எம். என். பி. இத்தசெவல, சேக. பீ. ராஜபக் ஷ, சனாாதிபதி சட்டத்தர�ி சேசதிய கு�சேசகர,
தவிசாைர். ஆளை�யளர். ஆண�யாாளர்.
இலஞ்சம் அல்லது ஊழல் பற்றிிய சார்த்துதல்களைைப் புலனாாய்வு செசய்வதற்கானா ஆளை�க்குழு,
2025, தி செசம்பர் 24.
2023 ஆம் ஆண்டின் 9 ஆம் இலக்க, ஊழல் எதிர்ப்புச் சட்டத்தின் 26(4), (5), (8) மற்றும் (9) ஆம் பிாிவுகைின் கீழ்
ஆளை�க்குழுவின் ப�ியாட்செதாகுதிக்கு தற்காலிகமாக நீியமிக்கப்படும் உத்திசேயாகத்தர்கள் மற்றும் ஊழியர்களுக்கு ஏற்புளைடய
விதிகள்.
இந்த விதிகள் 2026, சனாவாி 01 ஆந் திகதி முதல் செசயல்வலுப்செபறும்.
இந்த விதிகள் மூலம் எடுத்துளைரக்கப்படாத ஏசேதனும் விடயம் செதாடர்பிலானா செபாருள்சேகாடல் மற்றும் தீர்மானாங்கள் 2023
ஆம் ஆண்டின் 09 ஆம் இலக்க ஊழல் எதிர்ப்புச் சட்டத்தின் ஏற்பாடுகளுக்கு உட்பட்டு ஆளை�க்குழுவினாால் சேமற்செகாள்ைப்படல்
சேவண்டும்.
1A – PG 7453 – 04 (2025/12)
,t; mjp tpNrl tu;j;jkhdpia www.documents.gov.lk vd;Dk; ,izaj;jsj;jpypUe;J gjptpwf;fk; nra;a KbAk;.
2A I fldgi ( ^I&amp; fPoh - YS% ,xld m%cd;dka;s%l iudcjd§ ckrcfha w;s úfYI .eiÜ m;%h - 2026'01'05
gFjp I : njhFjp (I) - ,yq;ifr; rdehaf Nrhryprf; FbauR tu;j;jkhdg; gj;;jpupif - mjp tpNr\khdJ - 2026.01.05
வவிிததிிககள்ள்
1. இந்த விதிகள் 2023 ஆம் ஆண்டின் 09 ஆம் இலக்க ஊழல் எதிர்ப்புச் சட்டத்தின் 26(4), (5), (8) மற்றும் (9) ஆம்
உட்பிாிவுகைின் கீழ் ஆளை�க்குழுவின் ப�ியாட்செதாதிக்கு தற்காலிகமாக நீியமிக்கப்படும் உத்திசேயாகத்தர்கள் மற்றும்
சேவறு ஊழியர்கள் செதாடர்பில் சட்டத்தின் 32 (1) ஆம் பிாிவின் சேநீாக்கங்களுக்கானா விதிகைாக குறிிப்பிடப்படும்.
2. ஆளை�க்குழுவினாால் விசேசடமாக தீர்மானாிக்கப்படும் விடயங்கள் தவிர்ந்த 2023 ஆம் ஆண்டின் 09 ஆம் இலக்க
ஊழல் எதிர்ப்புச் சட்டத்தின் ஏற்பாடுகளுக்கு இளையபுளைடயதாகாத, இலங்ளைகச் சனாநீாயக சேசாசலிசக் குடியரசின் தாபனா
விதிக்சேகாளைவ, நீிதி ஒழங்கு விதிகள் மற்றும் அவற்றுக்கு ஏற்புளைடயதாக அவ்வப்சேபாது பின்னார் செவிியிடப்பட்ட மற்றும்
செவிியிடப்படும் சுற்றிறிிக்ளைககள் மூலம் செசய்யப்படும் திருத்தங்கைின் ஏற்பாடுகள் மற்றும் ஏற்புளைடய உத்திசேயாகத்தர்கள்
மற்றும் ஊழியர்கள் செதாடர்பில் செவிியிடப்படும் அரசாங்கத்தின் சேவறு ஒழுங்கு விதிகள், சுற்றிறிிக்ளைககள் மற்றும்
அறிிவுறுத்தல்கள் மற்றும் அவற்றுக்கு ஏற்புளைடயதாக அவ்வப்சேபாது செவிியிடப்படும் திருத்தங்கள் மற்றும்
சேதளைவசேயற்படுமிடத்து அரசாங்க சேசளைவ ஆளை�க்குழு அல்லது அவ்வாறிானா சேவறு உத்திசேயாகத்தளைரக் செகாண்டு நீியமனா
அதிகாாி மூலம் செவிியிடப்பட்ட விதிகள், ஒழுங்குவிதிகள், கட்டளைைகள் மற்றும் நீளைடமுளைறி விதிகள் சட்டத்தின் 26,(4),
(5), (8) மற்றும் (9) ஆம் உட்பிாிவுகைின் கீழ் ஆளை�க்குழுவின் ப�ியாட்செதாகுதிக்கு தற்காலிகமாக நீியமிக்கப்படும்
உத்திசேயாகத்தர்கள் மற்றும் சேவறு ஊழியர்கள் செதாடர்பில் சட்டத்தின் 32 (1) ஆம் பிாிவின் சேநீாக்கங்களுக்காக
ஏற்புளைடயதாகும்.
3. இந்த விதிகைில் :
i. “சட்டம்” என்பது 2023 ஆம் ஆண்டின் 09 ஆம் இலக்க ஊழல் எதிர்ப்புச் சட்டம் எனாப் செபாருள்படும்.
ii. “ஆளை�க்குழு” என்பது 2023 ஆம் ஆண்டின் 09 ஆம் இலக்க ஊழல் எதிர்ப்புச் சட்டத்தின் 3(1) ஆம் பிாிவின் கீழ்
தாபிக்கப்பட்டுள்ை இலஞ்சம் அலலது ஊழல் பற்றிிய சார்த்துதல்களைைப் புலனாாய்வு செசய்வதற்கானா ஆளை�க்குழு
எனாப் செபாருள்படும்.
iii. தாபனா விதிக் சேகாளைவயில் “திளை�க்கைத் தளைலவர்” என்பது 2023 ஆம் ஆண்டின் 09 ஆம் இலக்க ஊழல் எதிர்ப்புச்
சட்டத்தின் 17(1) ஆம் பிாிவிற்களைமய சட்டத்தின் கீழ் ளைகயைிக்கப்பட்டுள்ை தத்துவங்களைைப் பிரசேயாகிப்பதற்கும்
செசயற்படுத்துவதற்கும் ஆளை�க்குழுவுக்கு நீியமிக்கப்பட்டுள்ை ப�ிப்பாைர் நீாயகம் எனாப் செபாருள்படும்.
EOG 01-0038
,yq;if murhq;f mr;Rj; jpizf;fsj;jpw; gjpg;gpf;fg;ngw;wJ.</t>
  </si>
  <si>
    <t>830e9a0f-332c-4a69-a946-3be174f522d8</t>
  </si>
  <si>
    <t>2470_19</t>
  </si>
  <si>
    <t>2470/19</t>
  </si>
  <si>
    <t>United Nations Act, No. 45 of 1968 — Regulation implementing UN obligations (Gazette 2470/19)</t>
  </si>
  <si>
    <t>1968 අංක 45 දරන එක්සත් ජාතීන්ගේ සංවිධාන පනත - එක්සත් ජාතීන්ගේ බැඳීම් ක්‍රියාත්මක කිරීම</t>
  </si>
  <si>
    <t>1968 ஆம் ஆண்டின் 45 ஆம் இலக்க ஐக்கிய நாடுகள் சபை சட்டம் - ஐ.நா. கடப்பாடுகள் நடைமுறை</t>
  </si>
  <si>
    <t>Regulation made under the United Nations Act, No. 45 of 1968 implementing UN Security Council resolutions (typically sanctions or counter-terrorism financing measures).</t>
  </si>
  <si>
    <t>United Nations Act, No. 45 of 1968</t>
  </si>
  <si>
    <t>public_security</t>
  </si>
  <si>
    <t>m1/raw/2470_19.pdf</t>
  </si>
  <si>
    <t>8c8a2db1-2ae2-4036-8135-2f30405fc480</t>
  </si>
  <si>
    <t>2470_20</t>
  </si>
  <si>
    <t>2470/20</t>
  </si>
  <si>
    <t>Public and Subsidiary Societies (Registration) Act No. 22 of 2002 — Notice (Gazette 2470/20)</t>
  </si>
  <si>
    <t>Notice under the Public and Subsidiary Societies (Registration) Act No. 22 of 2002. Part I — General.</t>
  </si>
  <si>
    <t>m1/raw/2470_20.pdf</t>
  </si>
  <si>
    <t>I fldgi ( ^I&amp; fPoh - YS% ,xld m%cd;dka;s%l iudcjd§ ckrcfha w;s úfYI .eiÜ m;%h - 2025'12'22
1A
gFjp I : njhFjp (I) - ,yq;ifr; rdehaf Nrhryprf; FbauR tu;j;jkhdg; gj;;jpupif - mjp tpNr\khdJ - 2025.12.22
mjp tpNr\khdJ
wxl 2470$20 - 2026 ckjdß ui 06 jeks w`.yrejdod - 2026'01'06
2470/ 20 Mk; ,yf;fk; - 2026 Mk; Mz;L rdtup khjk; 06 Me; jpfதி nrt;tha;f;கிoik
(murhq;fj;jpd; mjpfhuj;Jld; gpuRupf;fg;gl;lJ)
gFjp I : njhFjp (I) - nghJ
murhq;f mwptpj;jy;fs;
1968 Mk; Mz;bd; 45Mk; ,yf;f&gt; If;fpa ehLfs; rigr; rl;lk;
2012 Mk; Mz;bd; 1 Mk; ,yf;f, If;fpa ehLfs; rig xOq;Ftpjpfspd; 5 Mk ;
xOq;Ftpjpapd; fPohd fl;lis
2012 Mz;L Nk khjk; 15 Me; jpfjpa 1758/19 Mk; ,yf;f mjptpNrl tu;j;jkhdpapy; ntspaplg;gl;l 2012 Mk;
Mz;bd; 1 Mk; ,yf;f, If;fpa ehLfs; rig xOq;Ftpjpfspd; Nehf;fj;Jf;fhf jFjptha;e;j mjpfhupahf
epakpf;fg;gl;L nrhy;yg;gl;l xoq;Ftpjpfspd; 5 Mk; xOq;Ftpjpapdhy; vdf;Fupj;jhff; g;gl;l jj;Jtq;fspd; epajpf-
spd;gb nrayhw;Wfpd;wtUkhd `hbfyNf rk;gj; r[Pt Ja;anfhe;jh Mfpa ehd,; NkNyAs;s xOq;Ftpjpfspd; 4
Mk; xOq;Ftpjpapd;fPOk; kw;Wk; fhyj;Jf;Ffhyk ; jpUj;jg;gl;lthwhdJk; 2026 Mk; Mz;L rdtup khjk; 06 Me;
jpfjpa 2470/19 Mk; ,yf;f mjptpNrl tu;j;jkhdpapy; ntspaplg;gl;l gl;baYf;fhd jpUj;jj;jpdhy; filrpahfj;
jpUj;jg;gl;lthwhdJkhd 2014 Mk; Mz;L khu;r; khjk; 21 Me; jpfjpa 1854/41 Mk; ,yf;f mjptpNrl
tu;j;jkhdpapy; ntspaplg;gl;l ngau;Fwpj;J epakpf;fg;gl;L gl;bayplg;gl;lJkhd vtNuDk; ,aw;if my;yJ rl;l
Ms; my;yJ VNjDk; FO my;yJ cUtfj;Jf;Fr; nrhe;jkhd my;yJ mtw;wpdhy; nrhe;jq;nfhs;sg;gl;l
my;yJ itj;jpUf;fg;gl;l vy;yh epjpaq;fs,; Vida epjprhu; nrhj;Jf;fs; kw;Wk ; nghUshjhu tsq;fs;
vd;gtw;iw ,f; fl;lis %yk;; Klf;Ffpd;Nwd;.
2025 Mk; Mz;L Nk khjk; 30 Me; jpfjpa 2438/48 Mk; ,yf;f mjptpNrl tu;j;jkhdpapy ntspaplg;gl;l 2012
Mk; Mz;bd; 1 Mk; ,yf;f, If;fpa ehLfs; rig xOq;Ftpjpfspd; 5 Mk; xOq;Ftpjpapd;fPo; Mf;fg;gl;l
fl;lisfs;. mjd;fPo; nra;ag;gl;l vjw;Wf;Fk; gq;fkpd;;wp ,j;jhy; ,y;yhnjhopf;fg;gLfpd;wd.
Vahu; it]; khu;\y; rk;gj; Ja;anfhd;jh (Xa;Tngw;w)
lgps;A+lgps;A+tP Mu;lgps;A+gP (%d;WKiw)
Mu;v];gP (,uz;LKiw)&gt; A+v];gP&gt; vkv; kv; ];rP
(%Nyhgha Ma;Tfs; - rPdh)&gt; vk;v];r P (ghJfhg;G Ma;Tfs;)&gt;
Kfhikj;Jtk;&gt; vk;v];rP (ghJfhg;G kw;Wk;
%Nyhgha Ma;Tfs;)&gt; vg;vd;BA+ (rPdh)&gt; gPv];rP.
nrayhsu;&gt;
ghJfhg;G mikr;R&gt;
jFjptha;e;j mjpfhhp.
2026 [dtup khjk; 06 jpfjp.
nfhOk;G.
EOG 01-0046
1A - G 46028 - 10 (2026/01) இலங் கக அரசாங்க அச்சுத் திகைக்களத்திற் பதிப்பிக்கப்பபற்றது
இவ்வர்த்தமானிகை www.documents.gov.lk எனும் இகைைத்தளத்திலிருந்து பதிவிறக்கம் பசய்ை முடியும்.</t>
  </si>
  <si>
    <t>0b8fe431-ee8e-4912-9d07-b3d2d124986b</t>
  </si>
  <si>
    <t>2470_21</t>
  </si>
  <si>
    <t>2470/21</t>
  </si>
  <si>
    <t>Ceylon Petroleum Corporation Act No. 28 of 1961, Order under Section 66 - Fuel Price Revision effective 05 January 2026 midnight</t>
  </si>
  <si>
    <t>1961 අංක 28 දරන ලංකා ඛනිජ තෙල් නීතිගත සංස්ථා පනත, 66 වැනි වගන්තිය යටතේ නියෝගය - 2026 ජනවාරි 05 මධ්‍යම රාත්‍රී 12.00 සිට ඉන්ධන මිල සංශෝධනය</t>
  </si>
  <si>
    <t>1961 ஆம் ஆண்டின் 28 ஆம் இலக்க இலங்கை பெற்றோலியக் கூட்டுத்தாபனச் சட்டம், 66 ஆவது பிரிவின் கீழ் கட்டளை - 2026 சனவரி 05 நள்ளிரவு 12.00 முதல் எரிபொருள் விலை திருத்தம்</t>
  </si>
  <si>
    <t>Minister of Power and Energy, Eng. Kumara Jayakody, revises retail fuel prices effective midnight 05 January 2026. New per-litre prices: Lanka Auto Diesel Rs.279 (was 277), Lanka Petrol 95 Octane Euro 4 Rs.340 (was 335), Lanka Super Diesel 4 Star Euro 4 Rs.323 (was 318), Lanka Kerosene Rs.182 (was 180). Issued 05 January 2026 from Colombo.</t>
  </si>
  <si>
    <t>Ceylon Petroleum Corporation Act, No. 28 of 1961</t>
  </si>
  <si>
    <t>energy</t>
  </si>
  <si>
    <t>rate_change</t>
  </si>
  <si>
    <t>A small-business van consuming 100 L of Auto Diesel/month sees monthly fuel cost rise by Rs. 200 (from Rs. 27,700 to Rs. 27,900).</t>
  </si>
  <si>
    <t>m1/raw/2470_21.pdf</t>
  </si>
  <si>
    <t>Y%S ,xld m%cd;dka;%sl iudcjd§ ckrcfha .eiÜ m;%h
w;s úfYI
,yq;ifr; rdehaf Nrhryprf; FbauR th;j;jkhdg; gj;jphpif
mjp tpNr\khdJ
wxl 2470$21 - 2026 ckjdß ui 06 jeks w`.yrejdod - 2026'01'06
2470/ 21 Mk; ,yf;fk; - 2026 Mk; Mz;L rdtup khjk; 06 Me; jpfjp nrt;tha;f;fpoik
(murhq;fj;jpd; mjpfhuj;Jld; gpuRupf;fg;gl;lJ)
gFjp I : njhFjp (I) - nghJ
murhq;f mwptpj;jy;fs;
1961 Mk; Mz;bd; 28 Mk; ,yf;f ,yq;if ngw;Nwhypaf; $l;Lj;jhgdr; rl;lk;
66 MtJ gphptpd; fPohd fl;lis
1961 Mk ;Mzb; d ;28 Mk ;,yff; ,yqi; f ngwN; whypaf ;$lL; jj; hgd rll; jj; pd ;66 MtJ gphptpd ;foP ;vdfF; toqf; gg; lL; ss;
mjpfhuq;fspd;gb&gt; ,yq;ifr; rdehaf Nrhrypr Fbaurpd; tYrf;jp mikr;ru; nghwpapayhsh; Fkhu [anfhb Mfpa
ehd;&gt; fPo;tUk; gb 2026&gt; rdtup 05 Me; jpfjp es;spuT 12.00 kzp Kjy; mKYf;F tUk; tifapy; vhpnghUs; tpiyapid
jpUj;jpaikf;fpd;Nwd;.
vhpnghUs; tif jw;Nghija tpiy jpUj;jpaikf;fg;gl;l tpiy
(yPw;wh; xd;Wf;F) (yPw;wh; xd;Wf;F)
yq;fh Xl;Nlh Bry; &amp;. 277.00 &amp;. 279.00
yq;fh ngw;Nwhy; 95 xf;Nld; a{Nwh 4 &amp;. 335.00 &amp;. 340.00
yq;fh Rg;gh; Bry; 4 ];uhh; a{Nwh 4 &amp;. 318.00 &amp;. 323.00
yq;fh kz;nzz;nza; &amp;. 180.00 &amp;. 182.00
xg;gk; / nghwpapayhsh; Fkhu [anfhb&gt;
tYrf;jp mikr;rh;.
2026&gt; rdtup 05 Me; jpfjp&gt;
nfhOk;gpy;.
EOG 01 - 012
1A - G 46082 — 04 (2026/01) ,yq;if murhq;f mr;Rj; jpizf;fsj;jpw; gjpg;gpf;fg;ngw;wJ.
,t; mjptpNrl tu;j;jkhdpia www.documents.gov.lk vDk; ,izaj;jsj;jpypUe;J gjptpwf;fk; nra;a KbAk;.</t>
  </si>
  <si>
    <t>50dbf922-80b6-4557-91e9-6a7c9e9705f4</t>
  </si>
  <si>
    <t>2470_22</t>
  </si>
  <si>
    <t>2470/22</t>
  </si>
  <si>
    <t>Provincial Councils Act, No. 42 of 1987 — Appointment under Section 32(1) (Gazette 2470/22)</t>
  </si>
  <si>
    <t>Appointment notice published under Section 32(1) of the Provincial Councils Act No. 42 of 1987, naming/confirming a Provincial Council officer (typically Vice-Chairman). Part IV(A) — Provincial Councils.</t>
  </si>
  <si>
    <t>m1/raw/2470_22.pdf</t>
  </si>
  <si>
    <t>Y%S ,xld m%cd;dka;%sl iudcjd§ ckrcfha .eiÜ m;%h
w;s úfYI
,yq;ifr; rdehaf Nrhryprf; FbauR th;j;jkhdg; gj;jphpif
mjp tpNr\khdJ
wxl 2470$22 - 2026 ckjdß ui 07 jeks nodod - 2026'01'07
2470/ 22 Mk; ,yf;fk; - 2026 Mk; Mz;L rdtup khjk; 07 Me; jpfjp Gjd;fpoik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அஅத்த்திதிிியாயாாாயாயாமாமாாானன)) உஉள்ள்ளூளூர்ர் அஅதிதிிிகாகாாாரர சசபைபைைைகாகாள்ள் தேதேதிதிர்ர்திதில்ல்காகாள்ள் காகாட்ட்டடபைபைைைச்ச் சசட்ட்டடத்த்திதிிின்ன் 6666அஅ((11)) ஆஆம்ம்
ைைிிாாிிவிவிிின்ன் காகாீீழ்ழ் தெதெதிதிஹிஹிிிதேதேயாயாாாவிவிிிட்ட்டட ைைிிரரதேதேதிதிசச சசபைபைைையாயாிின்ன் உஉறுறுப்ப்ைைிினனர்ர் ஒஒருருவிவிாாிின்ன் ைைதிதிவிவிிியாயாிிலாலாாானன தெதெவிவிற்ற்றிறிிிடடத்த்பைபைதிதி நிநிிிரரப்ப்புபுதிதில்ல்
தெதெதிதிஹிஹிிிதேதேயாயாாாவிவிிிட்ட்டட ைைிிரரதேதேதிதிசச சசபைபைைையாயாிின்ன் தெதெதிதிாாிிந்ந்தெதெதிதிடுடுத்த்துது அஅனுனுப்ப்ைைப்ப்ைைட்ட்டட உஉறுறுப்ப்ைைிினனர்ர் ஒஒருருவிவிாாிின்ன் ைைதிதிவிவிிி அஅனுனுமாமாதிதிிி தெதெைைறிறிாாதுது தெதெதிதிாாடடர்ர்ச்ச்சசிியாயாாாகாகா
மூமூன்ன்றுறு சசபைபைைைக்க் கூகூட்ட்டடங்ங்காகாளுளுக்க்குகு சசமுமுகாகாமாமாைைிிக்க்காகாாாபைபைமாமா காகாாாரரணணமாமாாாகாகா தெதெவிவிற்ற்றிறிிிடடமாமாாாகாகாிியாயாிிருருக்க்காகாிின்ன்றிறிதிதிாாதிதிலாலாாாலுலும்ம்;;
தேதேமாமாற்ற்குகுறிறிிித்த்திதி காகாட்ட்டடபைபைைைச்ச் சசட்ட்டடத்த்திதிிின்ன் 6666அஅ((11)) ஆஆம்ம் ைைிிாாிிவிவிிின்ன் காகாீீழ்ழ்,, தெதெதிதிஹிஹிிிதேதேயாயாாாவிவிிிட்ட்டட ைைிிரரதேதேதிதிசச சசபைபைைைக்க்குகு தெதெதிதிாாிிந்ந்தெதெதிதிடுடுத்த்துது
அஅனுனுப்ப்ைைப்ப்ைைட்ட்டுடுள்ள்ைை உஉறுறுப்ப்ைைிினனரராாகாகா தெதெதிதிாாிிவுவு தெதெசசய்ய்யாயாப்ப்ைைட்ட்டட உஉடடவிவிலாலாாாதேதேகாகா திதிீீைைிிகாகாாா ைைிிாாிியாயாதிதிர்ர்ஷஷனனீீ எஎன்ன்ைைவிவிர்ர் அஅங்ங்காகாம்ம் விவிகாகாிிக்க்காகாிின்ன்றிறி ஐஐக்க்காகாிியாயா
மாமாக்க்காகாள்ள் சசக்க்திதிிி எஎன்ன்றிறி அஅங்ங்காகாீீகாகாாாிிக்க்காகாப்ப்ைைட்ட்டட அஅரரசசிியாயால்ல் காகாட்ட்சசிியாயாிின்ன் தெதெசசயாயாலாலாாாைைர்ர் முமுப்ப்ைைதுது ((3300)) நிநிாாட்ட் காகாாாலாலாக்க்தெதெகாகாடுடுவுவுக்க்குகுள்ள்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தேதேவிவிட்ட்ைைாாைைதெதெரராாருருவிவிரராாகாகா,,
உஉறுறுப்ப்ைைிினனதெதெரராாருருவிவிரராாகாகா தேதேதிதிர்ர்ந்ந்தெதெதிதிடுடுக்க்காகாப்ப்ைைட்ட்டடவிவிதெதெரரனன தெதெவிவிைைிிப்ப்ைைடுடுத்த்திதிப்ப்ைைடட தேதேவிவிண்ண்டிடியாயாவிவிருரும்ம் அஅக்க்காகாட்ட்சசிிபைபையாயாச்ச் தேதேசசர்ர்ந்ந்திதிவிவிருருமாமாாானன
தெதெதிதிஹிஹிிிதேதேயாயாாாவிவிிிட்ட்டட ைைிிரரதேதேதிதிசச சசபைபைைையாயாிின்ன் தெதெதிதிாாிிந்ந்தெதெதிதிடுடுத்த்துது அஅனுனுப்ப்ைைப்ப்ைைட்ட்டுடுள்ள்ைை உஉறுறுப்ப்ைைிினனர்ர் தெதெதிதிாாடடர்ர்ைைாாகாகா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அஅரரசசிியாயால்ல் காகாட்ட்சசிியாயாிின்ன் தெதெசசயாயாலாலாாாைைாாிினனாால்ல் அஅவ்வ்தெதெவிவிற்ற்றிறிிிடடத்த்பைபைதிதி நிநிிிரரப்ப்புபுவிவிதிதிற்ற்காகாாாகாகா தெதெதிதில்ல்தேதேகாகா
தெதெயாயானனாாலிலி சசதேதேமாமாாாதிதிிி நிநிதிதிீீரராா பீபீாாிிஸ்ஸ் எஎன்ன்ைைவிவிபைபைரரப்ப் தெதெைையாயார்ர் குகுறிறிிித்த்துது நிநிிியாயாமாமாிிக்க்குகும்ம் திதிமாமாதுது முமுடிடிவிவிிிபைபைனன அஅறிறிிிவிவிிித்த்துதுள்ள்ைைாாரராாதிதிலாலாாாலுலும்ம் ;;
தெதெதிதிஹிஹிிிதேதேயாயாாாவிவிிிட்ட்டட ைைிிரரதேதேதிதிசச சசபைபைைையாயாிின்ன் தெதெதிதிாாிிவிவித்த்திதிாாட்ட்சசிி அஅலுலுவிவிலாலாரராானன காகாஸ்ஸ்துதுாாிிசசிிங்ங்ஹிஹி தேதேஹிஹிரரத்த் முமுதிதிிியாயான்ன்தேதேசசலாலாாாதேதேகாகா சசஜிஜிிித்த் ைைிிாாிியாயாங்ங்காகாரர
காகாஸ்ஸ்துதுாாிிசசிிங்ங்ஹிஹி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தெதெசசயாயாற்ற்ைைட்ட்டுடு தெதெதிதில்ல்தேதேகாகா தெதெயாயானனாாலிலி சசதேதேமாமாாாதிதிிி நிநிதிதிீீரராா பீபீாாிிஸ்ஸ் எஎன்ன்ைைவிவிர்ர் தெதெதிதிஹிஹிிிதேதேயாயாாாவிவிிிட்ட்டட ைைிிரரதேதேதிதிசச சசபைபைைையாயாிின்ன்
தெதெதிதிாாிிந்ந்தெதெதிதிடுடுத்த்துது அஅனுனுப்ப்ைைப்ப்ைைட்ட்டுடுள்ள்ைை உஉறுறுப்ப்ைைிினனர்ர் ஒஒருருவிவிரராாகாகாத்த் தேதேதிதிர்ர்ந்ந்தெதெதிதிடுடுக்க்காகாப்ப்ைைட்ட்டுடுள்ள்ைைதிதிாாகாகா இஇத்த்திதிாால்ல் தெதெவிவிைைிிப்ப்ைைடுடுத்த்துதுகாகாிின்ன்தேதேறிறின்ன்..
தேதேகாகா.. எஎச்ச்.. எஎம்ம்.. சசஜிஜிிித்த் பீபீ.. காகாஸ்ஸ்துதுாாிிசசிிங்ங்ஹிஹி,,
தெதெதிதிாாிிவிவித்த்திதிாாட்ட்சசிி அஅலுலுவிவிலாலார்ர்,,
தெதெதிதிஹிஹிிிதேதேயாயாாாவிவிிிட்ட்டட ைைிிரரதேதேதிதிசச சசபைபைைை..
மாமாாாவிவிட்ட்டடத்த் தேதேதிதிர்ர்திதில்ல்காகாள்ள் அஅலுலுவிவிலாலாகாகாம்ம்,,
தேதேகாகாகாகாாாபைபைலாலா,,
22002266,, சசனனவிவிாாிி� � 0066..
EEOOGG 0011 -- 00004477
1A - PG 7456 — 09 (2026/01) ,yq;if murhq;f mr;Rj; jpizf;fsj;jpw; gjpg;gpf;fg;ngw;wJ.
,t; mjptpNrl tu;j;jkhdpia www.documents.gov.lk vDk; ,izaj;jsj;jpypUe;J gjptpwf;fk; nra;a KbAk;.</t>
  </si>
  <si>
    <t>97f0e046-52bf-42bb-b9e7-1e37a350c95d</t>
  </si>
  <si>
    <t>2470_23</t>
  </si>
  <si>
    <t>2470/23</t>
  </si>
  <si>
    <t>Citizenship Act, No. 18 of 1948 — General Notification (Gazette 2470/23)</t>
  </si>
  <si>
    <t>1948 අංක 18 දරන පුරවැසි පනත යටතේ දැන්වීම</t>
  </si>
  <si>
    <t>1948 ஆம் ஆண்டின் 18 ஆம் இலக்க பிரஜாவுரிமைச் சட்டத்தின் கீழ் அறிவித்தல்</t>
  </si>
  <si>
    <t>Notice under the Sri Lanka Citizenship Act, published in Part I — General. Reference PS/CSA/00/12/04.</t>
  </si>
  <si>
    <t>Citizenship Act, No. 18 of 1948</t>
  </si>
  <si>
    <t>m1/raw/2470_23.pdf</t>
  </si>
  <si>
    <t>Y%S ,xld m%cd;dka;%sl iudcjd§ ckrcfha .eiÜ m;%h
w;s úfYI
,yq;ifr; rdehaf Nrhryprf; FbauR tu;j;jkhdg; gj;jpupif
mjp tpNr\khdJ
wxl 2470$23 - 2026 ckjdß ui 07 jeks nodod - 2026'01'07
2470/ 23 Mk; ,yf;fk; - 2026 Mk; Mz;L rdtup khjk; 07 Me; jpfjp Gjd;fpoik
(murhq;fj;jpd; mjpfhuj;Jld; gpuRupf;fg;gl;lJ)
gFjp I : njhFjp (I) - nghJ
rdhjpgjpapd; epakdq;fSk; gpwTk;
2025 இன் இல. 768/1
ச.அ.இல. : PS/CSA/00/12/04
க�ௌரவ சனாாதிிபதிியவர்�ளாால் 1987 ஆம் ஆண்டின் 42 ஆம் இலக்� மாா�ாண சபைப�ள் சட்டத்திின் 31 ஆவது பிாிவின் பிர�ாரம்,
2025, திிகசம்பர் மாாதிம் 19 ஆம் திி�திியிலிருந்து நபைடமுபைைக்கு வரத்திக்�திா� கதின் மாா�ாணத்திின் பிரதிமா கசயலாளாரா�
திிரு. சந்திிமா சீ. மு�ந்திிரம்கே� அவர்�ள் நியமானாம் கசய்யப்பட்டுள்ளாாகரனா இத்திால் அைிவிக்�ப்படு�ின்ைது.
க�ௌரவ சனாாதிிபதிியவர்�ளாின் ஆபைணப்படி
�லாநிதிி எஎன்ன்.. எஎஸ்ஸ்.. குகுமாமாாாநநாாயயக்க்��,
சனாாதிிபதிியின் கசயலாளார்.
க�ாழும்பு 01,
சனாாதிிபதிி அலுவல�ம்,
2026 சனாவாி மாாதிம் 06 ஆம் திி�திி.
EOG 01-0048
,yq;if murhq;f mr;Rj; jpizf;fsj;jpw; gjpg;gpf;fg;ngw;wJ.
1A - PG 7458 — 355 (2026/01)
,t; mjptpNrl tu;j;jkhdpia www.documents.gov.lk vDk; ,izaj;jsj;jpypUe;J gjptpwf;fk; nra;a KbAk;.</t>
  </si>
  <si>
    <t>633e38de-95d6-4bb3-97fd-468e43a384b1</t>
  </si>
  <si>
    <t>2470_24</t>
  </si>
  <si>
    <t>2470/24</t>
  </si>
  <si>
    <t>Land Acquisition Act (Chapter 460), Section 5 — Notice of Intended Acquisition (Gazette 2470/24)</t>
  </si>
  <si>
    <t>m1/raw/2470_24.pdf</t>
  </si>
  <si>
    <t>152f8ccf-13e2-4c0d-b166-d4e5a1d2b7f2</t>
  </si>
  <si>
    <t>2470_25</t>
  </si>
  <si>
    <t>2470/25</t>
  </si>
  <si>
    <t>Mahaweli Provincial Council Notice — Education / Service Delivery (Gazette 2470/25)</t>
  </si>
  <si>
    <t>මහවැලි පළාත් සභා දැන්වීම — අධ්‍යාපන / සේවා සැපයීම</t>
  </si>
  <si>
    <t>மகாவலி மாகாண சபை அறிவித்தல் — கல்வி / சேவை வழங்கல்</t>
  </si>
  <si>
    <t>Notification by the Mahaweli Provincial Council under 1987 Act No. 42 dated 30 June 2014, Volume 5, dated 11 January 2026. Mahaweli Provincial Council education/service delivery. Lists Schedule 7.2.2.1 educational categories. Part IV(A) — Provincial Councils.</t>
  </si>
  <si>
    <t>m1/raw/2470_25.pdf</t>
  </si>
  <si>
    <t>Y%S ,xld m%cd;dka;%sl iudcjd§ ckrcfha .eiÜ m;%h
w;s úfYI
,yq;ifr; rdehaf Nrhryprf; FbauR th;j;jkhdg; gj;jphpif
mjp tpNr\khdJ
wxl 2470/25 - 2026 ckjdß ui 07 jeks nodod - 2026'01'07
2470/ 25 Mk; ,yf;fk; - 2026 Mk; Mz;L rdthp khjk; 07 Me; jpfjp Gjd;fpoik
(murhq;fj;jpd; mjpfhuj;Jld; gpuRupf;fg;gl;lJ)
gFjp IV(m) - khfhz rigfs;
மாமாாாகாகாாாணண சசபைபைைை அஅறிறிிிவிவிிித்த்ததல்ல்காகாள்ள்
மாமாத்த்ததிியய மாமாாாகாகாாாணண மாமாாாகாகாாாணண சசபைபைைை
மாமாத்த்ததிியய மாமாாாகாகாாாணண முமுகாகாாாபைபைமாமாத்த்துதுவிவி சேசேசசபைபைவிவி உஉத்த்ததிிசேசேயயாாகாகாத்த்ததர்ர் சேசேசசபைபைவிவிப்ப் ைைிிரரமாமாாாணணக்க் குகுறிறிிிப்ப்புபு
திருத்த இலக்காம் - 05
2014, யூன் 30 ஆம் திகாதிய 1869/4 ஆம் இலக்கா இலங்பைகாச் சனநாாயகா சேசாசலிசக் குடியரசின் அதிவிிசேசட விர்த்தமாானப்
ைத்திாிபைகாயில் ைி ரசுாிக்காப்ைட்ட மாத்திய மாாகாாண முகாாபைமாத்துவி சேசபைவி உத்திசேயாகாத்தர் சேசபைவியின் சேசபைவிப் ைிரமாாணக்
குறிிப்ைிற்கு ைின்விரும் திருத்தங்காபைை சேமாற்ககாாள்விதற்கு மாத்திய மாாகாாண ககாௌரவி ஆளுநார் அவிர்காள் அனுமாதி அைித்துள்ைார்.
ைந்தி 07 காீழ்விருமாாறு ைதிலீடு கசய்யப்ைடுகாின்றிது.
77..22..22..11 காகால்ல்விவிிித்த் ததபைபைகாகாபைபைமாமாகாகாள்ள்
அ) கால்விிப் கைாதுத் தராதர (சாதாரண தரப்) ைாீட்பைசயில், கமாாழிி (சிங்காைம் / தமாிழ் /ஆங்காிலம்) மாற்றும்
காணிதம் அடங்காலாகா நாான்கு ைாடங்காைில் திறிபைமாச் சித்தியுடன் ஒசேர தடபைவியில் ஆறு ைாடங்காைில் (06)
சித்தியபைடந்திருத்தல் அல்லது ைாீட்பைச ஆபைணயாைர் நாாயகாத்தினால் அதற்கு சமாமாானதாகா அங்காீகாாிக்காப்ைட்ட
ைாீட்பைச ஒன்றிில் அதற்கு சமாமாான ைாடத்சேதர்ச்சியுடன் ஒசேர அமார்விில் சித்தியபைடந்திருத்தல்.
[கால்விிப் கைாதுத் தராதர (சாதாரண தரப்) ைாீட்பைசயில் திறிபைமாச் சித்தி கைற்றிிருக்கா சேவிண்டிய கமாாழிியாகா
காருதப்ைடுவிது விிண்ணப்ைதார ர் ஆட்சேசர்ப்பு சேைாட்டிப் ைாீட்பைசக்கு சேதாற்றும் கமாாழிி மூலமாாகும்.]
அத்துடன்
(ஆ) கால்விிப்கைாதுத் தராதர (உயர் தரப்) ைாீட்பைசயில் எல்லாப் ைாடங்காைிலும் (கைாதுச் சாதாரண ைாீட்பைச தவிிர)
ஒசேர தடபைவியில் சித்தியபைடந்திருத்தல் (ைபைழிய ைாடத்திட்டத்தின் காீழ் மூன்று (03) ைாடங்காைில் ஒசேர தடபைவியில்
1A - PG 7461 — 04 (2026/01)
,t; mjp tpNrl tu;j;jkhdpia www.documents.gov.lk vd;Dk; ,izaj;jsj;jpypUe;J gjptpwf;fk; nra;a KbAk;.
2 A IV ^w&amp; fldgi - Y%S ,xld m%cd;dka;%sl iudcjd§ ckrcfha w;s úfYI .eiÜ m;%h - 2026'01'07
gFjp IV (m) - ,yq;ifr; rdehaf Nrhryprf; FbauR tu;j;jkhdg; gj;;jpupif - mjp tpNr\khdJ - 2026.01.07
சித்தியபைடந்திருத்தல் சேைாதுமாானது.) அல்லது ைாீட்பைச ஆபைணயாைர் நாாயகாத்தினால் அதற்கு சமாமாானதாகா
அங்காீகாாிக்காப்ைட்ட ைாீட்பைச ஒன்றிில் அதற்கு சமாமாான ைாடத்சேதர்ச்சியுடன் ஒசேர அமார்விில் சித்தியபைடந்திருத்தல்.
காீழ் குறிிப்ைிட்டுள்ை உைைிாிவுகாள் உள்ைீர்க்காப்ைட்டுள்ைதுடன் ஏபைனய விிடயங்காள் மாாற்றிமாபைடயாமால்
அவ்விாசேறி கதாடர்ந்திருக்கும்.
10.1.2. ைதவிி உயர்வுப் ைாீட்பைசயில் சித்தி கைறுைவிர்காபைை தரம் III இலிருந்து தரம் II இற்கு ைதவிி உயர்த்தல்
(i) ைதவிி உயர்வுப் ைாீட்பைசக்காான தபைகாபைமாகாபைை ைாிசீலிக்கும் இறுதித் திகாதிக்கு அல்லது அதற்கு முன்னதாகா
தரம் III இல் குபைறிந்த ைட்சம் 03 விருட முபைனப்ைான மாற்றும் திருப்திகாரமாான சேசபைவிக் காாலத்திபைனப் பூர்த்தி
கசய்துள்ைவிர்காள் 03 சம்ைை ஏற்றிங்காபைை உபைழித்துப் கைற்றிவிர்காள் சேசபைவியில் நாிரந்தரமாாக்குவிதற்கு சேவிறு
முபைறியில் தகுதியற்றிவிர்காைாகா இல்லாத உத்திசேயாகாத்தர்காளுக்கு ைதவிியுயர்வு ைாீட்பைசக்கு விிண்ணப்ைிப்ைதற்கு/
சேதாற்றுவிதற்கு விாய்ப்பு உள்ைதுடன் ைதவிியுயர்வு கைற்றுக் ககாாள்விதற்கு இப்ைாீட்பைசயில் சித்தியபைடயதற்கு
சேமாலதிகாமாாகா ைந்தி 10.1.2.1 இன் காீழ் குறிிப்ைிட்டுள்ை தபைகாபைமாகாபைை பூரணப்ைடுத்தியிருத்தல் காட்டாயமாாகும்.
10.1.2.1 பூர்த்திகசய்ய சேவிண்டிய தபைகாபைமாகாள்
(i) நாியமானம் நாிரந்தரமாாக்காப்ைட்டிருத்தல்
(ii) சேசபைவி விபைகாயின் III ஆம் தரத்தில் குபைறிந்த ைட்சம் ஐந்து (05) விருடங்காள் முபைனப்ைான
மாற்றும் திருப்திகாரமாான சேசபைவிக் காாலத்பைதப் பூர்த்தி கசய்திருத்தல் மாற்றும் ஐந்து (05) சம்ைை
ஏற்றிங்காபைை உபைழித்துப் கைற்றிிருத்தல்
(iii) அங்காீகாாிக்காப்ைட்ட கசயலாற்றுபைகா மாதிப்பீட்டுச் கசயகலாழுங்காிற்கு இணங்கா ைதவிியுயர்வு
கைறும் தினத்திற்கு முன்னரான ஐந்து (05) விருட காாலத்தினுள் திருப்திகாரமாான மாட்டத்தில்
அல்லது அதபைன விிட உயர்ந்த கசயலாற்றுபைகாயிபைன கவிைிப்ைடுத்தியிருத்தல்
(iv) அரசாங்கா சேசபைவிகாள் ஆபைணக்குழுச் சுற்றிறிிக்பைகா இலக்காம் 01/2020 இல் குறிிப்ைிடப்ைட்டுள்ை
ஏற்ைாடுகாளுக்காபைமாய ஒழுக்காாற்றுத் தண்டபைனக்கு உட்ைட்டிராதிருத்தல்
(v) உாிய விிபைனத்திறின்காாண் தபைடதாண்டல் ைாீட்பைசயில் சித்தியபைடந்திருத்தல்
(vi) ஏபைனய அரச காருமா கமாாழிியில் உாிய நாட்டத்தில் சேதர்ச்சியிபைனப் கைற்றிிருத்தல்.
(vii) இபைணப்பு 12 இல் குறிிப்ைிட்டுள்ை தரம் II இற்காான ைதவிியுர்வுப் ைாீட்பைசயில் சித்தியபைடந்
திருத்தல்
குறிிப்பு :
1. ைதவிியுயர்வுப் ைாீட்பைசத் கதாடர்ைான தகாவில்காள் மாற்றும் ைாடத்திட்டம் இபைணப்பு 12 இல் தரப்ைட்டுள்ைன.
2. உாிய ைதவிியுயர்வுப் ைாீட்பைசயிபைன முதலாவிது மாற்றும் இரண்டாவிது கதாடர்ச்சியான அமார்வுகாைில் பூர்த்தி கசய்யும்
உத்திசேயாகாத்தர்காள் தரம் III இல் ஐந்து (05) விருட முபைனப்ைான மாற்றும் திருப்திகாரமாான சேசபைவிக் காாலத்திபைனப் பூர்த்தி
கசய்யும் திகாதியிலிருந்து தரம் II இற்கு ைதவிியுயர்த்தப்ைடுவிர்.
3. தரம் II இற்காான ைதவிியுயர்வுப் ைாீட்பைசயிபைன மூன்றிாவிது அமார்விில் பூர்த்தி கசய்யும் உத்திசேயாகாத்தர்காள் தரம் III இல் ஐந்து
(05) விருட முபைனப்ைான மாற்றும் திருப்திகாரமாான சேசபைவிக் காாலத்திபைனப் பூர்த்தி கசய்யும் திகாதி அல்லது ைதவிியுயர்வுப்
ைாீட்பைசயில் சித்தியபைடயும் திகாதி ஆகாிய இரு திகாதிகாைில் ைின்னர் விரும் திகாதியிலிருந்து தரம் II இற்கு ைதவிியுயர்த்தப்ைடுவிர்.
4. இப்ைாீட்பைசக்கு கதாடர்ச்சியான மூன்று (03) முபைறிகாள் மாாத்திரசேமா சேதாற்றுவிதற்கு சந்தர்ப்ைங்காள் விழிங்காப்ைடும்.
இபைடக்காால ஏற்ைாடுகாைின் காீழ் 15:4 மாற்றும் 15:5 ஆகாிய இரு புதிய ைிாிவுகாளும் அதன் உை ைிாிவுகாளும் சேசர்க்காப்ைட்டுள்ைன.
15.4 2012.12.22 ஆம் திகாதியன்று நாபைடகைற்றி மாத்திய மாாகாாண அரச முகாாபைமாத்துவி உதவிியாைர் சேசபைவி ஆட்சேசர்ப்புப்
ைாீட்பைசயின் கைறுசேைறுகாைின் அடிப்ைபைடயில் ஆட்சேசர்ப்பு கசய்யப்ைட்ட மாற்றும் அத்திகாதிக்குப் ைின்னர் சேசபைவியில்
இபைணந்த, இச்சேசபைவிப் ைிரமாாணக் குறிிப்ைின் திருத்தம் ைிரசுாிக்காப்ைட்டதன் ைின்னர் நாபைடகைறும் தரம் II இற்காான
ைதவிியுயர்வுப் ைாீட்பைசயில் சித்தியபைடயும் உத்திசேயாகாத்தர்காள் காீழ் குறிிப்ைிட்டுள்ைவிாறு தரம் II க்கு ைதவிி
உயர்த்தப்ைடுவிர்.
IV ^w&amp; fldgi - Y%S ,xld m%cd;dka;%sl iudcjd§ ckrcfha w;s úfYI .eiÜ m;%h - 2026'01'07 3 A
gFjp IV (m) - ,yq;ifr; rdehaf Nrhryprf; FbauR tu;j;jkhdg; gj;;jpupif - mjp tpNr\khdJ - 2026.01.07
(i) தரம் II இற்காான ைதவிியுயர்வுப் ைாீட்பைசயில் முதலாவிது மாற்றும் இரண்டாவிது கதாடர்ச்சியான அமார்வுகாைில்
சித்தியபைடயும் உத்திசேயாகாத்தர்காள், ைிாிவு 10.1.2.1 இல் குறிிப்ைிட்டுள்ை தபைகாபைமாகாபைைப் பூர்த்தி கசய்திருப்ைின்,
ைதவிியுயர்வுப் ைாீட்பைசயில் சித்தியபைடயும் திகாதி அல்லது தரம் III இல் ஐந்து (05) விருட முபைனப்ைான மாற்றும்
திருப்திகாரமாான சேசபைவிக் காாலத்திபைனப் பூர்த்தி கசய்யும் திகாதி ஆகாிய இரு திகாதிகாைில் ைின்னர் விரும் திகாதியிலிருந்து
தரம் II இற்கு ைதவிியுயர்த்தப்ைடுவிர். இவ்வுத்திசேயாகாத்தர்காள் ைதவிியுயர்வுப் ைாீட்பைசயில் சித்தியபைடயும் திகாதிக்கு
முன்னர் பூரணப்ைடுத்தியுள்ை தரம் III இல் ஐந்து (05) விருடங்காைிற்கு சேமாலதிகாமாான முபைனப்ைான மாற்றும்
திருப்திகாரமாான சேசபைவிக் காாலம் ைதவிியுயர்வு விிடயங்காளுக்காான தரம் II இன் சேசபைவிக் காாலமாாகா காருதப்ைடும்.
(ii) தரம் II இற்காான ைதவிியுயர்வுப் ைாீட்பைசயில் மூன்றிாவிது சந்தர்ப்ைத்தில் சித்தியபைடயும் உத்திசேயாகாத்தர்காள், தரம் III
இல் ஐந்து (05) விருட முபைனப்ைான மாற்றும் திருப்திகாரமாான சேசபைவிக் காாலத்திபைனப் பூர்த்தி கசய்யும் திகாதி அல்லது
ைதவிியுயர்வுப் ைாீட்பைசயில் சித்தியபைடயும் திகாதி ஆகாிய இரு திகாதிகாைில் ைின்னர் விரும் திகாதியிலிருந்து தரம் II
இற்கு ைதவிியுயர்த்தப்ைடுவிர்.
15.5 2007.01.01 ஆம் திகாதிக்கு முன்னர் தரம் III இற்கு ஆட்சேசர்ப்பு கசய்யப்ைட்ட மாற்றும் 2007.01.01 ஆம் திகாதி முதல்
2013.04.01 ஆம் திகாதி விபைரயான (அதாவிது 2006.01.21 ஆம் திகாதி முதல் 2010.10.23 ஆம் திகாதி விபைரயான ைாீட்பைசப்
கைறுசேைறுகாைின் அடிப்ைபைடயில்) ஆட்சேசர்ப்பு கசய்யப்ைட்ட உத்திசேயாகாத்தர்காளுக்கும் இச்சேசபைவிப் ைிரமாாணக் குறிிப்ைின்
திருத்தம் ைிரசுாிக்காப்ைட்டதன் ைின்னர் முதற் தடபைவியாகா நாபைடகைறும் தரம் II இற்காான ைதவிியுயர்த்தும் கதாடர்ச்சியான
ைாீட்பைச சந்தர்ப்ைங்காள் மூன்றிிற்கு (03) மாாத்திரம் (முன்பைனய சேசபைவி ைிரமாாணக் குறிிப்ைின் காீழ் காிபைடக்காப்கைற்றி
ைாீட்பைச சந்தர்ப்ைங்காள் உள்ைடங்காைாகா) சேதாற்றி முடியும். அப்ைதவிியுயர்வுப் ைாீட்பைசயில் சித்தியபைடயும், தரம் II
இலுள்ை உத்திசேயாகாத்தர்காள் தரம் I க்கு காீழ் குறிிப்ைிட்டுள்ைவிாறு ைதவிி உயர்த்தப்ைடுவிர்.
(i) ைதவிியுயர்வுப் ைாீட்பைசயில் (முன்பைனய சேசபைவி ைிரமாாணக் குறிிப்ைின் காீழ் காிபைடக்காப்கைற்றி ைாீட்பைச சந்தர்ப்ைங்காள்
உள்ைடங்காைாகா) சித்தியபைடயும் உத்திசேயாகாத்தர்காள், ைிாிவு 10.2.1.1 இல் குப்ைிட்டுள்ை தபைகாபைமாகாபைைப் பூர்த்தி
கசய்திருப்ைின், ைதவிியுயர்வுப் ைாீட்பைச நாபைடகைற்றி திகாதி அல்லது தரம் II இல் ஐந்து (05) விருட முபைனப்ைான
மாற்றும் திருப்திகாரமாான சேசபைவிக் காாலத்திபைனப் பூர்த்தி கசய்யும் திகாதி ஆகாிய இரு திகாதிகாைில் ைின்னர் விரும்
திகாதியிலிருந்து தரம் I இற்கு ைதவிியுயர்த்தப்ைடுவிர். இவ்வுத்திசேயாகாத்தர்காள் ைதவிியுயர்வுப் ைாீட்பைசயில்
சித்தியபைடயும் திகாதிக்கு முன்னர் பூரணப்ைடுத்தியுள்ை ஐந்து (05) விருடங்காைிற்கு சேமாலதிகாமாான முபைனப்ைான
மாற்றும் திருப்திகாரமாான சேசபைவிக் காாலமும் உள்ைடங்காைாகா கமாாத்த சேசபைவிக் காாலம் ைதிபைனந்து (15) விருடங்காளுக்கு
சேமாலதிகாமாான முபைனப்ைான மாற்றும் திருப்திகாரமாான சேசபைவிக் காாலம் ைதவிியுயர்வு விிடயங்காளுக்காாகா தரம் I இன்
சேசபைவிக் காாலமாாகா காருதப்ைடும்.
காீழ் தரப்ைட்டுள்ை புதிய இபைணப்பு உள்ைடக்காப்ைட்டுள்ைது
இபைணப்பு 12 :
மாத்திய மாாகாாண முகாாபைமாத்துவி சேசபைவி உத்திசேயாகாத்தர் சேசபைவியின் தரம் III இலுள்ை உத்திசேயாகாத்தர்காபைை தரம் II இற்கு
ைதவிியுயர்த்துவிதற்காான ைாீட்பைசத் கதாடர்ைான விிதிமுபைறிகாள் மாற்றும் ைாிந்துபைரப் ைத்திரம்
01. ைாீட்பைச ைற்றிிய விிைரம்
விினாப்ைத்திரம் காாலம் கமாாத்தப் புள்ைிகாள்
1. தாைன நாபைடமுபைறிகாள் மாற்றும் நாபைடமுபைறி விிதிகாள் 2 மாணித்தியாலங்காள் 100
2. நாிதி முபைறிபைமாகாள் 2 மாணித்தியாலங்காள் 100
3. கைாது விினாத்தாள் 1 1/2 மாணித்தியாலங்காள் 100
குறிிப்பு
(i) அபைனத்து விி பைடத்தாள்காைிலும் கதௌிவிற்றி பைகாகயழுத்துக்காள் மாற்றும் இலக்காணத் தவிறுகாளுக்கு புள்ைிகாள்
குபைறிக்காப்ைடும். விாசிக்கா முடியாதவிாறு அபைமாயும் எழுத்துக்காள் எழுதப்ைட்டிருப்ைின் அப்ைாீட்சார்த்திகாள்
தபைகாபைமாயற்றிவிர்காைாகா காருதப்ைடும்.
(ii) சேசபைவியில் இபைணவிதற்காான சேைாட்டிப் ைாீட்பைசயில் தாம் சேதாற்றிிய கமாாழிி மூலத்திசே ல விிண்ணப்ைதாாிகாள்
இவ்விினாத்தாள்காளுக்கு விிபை டயைித்தல் சேவிண்டும்.
(iii) இப்சேைாட்டிப் ைாீட்பைசயில் சித்தியபைடவிதற்காாகா விிண்ணப்ைதாரர்காள் ஒவ்கவிாரு ைாடத்திற்கும் குபைறிந்த ைட்சம் நாாற்ைது
4 A IV ^w&amp; fldgi - Y%S ,xld m%cd;dka;%sl iudcjd§ ckrcfha w;s úfYI .eiÜ m;%h - 2026'01'07
gFjp IV (m) - ,yq;ifr; rdehaf Nrhryprf; FbauR tu;j;jkhdg; gj;;jpupif - mjp tpNr\khdJ - 2026.01.07
சத வீதமாான (40%) புள்ைிகாள் மாற்றும் மூன்று (03) ைாடங்காளுக்குமாான கமாாத்த புள்ைிகாள் 130 இற்கு குபைறியாமாலும் ஒசேர
ைாீட்பைசயிசேலசேய (ஒசேர அமார்விில்) கைற்றுக் க காாள்ை சேவிண்டும்.
02. நாடாத்தும் அதிகாாாி :
மாத்திய மாாகாாண அரச சேசபைவிகாள் ஆபைணக்குழு அல்லது மாத்திய மாாகாாண அரச சேசபைவிகாள் ஆபைணக்குழுவிின்
சேவிண்டுதலுக்கு இணங்கா ைாீட்பைசகாள் ஆபைணயாைர் நாாயகாம். அல்லது நாியமான அதிகாாாியினால் ைாிந்துபைரக்காப்ைடும்
சேவிறு யாசேதனும் நாிறுவினம்
03. ைாீட்பைசக்காான ைாடத்திட்டம்
விினாப்ைத்திரத்தின் கையர் ைாடத்திட்டம்
1. தாைன நாபைடமுபைறிகாள் அலுவிலகா முபைறிபைமா கதாடர்ைான அடிப்ைபைட அவிற்றிின் முக்காியத்துவிம், எழுத்து மூலமாான
மாற்றும் நாபைடமுபைறி கதாடர்ைாடல், ஆவிணங்காபைைக் சேகாாபைவிப்ைடுத்தல் மாற்றும் மாாதிாிப்ைடிவிங்காபைைத்
விிதிகாள் தயாாித்தல் சேைான்றி துபைறிகாபைை உள்ைடக்காிய விபைகாயில் அரசாங்கா அலுவிகாங்காைில்
ையன்ைாட்டிலுள்ை அலுவிலகா முபைறிகாள் ைற்றிிய அறிிவு, மாற்றும் அலுவிலகாச்
கசயற்ைாடுகாைின் சேைாது கைற்றுக் ககாாண்ட அனுைவித் சேதர்ச்சி என்ைவிற்பைறிப் ைாீட்சிப்ைது
இவ்விினாப்ைத்திரத்தின் சேநாாக்காமாாகும்.
அரச சேசபைவிகாள் ஆபைணக்குழுவிின் நாபைடமுபைறி விிதிகாள் கதாகுதி 1 மாற்றும் தாைன
விிதிக்சேகாாபைவியின் கதாகுதி 1 என்ைவிற்றிில் உள்ைடங்காியுள்ை விிடயங்காள் கதாடர்ைான
அறிிவிிபைனப் ைாீட்சிக்கும் ைகுதியிபைனயும் இவ்விினாப்ைத்திரம் உள்ைடக்காியிருக்கும்.
2. நாிதி முபைறிபைமாகாள் (அ) ைகுதி I - கூட்டல் மாற்றும் காழிித்தல் ையிற்சிகாள் (25 புள்ைிகாள்)
(கூட்டல் மாற்றும் காழிித்தல் ையிற்சிகாளுக்காாகா காணிப்ைாபைன (கால்குசேலட்டர்) ைாவிிக்கா
முடியாது. காாலம் 15 நாிமாிடங்காள் மாாத்திரம்)
(ஆ) ைகுதி II - அரசாங்காத் திபைணக்காைங்காைிலும் அபைமாச்சுக்காைிலும் ையன்ைாட்டிலுள்ை
நாிதிக் காட்டுப்ைாடு, நாிதிப் கைாறுப்புக்காள், விருமாானங்காளும் ககாாடுப்ைனவுகாளும்,
விரவு கசலவுத் திட்ட மாதிப்பீடு, விழிங்கால் சேவிபைலகாள் மாற்றும் சேசபைவிகாள் ஆகாிய
விிடயங்காள் கதாடர்ைான அறிிவும் விிைக்காமும் ைாீட்சித்தல் (50 புள்ைிகாள்)
(இ) ைகுதி III - கதாபைகா மாதிப்பீடு மாற்றும் காைஞ்சியப்ைடுத்தல் கதாடர்ைான அடிப்ைபைட
விிடயங்காள் (25 புள்ைிகாள்)
3. கைாது விினாத்தாள் இவ்விினாப்ைத்திரம் 02 ைகுதிகாபைைக் ககாாண்டது.
(அ) யாசேதனும் ஒரு கூற்று அல்லது காலந்துபைரயாடலின் குறிிப்கைான்றிிபைன விாசித்து
விிைங்காி காடிதம் மாற்றும்/ அல்லது அறிிக்பைகா ஒன்பைறி தயாாித்தல்.
(ஆ) சமாகாால சமூகா நாபைடமுபைறிகாள் கதாடர்ைில் விிைங்காி அதபைன விிைக்கும் ஆற்றிலிபைனப்
ைாீட்சித்தல்.
ைாடத்திட்டம் மாற்றும் விிண்ணப்ைிக்கும் முபைறி ைற்றிிய முழுபைமாயான விிைரங்காைிபைன அறிிந்து ககாாள்விதற்கு மாத்திய
மாாகாாண அரச சேசபைவிகாள் ஆபைணக்குழுவிினால் காாலத்திற்கு காாலம் கவிைியிடப்ைடும் விர்த்தமாானி அறிிவிித்தல்காள் கதாடர்ைில்
ைாீட்சார்த்திகாள் காவினம் கசலுத்தல் சேவிண்டும்.
சேகா.சேகா.ஜிி.ஐ.டி.பீ. விிசேஜிதிலகா,
கசயலாைர்,
மாாகாாண அரச சேசபைவிகாள் ஆபைணக்குழு
மாத்திய மாாகாாண சபைை.
மாத்திய மாாகாாண அரச சேசபைவிகாள் ஆபைணக்குழு,
இல 244, காடுகாஸ்சேதாட்பைட வீதி,
காண்டி,
2025, திகசம்ைர் மாாதம் 09 ஆம் திகாதி.
EOG 01 - 0058
,yq;if murhq;f mr;Rj; jpizf;fsj;jpw; gjpg;gpf;fg;ngw;wJ.</t>
  </si>
  <si>
    <t>b8327e7d-fd3f-41ec-bcca-a3faa06bd662</t>
  </si>
  <si>
    <t>2470_26</t>
  </si>
  <si>
    <t>2470/26</t>
  </si>
  <si>
    <t>General Government Notification (Gazette 2470/26)</t>
  </si>
  <si>
    <t>m1/raw/2470_26.pdf</t>
  </si>
  <si>
    <t>Y%S ,xld m%cd;dka;%sl iudcjd§ ckrcfha .eiÜ m;%h
w;s úfYI
,yq;ifr; rdehaf Nrhryprf; FbauR th;j;jkhdg; gj;jphpif
mjp tpNr\khdJ
wxl 2470/26 - 2026 ckjdß ui 07 jeks nodod - 2026'01'07
2470/ 26 Mk; ,yf;fk; - 2026 Mk; Mz;L rdtup khjk; 07 Me; jpfjp Gjd;fpoik
(murhq;fj;jpd; mjpfhuj;Jld; gpuRupf;fg;gl;lJ)
gFjp I : njhFjp (I) - nghJ
murhq;f mwptpj;jy;fs;
எஎனனதுது இஇலல.. HHAA//0055//2200//0011//0011//3344
நந��ொொத்த்தாதாொொொொிிசுசு ககட்ட்டடளைளைைைச்ச் சசட்ட்டடத்த்தாதாிின்ன் ககீீழ்ழ் ��ிியயமமனனம்ம் வவழழங்ங்ககல்ல்
ந�ொத்தாொொிசு கட்டளைைச் சட்டத்தாின் (107 ஆம் அதாிகொரம்) 11 ஆவது சரத்தாின் கீழ் நகௌரவ ந�ொது �ிர்வொக, மொகொண சளை�கள்
மற்றும் உள்ளூரொட்சி அளைமச்சொினொல் 2025, தாி நசம்�ர் மொதாம் 01 ஆந் தாிகதாியிலிருந்து �ளைடமுளைையில் வரும் வளைகயில் கீழழ
குைிப்�ிடப்�ட்டுள்ை �ியமனங்கள் வழங்கப்�ட்டுள்ைநதான இத்தாொல் அைிவிக்கப்�டுகிைது.
1. இலக்கம் 38/5�ி, �ொலொந்தாொரொம வீதாி, நுழகநகொட என்ை முகவொியில் வசிக்கும் நசல்வி நதாஹிிகம உடநகதார �ண்டலொழக
மிதாிலொ மதுஷிிகொ அவர்களைை, நகொழும்பு �ீதாொசன வலயத்தாில் ஆங்கில நமொழியில் கடளைமயொற்றும் ந�ொத்தாொொிசு ஒருவரொக.
2. இலக்கம் 64/3, லியனழக வீதாி, நதாஹிிவளைை என்ை முகவொியில் வசிக்கும் தாிருமதாி தாிஸாொ�ொயக்க முதாியன்ழசலொழக �ிம்தாரொ
சமிந்தாினி தாிஸாொ�ொயக்க அவர்களைை, நகொழும்பு �ீதாொசன வலயத்தாில் ஆங்கில நமொழியில் கடளைமயொற்றும் ந�ொத்தாொொிசு
ஒருவரொக.
3. இலக்கம் 18/2, நலஸ்லி ந�ழரரொ மொவத்ளைதா, களுத்துளைை - வடக்கு என்ை முகவொியில் வசிக்கும் தாிருமதாி அகலொ ஹிந்தாி
இழரொஷிொ சந்தாமொலி தா சில்வொ அவர்களைை, களுத்துளைை �ீதாொசன வலயத்தாில் சிங்கைம் மற்றும் ஆங்கில நமொழிகள் மூலம்
கடளைமயொற்றும் ந�ொத்தாொொிசு ஒருவரொக.
4. இலக்கம் 17/8, கல்லடி முந்தால் ஒழுங்ளைக, நகொக்குவில் கிழக்கு, நகொக்குவில், யொழ்ப்�ொணம் என்ை முகவொியில் வசிக்கும்
நசல்வி தாீ�ிகொ ழயொகரொஜாொ அவர்களைை, யொழ்ப்�ொணம் �ீதாொசன வலயத்தாில் ஆங்கிலம் மற்றும் தாமிழ் நமொழிகள் மூலம்
கடளைமயொற்றும் ந�ொத்தாொொிசு ஒருவரொக.
1A - G 46029 — 04 (2026/01)
,t; mjptpNrl tu;j;jkhdpia www.documents.gov.lk vDk; ,izaj;jsj;jpypUe;J gjptpwf;fk; nra;a KbAk;.
2A I fldgi ( ^I&amp; fPoh - YS% ,xld m%cd;dka;s%l iudcjd§ ckrcfha w;s úfYI .eiÜ m;%h - 2026'01'07
gFjp I : njhFjp (I) - ,yq;ifr; rdehaf Nrhryprf; FbauR tu;j;jkhdg; gj;;jpupif - mjp tpNr\khdJ - 2026.01.07
5. இலக்கம் 23/�ி/2, �ொடசொளைல ஒழுங்ளைக, மஹிிந்தாொரொம வீதாி, எத்துல் ழகொட்ழட என்ை முகவொியில் வசிக்கும் தாிருமதாி
வனிகழசகர முதாியன்ழச ரொைஹிொமில்லொழக அமிலொ ஹிங்சமொலி அலுவிஹிொழர அவர்களைை, நகொழும்பு �ீதாொசன வலயத்தாில்
சிங்கை நமொழி மூலம் கடளைமயொற்றும் ந�ொத்தாொொிசு ஒருவரொக.
6. இலக்கம் 25, 3 ஆம் நதாரு, �ட்டொணிச்சூர் புைியன்குைம், வவுனியொ என்ை முகவொியில் வசிக்கும் தாிருமதாி இபுனு �ஸீர்
ஜாலிஸாொ அவர்களைை, வவுனியொ �ீதாொசன வலயத்தாில் ஆங்கிலம் மற்றும் தாமிழ் நமொழிகள் மூலம் கடளைமயொற்றும் ந�ொத்தாொொிசு
ஒருவரொக.
7. இலக்கம் 1035, நவடிகந்தா வீதாி, ஹிுணு�ிட்டிய, வத்தாளைை என்ை முகவொியில் வசிக்கும் தாிருமதாி துலனி கருணதாிலக்க
அவர்களைை, கம்�ஹிொ �ீதாொசன வலயத்தாில் சிங்கைம் மற்றும் ஆங்கில நமொழிகள் மூலம் கடளைமயொற்றும் ந�ொத்தாொொிசு
ஒருவரொக.
நகௌரவ அளைமச்சொின் ஆளைணப்�டி,
எஎஸ்ஸ்.. ஆஆழழலலொொகக��ண்ண்டடொொரர,
நசயலொைர்,
ந�ொது �ிர்வொக, மொகொண சளை�கள் மற்றும்
உள்ளூரொட்சி அளைமச்சு.
நகொழும்பு,
2025, தாிநசம்�ர் 26.
EOG 01 - 0052
,yq;if murhq;f mr;Rj; jpizf;fsj;jpw; gjpg;gpf;fg;ngw;wJ.</t>
  </si>
  <si>
    <t>f6d0900a-e658-4a0a-a8a8-d49767605461</t>
  </si>
  <si>
    <t>2470_27</t>
  </si>
  <si>
    <t>2470/27</t>
  </si>
  <si>
    <t>Notaries Ordinance (Chapter 107) — Appointment of Notaries (Gazette 2470/27)</t>
  </si>
  <si>
    <t>නෝතාරිස්වරයන් පත් කිරීමේ ආඥා පනත (107 වන අධිකාරිය) - නෝතාරිස්වරයන් පත් කිරීම</t>
  </si>
  <si>
    <t>நோட்டாரிசுக்கான கட்டளைச் சட்டம் (அதிகாரம் 107) - நோட்டாரிசுகளை நியமித்தல்</t>
  </si>
  <si>
    <t>Notice published under Section 3 of the Notaries Ordinance (Chapter 107) announcing appointments of Notaries Public for specified districts, made by the Minister of Public Administration. Part I — General.</t>
  </si>
  <si>
    <t>Notaries Ordinance (Chapter 107)</t>
  </si>
  <si>
    <t>m1/raw/2470_27.pdf</t>
  </si>
  <si>
    <t>7fbcb9ab-4cfc-4aea-a9c5-601712eda1c5</t>
  </si>
  <si>
    <t>2470_28</t>
  </si>
  <si>
    <t>2470/28</t>
  </si>
  <si>
    <t>General Government Notification (Ref HA/05/20/01/01/34) (Gazette 2470/28)</t>
  </si>
  <si>
    <t>රජයේ දැන්වීම (යොමු HA/05/20/01/01/34)</t>
  </si>
  <si>
    <t>அரசாங்க அறிவித்தல் (Ref HA/05/20/01/01/34)</t>
  </si>
  <si>
    <t>General Government Notification with Schedule pertaining to multiple Acts (Act No. 107, etc.). Reference HA/05/20/01/01/34. Lists 8 schedule items. Part I — General.</t>
  </si>
  <si>
    <t>m1/raw/2470_28.pdf</t>
  </si>
  <si>
    <t>Y S% ,xld mc% d;dk;a ls% iudcjd§ ckrcfh a .eiÜ m;h%
w;s úfYI
wxl 2470$28 - 2026 ckjdß ui 07 jeks nodod - 2026'01'07
^rcfha n,hmsg m%isoaO lrk ,§&amp;
I jeks fldgi: (I) jeks fPoh - idudkH
rcfha ksfõok
මගේ� අංංකය : HA/05/20/01/01/34
නිවේේදනය
ගේ�ොතාොරිස්් ආඥාොප�තා යටගේ� ප�කිරීම්
ගේ�ොතාොරිස්් ආඥාොප�ගේ� (107 ව� අංධිකොරය) 05 ව� වගන්තිය අංනුව, ගරු රොජ්‍යය පරිපොල�, පළාො� ස්භාො ස්හ පළාො� පොල� අංමොතායතුමො
විසින් 2025 ගේෙස්ැම්බර් මස් 01 වැනි දි� සිට ක්‍රියො�මක ව� පරිදි පහතා ස්ඳහන් ප�වීම් කර ඇති බව ගේමයින් නිගේේෙ�ය කරනු ලැගේ�.
1. රොජ්‍යගිරිය, මොදින්�ොගේගොඩ, ගේමොරවිටිය පොර, අංංක 807/3 හි පදිංචි, ගේබෝපගමගේ� අංරුගේ�ෝෙ නිශ්්ශ්ංක මහතාො, ගේකොළාඹ අංධිකර�
කලොපය තුළා ඉංංග්‍රීසි භාොෂාොගේවන් කටයුතු කර� ගේ�ොතාොරිස්් ගේකගේ�කු වශ්ගේයන්,
2. නුගේ�ගේගොඩ, ගේෙල්කඳ, හයිගේලවල් ප්ලොස්ො, අංංක 87ඊ හි පදිංචි, කඩවතා ආරච්චිලොගේ� සිසිල් ප්‍රශ්න්තා විජ්‍යයර�� මහතාො, ගේකොළාඹ
අංධිකර� කලොපය තුළා ඉංංග්‍රීසි භාොෂාොගේවන් කටයුතු කර� ගේ�ොතාොරිස්් ගේකගේ�කු වශ්ගේයන්,
3. කොකපල්ලිය, සියඹලොගස්්ගේවල, අංංක 13/ඒ හි පදිංචි, ජ්‍යයවර්ධ� ආරච්චිගේ� �ගේවෝදි තාොරකො ජ්‍යයවර්ධ� මහ�මිය, හලොවතා
අංධිකර� කලොපය තුළා සිංහල භාොෂාොගේවන් කටයුතු කර� ගේ�ොතාොරිස්් ගේකගේ�කු වශ්ගේයන්,
4. අංනුරොධපුර, කුරුන්ෙන්කුලම, මොතාගේල් පොර හි පදිංචි, ජ්‍යයසුන්ෙර මුදියන්ගේස්ල් ොගේ� මිලොනි ස්ව් ර්�මොලි ගේතාන්�ගේකොන්් මහ�මිය,
අංනුරොධපුර අංධිකර� කලොපය තුළා ඉංංග්‍රීසි භාොෂාොගේවන් කටයුතු කර� ගේ�ොතාොරිස්් ගේකගේ�කු වශ්ගේයන්,
5. කින්නියො 06, ජ්‍යොවො පටුමග, අංංක 01/ඒ හි පදිංචි, මහ්රූප් මුහම්මදු මු�ොස්් මහතාො, ත්‍රිකු�ොමලය අංධිකර� කලොපය තුළා ඉංංග්‍රීසි
භාොෂාොගේවන් කටයුතු කර� ගේ�ොතාොරිස්් ගේකගේ�කු වශ්ගේයන්,
6. රොජ්‍යගිරිය, වැලිකඩ, බු�ගමුව පොර, අංංක 40/16 හි පදිංචි, වතුරොව මො�ගේ� හිමොසි චරිතාො මධුරංගි ගේමගේ�විය, ගේකොළාඹ අංධිකර�
කලොපය තුළා ඉංංග්‍රීසි භාොෂාොගේවන් කටයුතු කර� ගේ�ොතාොරිස්් ගේකගේ�කු වශ්ගේයන්,
1A - G 46031 — 04 (2026/01)
fuu w;s úfYI .eiÜ m;%h www.documents.gov.lk fjí wvúfhka nd.; l&lt; yel'
2A I fldgi: (I) fPoh - Y%S ,xld m%cd;dka;%sl iudcjd§ ckrcfha w;s úfYI .eiÜ m;%h - 2026'01'07
7. සීදුව, ලිය�ගේ�මුල්ල, ක��තා පොර, අංංක 160 හි පදිංචි, පින්�ගේගොල්ගේල් රවන්විලො බුද්ධි ගේකෞස්ලො ර��ොයක මහ�මිය, මීගමුව
අංධිකර� කලොපය තුළා සිංහල භාොෂාොගේවන් කටයුතු කර� ගේ�ොතාොරිස්් ගේකගේ�කු වශ්ගේයන්,
8. ෙංගේකොටුව, ෙළුගේවල, බස්්තියන් ව�තා හි පදිංචි, දිස්ො�ොයක මුදියන්ගේස්්ලොගේ� තාමීරො රස්ොංජ්‍යලී දිස්ො�ොයක ගේමගේ�විය, හලොවතා
අංධිකර� කලොපය තුළා ඉංංග්‍රීසි භාොෂාොගේවන් කටයුතු කර� ගේ�ොතාොරිස්් ගේකගේ�කු වශ්ගේයන්,
9. ජ්‍යො-ඇල, තුඩැල්ල, පමුණුගම පොර, අංංක 199/ජී හි පදිංචි මහමොලගේ� සුමිරි �දීශ්ොනි ප්‍ර�ොන්දු මහ�මිය, මීගමුව අංධිකර� කලොපය
තුළා ඉංංග්‍රීසි භාොෂාොගේවන් කටයුතු කර� ගේ�ොතාොරිස්් ගේකගේ�කු වශ්ගේයන්,
10. ර��පුර, ගේකළින් වීදිය, අංංක 8/13 හි පදිංචි, අංහමඩ් ගේජ්‍යොහොර්දීන් ෆාොතිමො සියොස්ො මහ�මිය, ර��පුර අංධිකර� කලොපය තුළා
ඉංංග්‍රීසි භාොෂාොගේවන් කටයුතු කර� ගේ�ොතාොරිස්් ගේකගේ�කු වශ්ගේයන්,
11. විගේේරිය, ෙගේ�ගේගොඩ, අංංක 527 හි පදිංචි, ප්‍රංශ් ගේවෙොලොගේ� ශ්ොනිකො ස්ඳමොලි මහ�මිය, ඇඹිලිපිටිය අංධිකර� කලොපය තුළා ඉංංග්‍රීසි
භාොෂාොගේවන් කටයුතු කර� ගේ�ොතාොරිස්් ගේකගේ�කු වශ්ගේයන්,
12. උකුගේවල, තාවලංගේකොය, අංංක 144/10 හි පදිංචි, ව�තුගේහ්වොගේ� හෂාොරො ඉංඳුමිණි ගේමගේ�විය, මොතාගේල් අංධිකර� කලොපය තුළා
ඉංංග්‍රීසි භාොෂාොගේවන් කටයුතු කර� ගේ�ොතාොරිස්් ගේකගේ�කු වශ්ගේයන්,
13. ගේතාොප්පූර්-31250, ජින්�ො �ගර්, 59 ගේවනි කණුව, අංෂා්රෆා් වීදිය හි පදිංචි, මුහම්මදු රපීක් මුහම්මදු රම්ස්ොන් මහතාො, ත්‍රිකු�ොමලය
අංධිකර� කලොපය තුළා ඉංංග්‍රීසි භාොෂාොගේවන් කටයුතු කර� ගේ�ොතාොරිස්් ගේකගේ�කු වශ්ගේයන්,
14. ගේහොර�, මූ�ගම, ර��පුර පොර, අංංක 499/2 හි පදිංචි, කරු�ොමුණි පූර්ණි ෙර්ශිකො කරු�ොර�� ගේමගේ�විය, පො�දුර අංධිකර�
කලොපය තුළා ඉංංග්‍රීසි භාොෂාොගේවන් කටයුතු කර� ගේ�ොතාොරිස්් ගේකගේ�කු වශ්ගේයන්,
15. පු�තාලම, තා�ගේබෝව, අංංක 04 හි පදිංචි, තාංගල්ලගේ� චොරුකො කල්පනී සිල්වො මහ�මිය, පු�තාලම අංධිකර� කලොපය තුළා ඉංංග්‍රීසි
භාොෂාොගේවන් කටයුතු කර� ගේ�ොතාොරිස්් ගේකගේ�කු වශ්ගේයන්,
16. ගේකොළාඹ 10, මරෙො�, ගේමොහිදීන් මස්්ජිද් පොර, අංංක 155/22 හි පදිංචි, ඉංබ්‍රාොහීම් ෂුහොෙො හන්ස්ලො මහ�මිය, ගේකොළාඹ අංධිකර�
කලොපය තුළා සිංහල ස්හ ඉංංග්‍රීසි භාොෂාොගේවන් කටයුතු කර� ගේ�ොතාොරිස්් ගේකගේ�කු වශ්ගේයන්,
17. පො�දුර, අංලුගේබෝමුල්ල, කුඩො අංරු�ගේගොඩ, රවුම් පොර. අංංක 514/01/ඒ හි පදිංචි, ගලගේගෙරගේ� ස්ගේරෝජ්‍යො කුමුදිනී මහ�මිය, පො�දුර
අංධිකර� කලොපය තුළා ඉංංග්‍රීසි භාොෂාොගේවන් කටයුතු කර� ගේ�ොතාොරිස්් ගේකගේ�කු වශ්ගේයන්,
18. මීරිගම, �ොවො�, පිටියගේගෙර, අංංක 50/5 හි පදිංචි, ගේකොට්ටලගේ� ඉංසුරු ස්ම්ප� කරු�ොගේස්්කර මහතාො, මීගමුව අංධිකර� කලොපය
තුළා ඉංංග්‍රීසි භාොෂාොගේවන් කටයුතු කර� ගේ�ොතාොරිස්් ගේකගේ�කු වශ්ගේයන්,
19. වක්වැල්ල, වටරැක (�ැගේග�හිර), ඉංසුරු මොවතා, අංංක 167/ඩී හි පදිංචි, ගීතාොනි ස්කුන්තාලො ගේස්�් ොර�� මහ�මිය, ගොල්ල අංධිකර�
කලොපය තුළා ඉංංග්‍රීසි භාොෂාොගේවන් කටයුතු කර� ගේ�ොතාොරිස්් ගේකගේ�කු වශ්ගේයන්,
20. රොගම, ගේහොරගේප්, අංමරතුංග මොවතා, අංංක 177 හි පදිංචි, පතිර� ආරච්චිගේ� එෂාොන් අංකිල මහතාො, ගම්පහ අංධිකර� කලොපය තුළා
ඉංංග්‍රීසි භාොෂාොගේවන් කටයුතු කර� ගේ�ොතාොරිස්් ගේකගේ�කු වශ්ගේයන්,
21. ගේකොළාඹගේග-ආර, මඩුවන්ගේවල ජ්‍ය�පෙය, ගේෙව� පටුමග, අංංක 186-ඒ හි පදිංචි, ඉංලංගන් ගේද්වගේ� සුමුදු අංජ්‍යොන් ලක්මොලි වික්‍රමසිංහ
මහ�මිය, ඇඹිලිපිටිය අංධිකර� කලොපය තුළා ඉංංග්‍රීසි භාොෂාොගේවන් කටයුතු කර� ගේ�ොතාොරිස්් ගේකගේ�කු වශ්ගේයන්,
ගරු අංමොතායතුමොගේ� නියමය පරිදි,
එස්්. ආවේ�ෝ්කබණ්ඩාෝර,
ගේල්කම්.
රොජ්‍යය පරිපොල�, පළාො� ස්භාො ස්හ පළාො� පොල� අංමොතායොංශ්ය.
2025 ගේෙස්ැම්බර් මස් 26 වැනි දි�,
ගේකොළාඹ දී ය.
EOG 01 - 0054$1
I fldgi: (I) fPoh - Y%S ,xld m%cd;dka;%sl iudcjd§ ckrcfha w;s úfYI .eiÜ m;%h - 2026'01'07 3 A
මගේ� අංංකය : HA/05/20/01/01/34
නිවේේදනය
ගේ�ොතාොරිස්් ආඥාොප�තා යටගේ� ප�කිරීම්
ගේ�ොතාොරිස්් ආඥාොප�ගේ� (107 ව� අංධිකොරය) 05 ව� වගන්තිය අංනුව, ගරු රොජ්‍යය පරිපොල�, පළාො� ස්භාො ස්හ පළාො� පොල� අංමොතායතුමො
විසින් 2025 ගේෙස්ැම්බර් මස් 08 වැනි දි� සිට ක්‍රියො�මක ව� පරිදි පහතා ස්ඳහන් ප�වීම් කර ඇති බව ගේමයින් නිගේේෙ�ය කරනු ලැගේ�.
1. යොප�ය, ගේෙව� හරස්් පොර, අංංක 18 හි පදිංචි, ලුඩර්ස්් පුරොනි ගේජ්‍යෝස්ප් මරිය�ොයගම් මහ�මිය, යොප�ය අංධිකර� කලොපය තුළා
ඉංංග්‍රීසි භාොෂාොගේවන් කටයුතු කර� ගේ�ොතාොරිස්් ගේකගේ�කු වශ්ගේයන්,
2. ත්‍රිකු�ොමලය, ලින්ග�ගර්, මුරුගන් ගේකෝවිල පොර, අංංක 141 හි පදිංචි, ගේටරන්ස්් ඇන්ටනී සිසිල් ගේරගේ�ෝල්ඩ් දුෂා්යන්� මහතාො,
ත්‍රිකු�ොමලය අංධිකර� කලොපය තුළා ඉංංග්‍රීසි භාොෂාොගේවන් කටයුතු කර� ගේ�ොතාොරිස්් ගේකගේ�කු වශ්ගේයන්,
3. ගගේල්ගේවල, ගේද්වහූව, බුල� වැව, අංංක 5/1 හි පදිංචි, නිස්ව් ර්දීන් පොතිමො නිෂා්රො මහ�මිය, මොතාගේල් අංධිකර� කලොපය තුළා සිංහල
ස්හ ඉංංග්‍රීසි භාොෂාොගේවන් කටයුතු කර� ගේ�ොතාොරිස්් ගේකගේ�කු වශ්ගේයන්,
4. බණ්ඩොරගේවල, ගේවෝල්ඩන් ගේපගේෙස් හි පදිංචි, විගේල් ගේහ�ැන්�ැහැලොගේ� ස්ොලිය ජීවන්තා කීර්ති�ොයක මහතාො, බදුල්ල අංධිකර�
අංධිකර� කලොපය තුළා ඉංංග්‍රීසි භාොෂාොගේවන් කටයුතු කර� ගේ�ොතාොරිස්් ගේකගේ�කු වශ්ගේයන්,
5. කඩවතා, ඇල්ගේෙනිය, බණ්ඩොර�ොයක මොවතා, අංංක 519/3/4 හි පදිංචි, රශ්මි් ආගේලොක් ො අංගේ�වර්ධ� ගේමගේ�විය, ගම්පහ අංධිකර�
කලොපය තුළා සිංහල භාොෂාොගේවන් කටයුතු කර� ගේ�ොතාොරිස්් ගේකගේ�කු වශ්ගේයන්,
6. යොප�ය, පොණ්ඩතාරිප්පු, සිලොලයි, ශ්ොන්තා ගේේමිස්් වීදිය හි පදිංචි, වීර�ොෙපොන්ඩියන් ජ්‍ය�ොර්තා�න් මහතාො, යොප�ය අංධිකර�
කලොපය තුළා ඉංංග්‍රීසි භාොෂාොගේවන් කටයුතු කර� ගේ�ොතාොරිස්් ගේකගේ�කු වශ්ගේයන්,
7. මහරගම, �ොවින්�, දුම්රිය මොවතා, අංංක 54/1ඒ හි පදිංචි, හ�ගේතාොටුව ගමගේ� කුෂාොණි මහ�මිය, ගේකොළාඹ අංධිකර� කලොපය
තුළා ඉංංග්‍රීසි භාොෂාොගේවන් කටයුතු කර� ගේ�ොතාොරිස්් ගේකගේ�කු වශ්ගේයන්,
8. වලස්්මුල්ල, කටුව� පොර, අංංක 234/3 හි පදිංචි, රිශ්්මි පියුරිකො ගේකෝරගේළා් ආරච්චි මහ�මිය, තාංගල්ල අංධිකර� කලොපය තුළා
ඉංංග්‍රීසි භාොෂාොගේවන් කටයුතු කර� ගේ�ොතාොරිස්් ගේකගේ�කු වශ්ගේයන්,
9. ගේගොතාටුව, නින්ෙගේහ�් , ගේබොග් හහන්දිය පොර, අංංක 603/1 හි පදිංචි, ගේහව් ොගේ� ඉංමොෂාො විරංගි ෙොබගේර් ගේමගේ�විය, ගේකොළාඹ අංධිකර�
කලොපය තුළා සිංහල භාොෂාොගේවන් කටයුතු කර� ගේ�ොතාොරිස්් ගේකගේ�කු වශ්ගේයන්,
10. අංළුගේබෝමුල්ල, ගංගොරොමය පොර, අංංක 400/1 හි පදිංචි, මහමුනි ෙමිත්‍රී තා�ස්රණි අංබයර�� ගේමගේ�විය, පො�දුර අංධිකර� කලොපය
තුළා ඉංංග්‍රීසි භාොෂාොගේවන් කටයුතු කර� ගේ�ොතාොරිස්් ගේකගේ�කු වශ්ගේයන්,
11. ගේකෝට්ගේට්, මොදිගේවල, බර්ඩ් පොර්ක් ගේකෝ�ර්, අංංක 30/61 එෆා් හි පදිංචි, සුරනි ගේකෞශ්ලයො සුම�ගේස්්කර මහ�මිය, ගේකොළාඹ
අංධිකර� කලොපය තුළා සිංහල භාොෂාොගේවන් කටයුතු කර� ගේ�ොතාොරිස්් ගේකගේ�කු වශ්ගේයන්,
12. මහරගම, ව�ගේතාගේගෙර පොර, අංංක 231/4 හි පදිංචි, වර්ෂාන් �ැ�ගේ� ව�ස්ලො දුලොංජ්‍යනී ප්‍රියෙර්ශිකො ගේමගේ�විය, ගේකොළාඹ අංධිකර�
කලොපය තුළා ඉංංග්‍රීසි භාොෂාොගේවන් කටයුතු කර� ගේ�ොතාොරිස්් ගේකගේ�කු වශ්ගේයන්,
13. ර�මලො�, 5 ව� පටුමග, අංංක 19 හි පදිංචි, මනීෂාො ගේක්ස්රී ර��ොයක මහ�මිය, ගේකොළාඹ අංධිකර� කලොපය තුළා සිංහල
භාොෂාොගේවන් කටයුතු කර� ගේ�ොතාොරිස්් ගේකගේ�කු වශ්ගේයන්,
14. ගේෙොඩන්දූව, පටුවතා, කුමොර මොවතා, අංංක 46/1 හි පදිංචි, ගේතාන්�ගේකෝන් මුදියන්ගේස්්ලොගේ� ස්මන්තා ගු�ගේස්්කර මහතාො, ගොල්ල
අංධිකර� කලොපය තුළා ඉංංග්‍රීසි භාොෂාොගේවන් කටයුතු කර� ගේ�ොතාොරිස්් ගේකගේ�කු වශ්ගේයන්,
4A I fldgi: (I) fPoh - Y%S ,xld m%cd;dka;%sl iudcjd§ ckrcfha w;s úfYI .eiÜ m;%h - 2026'01'07
15. ගුරුගේෙණිය, උඩතාැන්� පොර, පැගේ�ොර් ොමො, අංංක 341/8 හි පදිංචි, වොස්ල මුදියන්ගේස්ල් ොගේ� පරගහපෑගේල් ගේගෙර �ොලිකො ස්මන්මොලි
මහ�මිය, මහනුවර අංධිකර� කලොපය තුළා ඉංංග්‍රීසි භාොෂාොගේවන් කටයුතු කර� ගේ�ොතාොරිස්් ගේකගේ�කු වශ්ගේයන්,
16. මරුෙමුගේන්-03, ප්‍රධො� වීදිය, අංංක 250 හි පදිංචි, ගේමොහමඩ් රොෆි ගේමොහමඩ් අංදීර් මහතාො, කල්මුගේණ් අංධිකර� කලොපය තුළා ඉංංග්‍රීසි
භාොෂාොගේවන් කටයුතු කර� ගේ�ොතාොරිස්් ගේකගේ�කු වශ්ගේයන්,
17. මහරගම, පිළියන්ෙල පොර, ශිගේරෝමණී මොවතා, අංංක 33/1 හි පදිංචි, පතිරොජ්‍ය ගේහ්ර�ගේ� තාරුශි තාක්ශිලො කුලර�� ගේමගේ�විය,
ගේකොළාඹ අංධිකර� කලොපය තුළා සිංහල භාොෂාොගේවන් කටයුතු කර� ගේ�ොතාොරිස්් ගේකගේ�කු වශ්ගේයන්,
18. මොතාර, වල්ගම, ස්මගි මොවතා, 6 ගේවනි හරස්් වීදිය, අංංක 19/2 හි පදිංචි, ෙස්�ොයක මුදියන්ගේස්ලොගේ� ගේකෝරගේළා්ගේගෙර අංමො හරින්දි
බණ්ඩොර ගේමගේ�විය, මොතාර අංධිකර� කලොපය තුළා සිංහල භාොෂාොගේවන් කටයුතු කර� ගේ�ොතාොරිස්් ගේකගේ�කු වශ්ගේයන්,
19. කල්කුඩො, පොසිකුඩො, ජී. ටී. ඉංගේස්ඩ්. පොර, අංංක 67 හි පදිංචි, සුජ්‍යො කන්ෙස්ොමි ගේමගේ�විය, මඩකලපුව අංධිකර� කලොපය තුළා ඉංංග්‍රීසි
භාොෂාොගේවන් කටයුතු කර� ගේ�ොතාොරිස්් ගේකගේ�කු වශ්ගේයන්,
20. නුගේ�ගේගොඩ, විගේේවර්ධ�ොරොම පොර, අංංක 11/1/1 හි පදිංචි, ගේකෝරගේල්ව�ගේ� ගමරොලලොගේ� නිපුනි උ�පලො ධර්මවර්ධ�ගේ මගේ�විය,
ගේකොළාඹ අංධිකර� කලොපය තුළා ඉංංග්‍රීසි භාොෂාොගේවන් කටයුතු කර� ගේ�ොතාොරිස්් ගේකගේ�කු වශ්ගේයන්,
21. මොතාගේල්, ගේල�ගේෙොර, අංංක 101/ඩී හි පදිංචි, ගේහ්ර� මුදියන්ගේස්්ලොගේ� ගේකොගේලොන්ගේගොල්ගේල් ගේගෙර අංගේප්ක්ෂාො නිර්මොණි
කරු�ොර�� ගේමගේ�විය, මහනුවර අංධිකර� කලොපය තුළා ඉංංග්‍රීසි භාොෂාොගේවන් කටයුතු කර� ගේ�ොතාොරිස්් ගේකගේ�කු වශ්ගේයන්,
ගරු අංමොතායතුමොගේ� නියමය පරිදි,
එස්්. ආවේ�ෝ්කබණ්ඩාෝර,
ගේල්කම්.
රොජ්‍යය පරිපොල�, පළාො� ස්භාො ස්හ පළාො� පොල� අංමොතායොංශ්ය.
2025 ගේෙස්ැම්බර් මස් 26 වැනි දි�,
ගේකොළාඹ දී ය.
EOG 01 - 0054$2
Y%S ,xld rcfha uqøK fomd¾;fïka;=fõ uqøKh lrk ,§'</t>
  </si>
  <si>
    <t>63998556-74ea-4e39-9fc3-cedaa00dbf85</t>
  </si>
  <si>
    <t>2470_29</t>
  </si>
  <si>
    <t>2470/29</t>
  </si>
  <si>
    <t>Land Acquisition Act (Chapter 460), Section 5 — Notice of Intended Acquisition (Gazette 2470/29)</t>
  </si>
  <si>
    <t>m1/raw/2470_29.pdf</t>
  </si>
  <si>
    <t>III ෙකාටස - ශී ලංකා පජාතාන්තික සමාජවාදී ජනරජෙය් අති විෙශෂ ගැසට් පතය - 2026.01.08 1A
பகுதி III - இலங்ைகச் சனநாயக ேசாச(cid:8098)சக் கு(cid:8074)யரசு வர்த்தமானப் பத்திாிைக - அதி விேசஷமான(cid:8080) - 2026.01.08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22447700// 2299 -- 22002266 ජජනනවවාාරිරි මමසස 0077 වවැැනිනි බබදදාාදදාා -- 22002266..0011..0077
22447700//2299 ஆஆம்ம் இஇலலக்க்ககம்ம் -- 22002266 ஆஆம்ம் ஆஆண்ண்(cid:8076)(cid:8076) சசனனவவாாிி மமாாததம்ம் 0077 ஆஆந்ந் ததிிககததிி (cid:8087)(cid:8087)ததன்ன்ககிிழழைைமம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காணி; ெதற்கு: அத்(cid:8080)(cid:8094)கிாிய (cid:8106)தியின் ஆதன இலக்கம்
ெதாியாத எம்.எல்.ெபேரரா உாிைம ேகா(cid:8094)ம் காணி, (cid:8106)தி,
5 ஆம் பிாிவின் ப(cid:8074)யான பிரகடனம் அத்(cid:8080)(cid:8094)கிாிய (cid:8106)தியின் ஆதன இலக்கம் மற்(cid:8096)ம் உாிைமயாளர்
ெதாியாத காணி மற்(cid:8096)ம் காணியின் ெபயர் மற்(cid:8096)ம்
உாிைமயாளர் ெதாியாத காணி ; ேமற்கு: காணியின் ெபயர்
கீழ்க்கா(cid:8078)ம் காணி ஒ(cid:8094) பகிரங்கத் ேதைவக்கு ேவண்(cid:8074)யதாய்
மற்(cid:8096)ம் உாிைமயாளர் ெதாியாத காணி மற்(cid:8096)ம் அத்(cid:8080)(cid:8094)கிாிய
இ(cid:8094)க்கின்றெதன்(cid:8096)ம் காணி எ(cid:8076)த்தற் சட்டத்தின் ஏற்பா(cid:8076)
(cid:8106)தியின் ஆதன வாி இலக்கம் ெதாியாத ாீ.ேக.விதானேக
களின் பிரகாரம் அ(cid:8080) எ(cid:8076)த்(cid:8080)க் ெகாள்ளப்ப(cid:8076)ெமன்(cid:8096)ம் காணி
உாிைம ேகா(cid:8094)ம் காணி.
எ(cid:8076)த்தற் சட்டத்தின் 5 ஆம் பிாிவின் (1) ஆம் உபபிாிவின்
பிரகாரம் கமத்ெதாழில், கால்நைட வளங்கள், காணி மற்(cid:8096)ம்
ேக. (cid:8074). லால் காந்த,
நீர்ப்பாசன அைமச்சர் குரகமேக ெதான் லால் காந்த ஆகிய
கமத்ெதாழில், கால்நைட வளங்கள்,
நான், இத்தால் பிரகடனம் ெசய்கின்ேறன்.
காணி மற்(cid:8096)ம் நீர்ப்பாசன அைமச்சர்.
ேமல் மாகாணம், ெகா(cid:8104)ம்(cid:8087) மாவட்டம், மஹரகம
என(cid:8080) இல. : 4-3/11/2021/H/202.
பிரேதச ெசயலகத்தின் இல. 496 ெகாட்டாவ ெதற்கு கிராம
கமத்ெதாழில், கால்நைட வளங்கள், காணி மற்(cid:8096)ம்
அ(cid:8100)வலர் பிாிவின் ெகாட்டாவ கிராமத்தில் அைமந்(cid:8080)ள்ள,
நீர்ப்பாசன அைமச்சு,
நில அளைவயாளர் நாயகத்தால் 2022.08.27 ஆந் திகதி
“மிஹிகத ெம(cid:8080)ர”,
தயாாிக்கப்பட்ட (cid:8089)தற் சுவட்(cid:8076) இல. CO/MHR/2022/136 இல்
காணிச் ெசயலகம்,
குறிப்பிடப்பட்ட காணியின் எல்ைலகள்:
இரஜமல்வத்ைத (cid:8106)தி,
0011.. (cid:8080)(cid:8080)ண்ண்(cid:8076)(cid:8076) “A” -- எஎட்ட்டடம்ம்பபககஹஹவவத்த்தத மமற்ற்(cid:8096)(cid:8096)ம்ம் சசம்ம்(cid:8087)(cid:8087)த்த்ததிி பத்தர(cid:8089)ல்ைல,
2025, ெசத்ெதம்பர் 11.
அஅம்ம்பபககஹஹவவத்த்தத -- வவிிஸ்ஸ்ததீீரரணணம்ம் :: 00..00118899 ெெஹஹக்க்டடயயாார்ர்
வடக்கு: அத்(cid:8080)(cid:8094)கிாிய (cid:8106)தியின் ஆதன வாி இலக்கம்
EOG 01-0055
ெதாியாத ாீ.ேக.விதானேக உாிைம ேகா(cid:8094)ம் காணி, (cid:8106)தி
மற்(cid:8096)ம் அத்(cid:8080)(cid:8094)கிாிய (cid:8106)தியின் ஆதன இலக்கம் மற்(cid:8096)ம்
உாிைமயாளர் ெதாியாத காணி ; கிழக்கு:(cid:8106)தி, அத்(cid:8080)(cid:8094)கிாிய
(cid:8106)தியின் ஆதன இலக்கம் மற்(cid:8096)ம் உாிைமயாளர் ெதாியாத
காணி, அத்(cid:8080)(cid:8094)கிாிய (cid:8106)தியின் ஆதன இலக்கம் ெதாியாத
எம்.எல்.ெபேரரா உாிைம ேகா(cid:8094)ம் காணி மற்(cid:8096)ம் அத்(cid:8080)(cid:8094)கிாிய
(cid:8106)தியின் ஆதன இலக்கம் மற்(cid:8096)ம் உாிைமயாளர் ெதாியாத
1A - G46032- 24 (2026/01)
இவ் அதிவி ேஷட வர்த்தமானிைய www.documents.gov.lk எ(cid:8084)ம் இைணயத்தளத்தி(cid:8098)(cid:8094)ந்(cid:8080) பதிவிறக்கம் ெசய்ய (cid:8089)(cid:8074)(cid:8092)ம்.
2A III ෙකාටස - ශී ලංකා පජාතාන්තික සමාජවාදී ජනරජෙය් අති විෙශෂ ගැසට් පතය - 2026.01.07
பகுதி III - இலங்ைகச் சனநாயக ேசாச(cid:8098)சக் கு(cid:8074)யரசு வர்த்தமானப் பத்திாிைக - அதி விேசஷமான(cid:8080) - 2026.01.07
ககாாணணிி எஎ(cid:8076)(cid:8076)த்த்ததற்ற் சசட்ட்டடம்ம் ((அஅத்த்ததிியயாாயயம்ம் 446600)) எ(cid:8076)த்தற் சட்டத்தின் 5 ஆம் பிாிவின் (1) ஆம் உபபிாிவின்
பிரகாரம் கமத்ெதாழில், கால்நைட வளங்கள், காணி மற்(cid:8096)ம்
5 ஆம் பிாிவின் ப(cid:8074)யான பிரகடனம் நீர்ப்பாசன அைமச்சர் குரகமேக ெதான் லால் காந்த ஆகிய
நான், இத்தால் பிரகடனம் ெசய்கின்ேறன்.
கீழ்க்கா(cid:8078)ம் காணி ஒ(cid:8094) பகிரங்கத் ேதைவக்கு ேவண்(cid:8074)யதாய்
சப்பிரக(cid:8089)வ மாகாணம், ேககாைல மாவட்டம்,
இ(cid:8094)க்கின்றெதன்(cid:8096)ம் காணி எ(cid:8076)த்தற் சட்டத்தின் ஏற்பா(cid:8076)
அரநாயக பிரேதச ெசயலகப் பிாிவின், இல. 44.சி
களின் பிரகாரம் அ(cid:8080) எ(cid:8076)த்(cid:8080)க் ெகாள்ளப்ப(cid:8076)ெமன்(cid:8096)ம் காணி
தல்கஸ்பி(cid:8074)ய (cid:8089)ஸ்லீம்கம கிராம அ(cid:8100)வலர் பிாிவின்,
எ(cid:8076)த்தற் சட்டத்தின் 5 ஆம் பிாிவின் (1) ஆம் உபபிாிவின்
தல்கஸ்பி(cid:8074)ய கிராமத்தில் அைமந்(cid:8080)ள்ள நிலஅளைவயாளர்
பிரகாரம் கமத்ெதாழில், கால்நைட வளங்கள், காணி மற்(cid:8096)ம்
நாயகத்தினால் 2023.11.20 ஆந் திகதி தயாாிக்கப்பட்ட
நீர்ப்பாசன அைமச்சர் குரகமேக ெதான் லால் காந்த ஆகிய
சுவட்(cid:8076) வைரபட இலக்கம் KE/ARN/2023/232 இல்
நான், இத்தால் பிரகடனம் ெசய்கின்ேறன்.
விபரமாக குறிப்பிடப்பட்(cid:8076)ள்ள பின்வ(cid:8094)ம் ெபயர் மற்(cid:8096)ம்
விஸ்தீரணத்ைதக் ெகாண்ட காணித் (cid:8080)ண்(cid:8074)ன் எல்ைலகள் :
வடேமல் மாகாணத்தின், (cid:8087)த்தளம் மாவட்டத்தில்,
ெவன்னப்(cid:8087)வ பிரேதச ெசயலாளர் பிாிவில், இல. 486 ஏ,
0011.. (cid:8080)(cid:8080)ண்ண்(cid:8076)(cid:8076) “A” -- சசலலவவேேஹஹ குகும்ம்(cid:8087)(cid:8087)ரர மமற்ற்(cid:8096)(cid:8096)ம்ம் கக(cid:8087)(cid:8087)ேேஹஹ குகும்ம்(cid:8087)(cid:8087)ரர --
ெமத நயினமடம கிராம அ(cid:8100)வலர் பிாிவில் நயினமடம
வவிிஸ்ஸ்ததீீரரணணம்ம் :: 00..88000022 ெெஹஹக்க்டடயயாார்ர்
கிராமத்தில் அைமந்த, நில அளைவயாளர் நாயகத்தினால்
வடக்கு: பாைத, அ(cid:8094)வி மற்(cid:8096)ம் உாிைம ேகா(cid:8094)பவைர
2022.05.27 ஆம் திகதி தயாாிக்கப்பட்ட ஆரம்ப வைரபட
இனங்கான (cid:8089)(cid:8074)யாத மல்வாேன விதாெனேஹ கும்(cid:8087)ர ;
இல. PU/WNN/2021/539 இல் விபரமாக குறிப்பிடப்பட்(cid:8076)ள்ள
கிழக்கு: எம். எஸ். எம் பா(cid:8095)க் மற்(cid:8096)ம் எம். எஸ். எம் நஜீப்
பின்வ(cid:8094)ம் ெபயர் மற்(cid:8096)ம் விஸ்தீரணத்ைதக் ெகாண்ட காணித்
உாிைம ேகா(cid:8094)ம் சலவஹ கும்(cid:8087)ர, க(cid:8087)ேஹ கும்(cid:8087)ர, எம். எஸ்.
(cid:8080)ண்(cid:8074)ன் எல்ைலகள் :
எம் ாியாஸ் உாிைம ேகா(cid:8094)ம் சலவேஹ கும்(cid:8087)ர மற்(cid:8096)ம் க(cid:8087)ேஹ
0011.. (cid:8080)(cid:8080)ண்ண்(cid:8076)(cid:8076) “B” -- ககலலயயாாயயவவத்த்தத -- வவிிஸ்ஸ்ததீீரரணணம்ம் :: 00..11001122 கும்(cid:8087)ர, மற்(cid:8096)ம் அ(cid:8094)வி; ெதற்கு: ெதற்கு: எம்.எஸ். எம் ாியாஸ்
உாிைம ேகா(cid:8094)ம் சலவேஹ கும்(cid:8087)ர மற்(cid:8096)ம் க(cid:8087)ேஹ கும்(cid:8087)ர
ெெஹஹக்க்டடயயாார்ர்
அ(cid:8094)வி, எம்.எஸ். ஏம் நதிம் உாிைம ேகா(cid:8094)ம் க(cid:8087)ேஹ கும்(cid:8087)ர
வடக்கு: (cid:8080)ண்(cid:8076) A ; கிழக்கு:(cid:8106)தி ((cid:8106)தி அபிவி(cid:8094)த்தி அதிகார
மற்(cid:8096)ம் ஏ.ஜீ.எம் ாிசாத் உாிைம ேகா(cid:8094)ம் க(cid:8087)ேஹ கும்(cid:8087)ர ;
சைப ); ெதற்கு: க.வ. 410036 ெதாகுதி 2 இல் (cid:8080)ண்(cid:8076) இல.
ேமற்கு: ஏ.ஜீ.எம் ாிசாத் உாிைம ேகா(cid:8094)ம் க(cid:8087)ேஹ கும்(cid:8087)ர,
528; ேமற்கு: க.வ. 410036 ெதாகுதி 2 இல் (cid:8080)ண்(cid:8076) இல. 527.
பாைத மற்(cid:8096)ம் அ(cid:8094)வி.
ேக. (cid:8074). லால் காந்த,
ேக. (cid:8074). லால் காந்த,
கமத்ெதாழில், கால்நைட வளங்கள்,
கமத்ெதாழில், கால்நைட வளங்கள்,
காணி மற்(cid:8096)ம் நீர்ப்பாசன அைமச்சர்.
காணி மற்(cid:8096)ம் நீர்ப்பாசன அைமச்சர்.
என(cid:8080) இல. : 4-3/18/2021/WS/112.
என(cid:8080) இல. : 4-3/13/2022/PC/320.
கமத்ெதாழில், கால்நைட வளங்கள், காணி மற்(cid:8096)ம்
கமத்ெதாழில், கால்நைட வளங்கள், காணி மற்(cid:8096)ம்
நீர்ப்பாசன அைமச்சு,
நீர்ப்பாசன அைமச்சு,
“மிஹிகத ெம(cid:8080)ர”,
“மிஹிகத ெம(cid:8080)ர”,
இரஜமல்வத்ைத (cid:8106)தி,
இரஜமல்வத்ைத (cid:8106)தி,
பத்தர(cid:8089)ல்ைல,
பத்தர(cid:8089)ல்ைல,
2025, ெசத்ெதம்பர் 11.
2025, ெசத்ெதம்பர் 11.
EOG 01-0056
EOG 01-0062
ககாாணணிி எஎ(cid:8076)(cid:8076)த்த்ததற்ற் சசட்ட்டடம்ம் ((அஅத்த்ததிியயாாயயம்ம் 446600))
5 ஆம் பிாிவின் ப(cid:8074)யான பிரகடனம்
கீழ்க்கா(cid:8078)ம் காணி ஒ(cid:8094) பகிரங்கத் ேதைவக்கு ேவண்(cid:8074)யதாய்
இ(cid:8094)க்கின்றெதன்(cid:8096)ம் காணி எ(cid:8076)த்தற் சட்டத்தின் ஏற்பா(cid:8076)
களின் பிரகாரம் அ(cid:8080) எ(cid:8076)த்(cid:8080)க் ெகாள்ளப்ப(cid:8076)ெமன்(cid:8096)ம் காணி
இலங்ைக அரசாங்க அச்சுத் திைணக்களத்தில் அச்சிடப்பட்ட(cid:8080).</t>
  </si>
  <si>
    <t>01780bab-76c7-4c6e-8a45-d0b2e9301ca3</t>
  </si>
  <si>
    <t>2470_30</t>
  </si>
  <si>
    <t>2470/30</t>
  </si>
  <si>
    <t>Co-operative Societies Act No. 5 of 1972 — Notice (Gazette 2470/30)</t>
  </si>
  <si>
    <t>1972 අංක 5 දරන සමුපකාර සමිති පනත යටතේ දැන්වීම</t>
  </si>
  <si>
    <t>1972 ஆம் ஆண்டின் 5 ஆம் இலக்க கூட்டுறவுச் சங்கங்கள் சட்டத்தின் கீழ் அறிவித்தல்</t>
  </si>
  <si>
    <t>Cooperative society notice under Section 43 of the Co-operative Societies Act No. 5 of 1972. References 1980 Act No. 16 in Schedule 3(අ). Part I — General. Dated 7 January 2026.</t>
  </si>
  <si>
    <t>Co-operative Societies Act, No. 5 of 1972</t>
  </si>
  <si>
    <t>cooperative_societies</t>
  </si>
  <si>
    <t>m1/raw/2470_30.pdf</t>
  </si>
  <si>
    <t>I : ෙකාටස (I) ෙඡදය - (cid:636) ලංකා (cid:541)ජාතා(cid:486)(cid:437)ක සමාජවා(cid:463) ජනරජෙ(cid:591) අ(cid:431) (cid:618)ෙශෂ ගැස(cid:376) ප(cid:436)ය - 2026.01.07 1A
பகுதி I : ெதாகுதி I - இலங்ைகச் சனநாயக ேசாச(cid:8098)சக் கு(cid:8074)யரசு வர்த்தமானப் பத்திாிைக - அதி விேசஷமான(cid:8080) - 2026.01.07
(cid:636)(cid:636) ලලංංකකාා (cid:541)(cid:541)ජජාාතතාා(cid:486)(cid:486)(cid:437)(cid:437)කක සසමමාාජජවවාා(cid:463)(cid:463) ජජනනරරජජෙෙ(cid:591)(cid:591) ගගැැසස(cid:376)(cid:376) පප(cid:436)(cid:436)යය
අ(cid:431) (cid:618)ෙශෂ
இஇலலங்ங்ைைககச்ச் சசனனநநாாயயகக ேேசசாாசச(cid:8098)(cid:8098)சசக்க் குகு(cid:8074)(cid:8074)யயரரசுசு வவர்ர்த்த்ததமமாானனப்ப் பபத்த்ததிிாாிிைைகக
அதி விேசஷமான(cid:8080)
අඅංංකක 22447700// 3300 -- 22002266 ජජනනවවාා(cid:604)(cid:604) මමසස 0077 වවැැ(cid:487)(cid:487) බබදදාාදදාා -- 22002266..0011..0077
2470/30 ஆம் இலக்கம் - 2026 ஆம் ஆண்(cid:8076) சனவாி மாதம் 07 ஆந் திகதி (cid:8087)தன்கிழைம
(அரசாங்கத்தின் அதிகாரத்(cid:8080)டன் பிரசுாிக்கப்பட்ட(cid:8080))
பபகுகுததிி II :: ெெததாாகுகுததிி ((II)) -- ெெபபாா(cid:8080)(cid:8080)
அஅரரசசாாங்ங்கக அஅறறிிவவிித்த்ததல்ல்ககள்ள்
சசங்ங்ககங்ங்ககள்ள் ககட்ட்டடைைளளச்ச் சசட்ட்டடம்ம்
சங்கங்கள் கட்டைளச் சட்டத்தின் (அத்தியாயம் 123) 3 மற்(cid:8096)ம் 4 ஆம் பிாிவினால் எனக்குாித்தாக்கப்பட்ட தத்(cid:8080)வங்கைளக்
ெகாண்(cid:8076) வா்த்தக, வாணிப, உண(cid:8107)ப்பா(cid:8080)காப்(cid:8087) மற்(cid:8096)ம் கூட்(cid:8076)ற(cid:8107) அபிவி(cid:8094)த்தி அைமச்சா் வசந்த சமரசிங்ஹ ஆகிய நான்,
1. இல. 43, ெபரெகால்லாவத்த, எம்பலவ, ெதமட்ட(cid:8102)வ என்ற (cid:8089)கவாியில் அைமந்(cid:8080)ள்ள சூா்ேயாத சன்விதான எக(cid:8089)த்(cid:8080)வ
என்ற ெபயைரக் ெகாண்ட சங்கத்திைன கீழ்வ(cid:8094)ம் ேநாக்கங்கைள நிைறேவற்(cid:8096)வதற்காக 1891 ஆம் ஆண்(cid:8074)ன் 16 ஆம்
இலக்க சங்கங்கள் கட்டைளச் சட்டத்தின் 3 (ஆ) ஆம் பிாிவின் கீழ் பதி(cid:8107)ெசய்ய அதிகாரமளிக்கின்ேறன்.
I. இலங்ைகயில் பலமான ச(cid:8090)கெமான்ைறப் ேப(cid:8078)வதற்கு ேதைவயான ஆதரவிைன வழங்குதல்.
II. இலங்ைகப் பிரைஜகளின் ச(cid:8090)க ெதாழில் (cid:8089)யற்சிைய வ(cid:8100)(cid:8108)ட்(cid:8076)வதற்கும் ேமம்ப(cid:8076)த்(cid:8080)வதற்கும் அரச மற்(cid:8096)ம்
தனியாா் (cid:8080)ைறக(cid:8102)க்கு ஆதரவளித்தல்.
III. ஒவ்ெவா(cid:8094) கிராமத்தி(cid:8100)ம் ஜனநாயக ச(cid:8090)கத்தினால் ஒ(cid:8104)ங்கைமக்கப்பட்(cid:8076) ேபணப்ப(cid:8076)ம் தன்னா்வ ெதாண்(cid:8076)
நி(cid:8096)வனங்கைள ஐக்கியப்ப(cid:8076)த்(cid:8080)தல் மற்(cid:8096)ம் அந்த அைமப்(cid:8087)களின் ேநாக்கங்கைள அைடவதற்கு ேதைவயான
நடவ(cid:8074)க்ைககளில் தைலயீ(cid:8076) ெசய்தல்.
iv. ஜனநாயகம், ச(cid:8090)கம் மற்(cid:8096)ம் ெபா(cid:8094)ளாதார உாிைமகைளப் பா(cid:8080)காப்பதற்கு ேதைவயான நடவ(cid:8074)க்ைககைள
எ(cid:8076)த்தல்.
v. அைமப்(cid:8087)சாரா மக்கைள ஒ(cid:8104)ங்கைமத்தல்
1A - G46033 - 04 (2026/01)
இவ் அதிவி ேஷட வர்த்தமானிைய www.documents.gov.lk எ(cid:8084)ம் இைணயத்தளத்தி(cid:8098)(cid:8094)ந்(cid:8080) பதிவிறக்கம் ெசய்ய (cid:8089)(cid:8074)(cid:8092)ம்.
2A I : ෙකාටස (I) ෙඡදය - (cid:636) ලංකා (cid:541)ජාතා(cid:486)(cid:437)ක සමාජවා(cid:463) ජනරජෙ(cid:591) අ(cid:431) (cid:618)ෙශෂ ගැස(cid:376) ප(cid:436)ය - 2026.01.07
பகுதி I : ெதாகுதி I - இலங்ைகச் சனநாயக ேசாச(cid:8098)சக் கு(cid:8074)யரசு வர்த்தமானப் பத்திாிைக - அதி விேசஷமான(cid:8080) - 2026.01.07
2. சங்கங்கள் கட்டைளச் சட்டத்தின் 5(4) ஆம் பிாிவின் ஏற்பா(cid:8076)களி(cid:8098)(cid:8094)ந்(cid:8080) ேமற்குறித்த சங்கத்திற்கு வி(cid:8076)விப்பளித்(cid:8080)
அக்கட்டைளச் சட்டத்தின் பிரேயாகத்ைத வைரய(cid:8096)க்கிேறன்.
வவசசந்ந்தத சசமமரரசசிிங்ங்ஹஹ,,
வா்த்தக, வாணிப,
உண(cid:8107)ப்பா(cid:8080)காப்(cid:8087) மற்(cid:8096)ம்
கூட்(cid:8076)ற(cid:8107) அபிவி(cid:8094)த்தி அ ை◌மச்சா்.
வா்த்தக, வாணிப, உண(cid:8107)ப்பா(cid:8080)காப்(cid:8087) மற்(cid:8096)ம் கூட்(cid:8076)ற(cid:8107) அபிவி(cid:8094)த்தி அைமச்சு,
இல. 492, இரண்டாம் மா(cid:8074),
எல். எச். பி கட்(cid:8074)டம்,
ஆா் ஏ (cid:8074) ெமல் மாவத்ைத,
ெகா(cid:8104)ம்(cid:8087) 03.
2025, திெசம்பர் 29,
EOG 01-0057/1
சசங்ங்ககங்ங்ககள்ள் ககட்ட்டடைைளளச்ச் சசட்ட்டடம்ம்
சங்கங்கள் கட்டைளச் சட்டத்தின் (அத்தியாயம் 123) 3 மற்(cid:8096)ம் 4 ஆம் பிாிவினால் எனக்குாித்தாக்கப்பட்ட தத்(cid:8080)வங்கைளக்
ெகாண்(cid:8076) வா்த்தக, வாணிப, உண(cid:8107)ப்பா(cid:8080)காப்(cid:8087) மற்(cid:8096)ம் கூட்(cid:8076)ற(cid:8107) அபிவி(cid:8094)த்தி அைமச்சா் வசந்த சமரசிங்ஹ ஆகிய நான்,
இந்த அறிவித்தல் (cid:8090)லம்.
1. ெபா(cid:8080) மற்(cid:8096)ம் தனியாா் (cid:8080)ைறகளில் ெபாறியாளர்/ ெபாறியாளர் உதவியாளர்/ ெதாழில்(cid:8082)ட்ப அதிகாாி மற்(cid:8096)ம் NVQ
- 6 அல்ல(cid:8080) NVQ - 5 தகுதிக(cid:8102)டன் பணி கண்காணிப்பாளா் ேபான்ற பதவிகளில் பணி(cid:8087)ாி(cid:8092)ம் உ(cid:8096)ப்பினா்களின்
உாிைமகைளப் பா(cid:8080)காக்க(cid:8107)ம் ேமம்ப(cid:8076)த்த(cid:8107)ம் சட்டப்(cid:8088)ா்வ அங்கீகாரத்(cid:8080)டன் உ(cid:8096)ப்பினா்களின் உச்ச அைமப்பாக ஒ(cid:8094)
அைமப்ைப நி(cid:8096)(cid:8107)தல்.
2. பல்ேவ(cid:8096) (cid:8080)ைறகள்/ நி(cid:8096)வனங்கள்/ நி(cid:8096)வனங்களில் தற்ேபா(cid:8080) ெவவ்ேவ(cid:8096) (cid:8089)தலாளி வைககளின் கீழ் பணி(cid:8087)ாி(cid:8092)ம்
NVQ - 6 அல்ல(cid:8080) NVQ - 5 இல் தகுதி ெபற்ற அைனத்(cid:8080) உ(cid:8096)ப்பினா்க(cid:8102)க்கும் ெபா(cid:8094)த்தமான மற்(cid:8096)ம் ெபா(cid:8094)த்தமான
ேவைலவாய்ப்(cid:8087) வைகையப் ெபற பா(cid:8076)ப(cid:8076)தல்.
3. (cid:8080)ைற அைமச்சகங்கள் மற்(cid:8096)ம் பிற ெபா(cid:8096)ப்பான நி(cid:8096)வனங்க(cid:8102)டன் ெதாடா்(cid:8087) ெகாண்(cid:8076) ெதாழி(cid:8098)ன் தரத்ைத
ேமம்ப(cid:8076)த்(cid:8080)ம் ெசயல்பாட்(cid:8074)ல் வசதிகைள/ ெதாடா்(cid:8087)கைள ஏற்ப(cid:8076)த்த உதவி வழங்குதல்.
4. உ(cid:8096)ப்பினா்களின் ெதாழில் மற்(cid:8096)ம் உ(cid:8096)ப்பினா்களின் திறன்க(cid:8102)க்கான பாடத்திட்டங்கைள உ(cid:8094)வாக்க உதவியாக
இ(cid:8094)க்கும் நிா்வாக அைமப்(cid:8087)கள்/ ெகாள்ைக வகுப்பாளா்கள் மற்(cid:8096)ம் பயிற்சி நி(cid:8096)வனங்க(cid:8102)க்கு (cid:8089)ன்ெமாழி(cid:8107)கைள
சமா்ப்பித்தல்.
5. உ(cid:8096)ப்பினா்களின் ேவைலவாய்ப்(cid:8087) ெதாடா்பான பிரச்சிைனகைளத் தீா்க்க உதவி வழங்குதல் மற்(cid:8096)ம்
ஒப்(cid:8087)க்ெகாள்ளப்பட்ட/ அங்கீகாிக்கப்பட்ட விதிகளின் கீழ் சட்ட உதவி வழங்குதல்.
ேநாக்கங்க(cid:8102)க்கிணங்க இல. 85, மனந்(cid:8081)வ, வஸ்க(cid:8076)வ என்ற (cid:8089)கவாியில் அைமந்(cid:8080)ள்ள ெசாைசட்(cid:8074) ஒப் இன்ஜினியாிங்
சா்விசஸ் ஒபிசாஸ் (cid:8098)மிடட் என்ற ெபயைரக் ெகாண்ட சங்கத்திைன 1891 ம் ஆண்(cid:8076) 16ம் இலக்க சட்டத்தின் கீழ் பதி(cid:8107)ெசய்ய
அதிகாரமளிக்கின்ெறன்.
வவசசந்ந்தத சசமமரரசசிிங்ங்ஹஹ,,
வா்த்தக, வாணிப,
உண(cid:8107)ப்பா(cid:8080)காப்(cid:8087) மற்(cid:8096)ம்
கூட்(cid:8076)ற(cid:8107) அபிவி(cid:8094)த்தி அ ைமச்சா்.
வா்த்தக, வாணிப, உண(cid:8107)ப்பா(cid:8080)காப்(cid:8087) மற்(cid:8096)ம் கூட்(cid:8076)ற(cid:8107) அபிவி(cid:8094)த்தி அைமச்சு,
இல. 492, இரண்டாம் மா(cid:8074),
எல். எச். பி கட்(cid:8074)டம்,
ஆா் ஏ (cid:8074) ெமல் மாவத்ைத,
ெகா(cid:8104)ம்(cid:8087) 03.
2025, திெசம்பர் 29,
EOG 01-0057/2
I : ෙකාටස (I) ෙඡදය - (cid:636) ලංකා (cid:541)ජාතා(cid:486)(cid:437)ක සමාජවා(cid:463) ජනරජෙ(cid:591) අ(cid:431) (cid:618)ෙශෂ ගැස(cid:376) ප(cid:436)ය - 2026.01.07 3A
பகுதி I : ெதாகுதி I - இலங்ைகச் சனநாயக ேசாச(cid:8098)சக் கு(cid:8074)யரசு வர்த்தமானப் பத்திாிைக - அதி விேசஷமான(cid:8080) - 2026.01.07
சசங்ங்ககங்ங்ககள்ள் ககட்ட்டடைைளளச்ச் சசட்ட்டடம்ம்
சங்கங்கள் கட்டைளச் சட்டத்தின் (அத்தியாயம் 123) 3 மற்(cid:8096)ம் 4 ஆம் பிாிவினால் எனக்குாித்தாக்கப்பட்ட தத்(cid:8080)வங்கைளக்
ெகாண்(cid:8076) வா்த்தக, வாணிப, உண(cid:8107)ப்பா(cid:8080)காப்(cid:8087) மற்(cid:8096)ம் கூட்(cid:8076)ற(cid:8107) அபிவி(cid:8094)த்தி அைமச்சா் வசந்த சமரசிங்ஹ ஆகிய நான்,
1. தார(cid:8102)வ, தார(cid:8102)வ இலங்ைக என்ற (cid:8089)கவாியில் ெமட்ஷூ ெநச்சுரல் பாமர்ஸ் எேசாசிேயசன் என்ற ெபயைரக் ெகாண்ட
சங்கத்திைன கீழ்வ(cid:8094)ம் ேநாக்கங்கைள நிைறேவற்(cid:8096)வதற்காக 1891 ஆம் ஆண்(cid:8074)ன் 16 ஆம் இலக்க சங்கங்கள் கட்டைளச்
சட்டத்தின் 3 (ஆ) ஆம் பிாிவின் கீழ் பதி(cid:8107)ெசய்ய அதிகாரமளிக்கின்ேறன்.
I. இலங்ைகயில் அைமந்(cid:8080)ள்ள ெதன்ைன நிலங்களில் ேதங்காய் விைளச்சைல அதிகாிப்பதன் (cid:8090)லம் விவசாயிகளின்
வாழ்வாதாரத்ைத ேமம்ப(cid:8076)த்(cid:8080)தல்.
II. இலங்ைகயில் ெதங்கின் பற்றாக்குைறைய குைறத்தல்.
III. உ(cid:8096)ப்பினர்களின் ேதங்காய் அ(cid:8096)வைடக்கு நியாயமான விைலைய வழங்குதல்.
2. சங்கங்கள் கட்டைளச்சட்டத்தின் 5 (4) ஆம் பிாிவின் ஏற்பா(cid:8076)களி(cid:8098)(cid:8094)ந்(cid:8080) ேமற்குறித்த சங்கத்திற்கு வி(cid:8076)விப்பளித்(cid:8080)
அக்கட்டைளச் சட்டத்தின் பிரேயாகத்ைத வைரய(cid:8096)க்கிேறன்.
வவசசந்ந்தத சசமமரரசசிிங்ங்ஹஹ,,
வா்த்தக, வாணிப,
உண(cid:8107)ப்பா(cid:8080)காப்(cid:8087) மற்(cid:8096)ம்
கூட்(cid:8076)ற(cid:8107) அபிவி(cid:8094)த்தி அ ைமச்சா்.
வா்த்தக, வாணிப, உண(cid:8107)ப்பா(cid:8080)காப்(cid:8087) மற்(cid:8096)ம் கூட்(cid:8076)ற(cid:8107) அபிவி(cid:8094)த்தி அைமச்சு,
இல. 492, இரண்டாம் மா(cid:8074),
எல். எச். பி கட்(cid:8074)டம்,
ஆா் ஏ (cid:8074) ெமல் மாவத்ைத,
ெகா(cid:8104)ம்(cid:8087) 03.
2025, திெசம்பர் 29,
ECG 01-00573
இலங்ைக அரசாங்க அச்சுத் திைணக்களத்தில் அச்சிடப்பட்ட(cid:8080).</t>
  </si>
  <si>
    <t>766e81f5-07d9-4387-bc32-19647d377f21</t>
  </si>
  <si>
    <t>2470_31</t>
  </si>
  <si>
    <t>2470/31</t>
  </si>
  <si>
    <t>Provincial Councils Act, No. 42 of 1987 — Appointment under Section 32(1) (Gazette 2470/31)</t>
  </si>
  <si>
    <t>m1/raw/2470_31.pdf</t>
  </si>
  <si>
    <t>Y%S ,xld m%cd;dka;%sl iudcjd§ ckrcfha .eiÜ m;%h
w;s úfYI
,yq;ifr; rdehaf Nrhryprf; FbauR th;j;jkhdg; gj;jphpif
mjp tpNr\khdJ
wxl 2470$31 - 2026 ckjdß ui 08 jeks n%yiam;skaod - 2026'01'08
2470/ 31 Mk; ,yf;fk; - 2026 Mk; Mz;L rdtup khjk; 08 Me; jpfjp tpahof;fpoik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22001122 ஆஆம்ம் ஆஆண்ண்டிடின்ன் 2222 ஆஆம்ம் இஇலலக்க்காகா,, உஉள்ள்ளூளூர்ர் அஅதிதிிிகாகாாாரர சசபைபைைைகாகாள்ள் தேதேதிதிர்ர்திதில்ல்காகாள்ள் ((திதிிிருருத்த்திதிம்ம்)) சசட்ட்டடத்த்திதிிினானாாால்ல்
திதிிிருருத்த்திதிிியயபைபைைைக்க்காகாப்ப்ைைட்ட்டட உஉள்ள்ளூளூர்ர் அஅதிதிிிகாகாாாரர சசபைபைைைகாகாள்ள் தேதேதிதிர்ர்திதில்ல்காகாள்ள் காகாட்ட்டடபைபைைைச்ச் சசட்ட்டடத்த்திதிிின்ன் 226622 ஆஆம்ம் அஅத்த்திதிிியயாாயயத்த்திதிிின்ன்
6666இஇ((44)) ஆஆம்ம் ைைிிாாிிவிவிிின்ன் காகாீீழ்ழ் குகுறிறிிிப்ப்ைைிிடடப்ப்ைைட்ட்டட விவிிிதிதிிிகாகாைைிின்ன் ைைடிடி நிநிிியயைைனானாங்ங்காகாள்ள் விவிழழங்ங்குகுதிதில்ல்
22001122 ஆஆம்ம் ஆஆண்ண்டிடின்ன் 2222 ஆஆம்ம் இஇலலக்க்காகா,, உஉள்ள்ளூளூர்ர் அஅதிதிிிகாகாாாரர சசபைபைைைகாகாள்ள் தேதேதிதிர்ர்திதில்ல்காகாள்ள் ((திதிிிருருத்த்திதிம்ம்)) சசட்ட்டடத்த்திதிிினானாாால்ல் திதிிிருருத்த்திதிிியயபைபைைைக்க்காகாப்ப்ைைட்ட்டட
உஉள்ள்ளூளூர்ர் அஅதிதிிிகாகாாாரர சசபைபைைைகாகாள்ள் தேதேதிதிர்ர்திதில்ல்காகாள்ள் காகாட்ட்டடபைபைைைச்ச் சசட்ட்டடத்த்திதிிின்ன் 226622 ஆஆம்ம் அஅத்த்திதிிியயாாயயத்த்திதிிின்ன் 6666இஇ((44)) ஆஆம்ம் ைைிிாாிிவிவிிின்ன் காகாீீழ்ழ்,, விவிடடதேதேைைல்ல்
ைைாாகாகாாாணணத்த்திதிிில்ல் அஅபைபைைைந்ந்துதுள்ள்ைை ஆஆனானாைைடுடுவிவி ைைிிரரதேதேதிதிசச சசபைபைைையயிில்ல் தெதெதிதிாாிிவுவு தெதெசசய்ய்யயப்ப்ைைட்ட்டட திதிபைபைலலவிவிர்ர் ைைற்ற்றுறும்ம் உஉைை திதிபைபைலலவிவிர்ர் ைைதிதிவிவிிிகாகாளுளுக்க்குகுத்த்
தேதேதிதிர்ர்ந்ந்தெதெதிதிடுடுக்க்காகாப்ப்ைைட்ட்டட அஅதிதிிிகாகாாாாாிிகாகாள்ள் காகாீீதேதேழழ உஉள்ள்ைை அஅட்ட்டடவிவிபைபைணணயயிில்ல் குகுறிறிிிப்ப்ைைிிடடப்ப்ைைட்ட்டுடுள்ள்ைைைைடிடி தேதேதிதிர்ர்ந்ந்தெதெதிதிடுடுக்க்காகாப்ப்ைைட்ட்டுடுள்ள்ைைனானார்ர் எஎன்ன்ைைபைபைதிதி
அஅறிறிிியயத்த் திதிருருகாகாிிதேதேறிறின்ன்..
எஎச்ச்.. எஎம்ம்.. சசஞ்ஞ்சசீீவிவினானாீீ தேதே��ரரத்த்,,
உஉள்ள்ளூளூரராாட்ட்சசிி ஆஆபைபைணணயயாாைைர்ர்,,
விவிடடதேதேைைல்ல் ைைாாகாகாாாணணம்ம்..
விவிடடதேதேைைல்ல் ைைாாகாகாாாணண உஉள்ள்ளூளூரராாட்ட்சசிித்த் திதிிிபைபைணணக்க்காகாைைம்ம்,,
22 ஆஆவிவிதுது ைைாாடிடி,, விவிிிதுதுசசரர,, ைைாாகாகாாாணண சசபைபைைை அஅலுலுவிவிலலகாகா காகாட்ட்டிடிடடத்த் தெதெதிதிாாகுகுதிதிிி,,
குகுருருநிநிாாகாகால்ல்..
22002266,, சசனானாவிவிாாிி� � 0088..
அஅட்ட்டடவிவிபைபைணண
ைாவிட்டம் உள்ளூர் அதிிகாார சபைையின் திபைலவிர்/ உை திபைலவிர் நிியைனாத்
தெையர் திிகாதிி
புத்திைம் ஆனாைடுவி ைிரதேதிச சபைை திபைலவிர்: 2026.01.06
திாஸ் முதிியன்தேசலாதேகா அனுர குைார ைலல ஆதேலாகா ைண்டார
உை திபைலவிர்:
அதிிகாாாி முதிியன்தேசலாதேகா இைல்கா திில்ஷாான் குைார
EEOOGG 0011 -- 00009955
1A - PG 7465 — 04 (2026/01) ,yq;if murhq;f mr;Rj; jpizf;fsj;jpw; gjpg;gpf;fg;ngw;wJ.
,t; mjptpNrl tu;j;jkhdpia www.documents.gov.lk vDk; ,izaj;jsj;jpypUe;J gjptpwf;fk; nra;a KbAk;.</t>
  </si>
  <si>
    <t>d157a8e6-f9b4-44c6-94bb-53656a37959c</t>
  </si>
  <si>
    <t>2470_32</t>
  </si>
  <si>
    <t>2470/32</t>
  </si>
  <si>
    <t>Land Acquisition Act (Chapter 460), Section 5 — Notice of Intended Acquisition (Gazette 2470/32)</t>
  </si>
  <si>
    <t>m1/raw/2470_32.pdf</t>
  </si>
  <si>
    <t>88d026bc-1b82-4e28-be43-b051f13997b3</t>
  </si>
  <si>
    <t>2470_33</t>
  </si>
  <si>
    <t>2470/33</t>
  </si>
  <si>
    <t>General Notification — Customs / Imports (Ref HA/05/20/01/01/34) (Gazette 2470/33)</t>
  </si>
  <si>
    <t>රජයේ දැන්වීම — රේගු / ආනයන (යොමු HA/05/20/01/01/34)</t>
  </si>
  <si>
    <t>அரசாங்க அறிவித்தல் — சுங்கம் / இறக்குமதி (Ref HA/05/20/01/01/34)</t>
  </si>
  <si>
    <t>General Government Notification with multiple schedule items pertaining to customs/imports under Act No. 107. Reference HA/05/20/01/01/34. Part I — General.</t>
  </si>
  <si>
    <t>customs</t>
  </si>
  <si>
    <t>m1/raw/2470_33.pdf</t>
  </si>
  <si>
    <t>Y%S ,xld m%cd;dka;%sl iudcjd§ ckrcfha .eiÜ m;%h
w;s úfYI
,yq;ifr; rdehaf Nrhryprf; FbauR th;j;jkhdg; gj;jphpif
mjp tpNr\khdJ
wxl 2470/33 - 2026 ckjdß ui 08 jeks n%yiam;skaod - 2026'01'08
2470/ 33 Mk; ,yf;fk; - 2026 Mk; Mz;L rdtup khjk; 08 Me; jpfjp tpahof;fpoik
(murhq;fj;jpd; mjpfhuj;Jld; gpuRupf;fg;gl;lJ)
gFjp I : njhFjp (I) - nghJ
murhq;f mwptpj;jy;fs;
எஎனனதுது இஇலல.. HHAA//0055//2200//0011//0011//3344
நந��ொொத்த்தாதாொொொொிிசுசு ககட்ட்டடளைளைைைச்ச் சசட்ட்டடத்த்தாதாிின்ன் ககீீழ்ழ் ��ிியயமமனனம்ம் வவழழங்ங்ககல்ல்
ந�ொத்தாொொிசு கட்டளைைச் சட்டத்தாின் (107 ஆம் அதாிகொரம்) 11 ஆவது சரத்தாின் கீழ் நகௌரவ ந�ொது �ிர்வொக, மொகொண சளை�கள்
மற்றும் உள்ளூரொட்சி அளைமச்சொினொல் 2025, தாி நசம்�ர் மொதாம் 08 ஆந் தாிகதாியிலிருந்து �ளைடமுளைையில் வரும் வளைகயில் கீழழ
குைிப்�ிடப்�ட்டுள்ை �ியமனங்கள் வழங்கப்�ட்டுள்ைநதான இத்தாொல் அைிவிக்கப்�டுகிைது.
1. தாியதாலொவ, ஜயமினிபுர, கிரவனொகல் �ிஸ்ஸ இல் வதாியும் நசல்வி ந�ட்டி முதாியன்ழசலொழக இழரஷாொ அனு�மொ குமொொி
அவர்கள், �துளைை �ீதாி வலயத்தாினுள் சிங்கை நமொழியில் �ணியொற்றும் ந�ொத்தாொொிசு ஒருவரொக.
2. நகொழும்பு 05, �ொர்க் வீதாி, அன்டர்சன் ப்ைட்ஸ், 'ஜி' ப்நைொக், இல. 2/9 இல் வதாியும் தாிருமதாி நசல்வரொஜொ அஸ்வினிஜொ
அவர்கள், நகொழும்பு �ீதாி வலயத்தாினுள் ஆங்கில நமொழியில் �ணியொற்றும் ந�ொத்தாொொிசு ஒருவரொக.
3. அம்�லங்நகொட, ரன்நதாொம்ழ�, சுசித்ரொரொம வி�ொளைர வீதாி, இல. 20/5/டி இல் வதாியும் தாிரு. அகம்ந�ொடி சஞ்ஜீவ நமண்டிஸ்
அவர்கள், �ல�ிட்டிய �ீதாி வலயத்தாினுள் சிங்கை நமொழியில் �ணியொற்றும் ந�ொத்தாொொிசு ஒருவரொக.
4. ழவ�ட, ழவ�ட நதாற்கு, இல. 151 இல் வதாியும் நசல்வி �ொழ� லியன ஆரச்சிழக கவ்மினி தாத்சரனி �ொணயக்கொர அவர்கள்,
கம்��ொ �ீதாி வலயத்தாினுள் ஆங்கில நமொழியில் �ணியொற்றும் ந�ொத்தாொொிசு ஒருவரொக.
5. இ�ல நகொமுநகொமுவ, கடுந�ொதா, இல. 1/1110 இல் வதாியும் தாிருமதாி சு�சிங்� அப்பு�ொமிலொழக சந்துனி ந�லுனிகொ
சு�சிங்� அவர்கள், குைியொ�ிட்டிய �ீதாி வலயத்தாினுள் சிங்கை நமொழியில் �ணியொற்றும் ந�ொத்தாொொிசு ஒருவரொக.
1A - G 46036 — 04 (2026/01)
,t; mjptpNrl tu;j;jkhdpia www.documents.gov.lk vDk; ,izaj;jsj;jpypUe;J gjptpwf;fk; nra;a KbAk;.
2A I fldgi ( ^I&amp; fPoh - YS% ,xld m%cd;dka;s%l iudcjd§ ckrcfha w;s úfYI .eiÜ m;%h - 2026'01'08
gFjp I : njhFjp (I) - ,yq;ifr; rdehaf Nrhryprf; FbauR tu;j;jkhdg; gj;;jpupif - mjp tpNr\khdJ - 2026.01.08
6. யடியந்ழதாொட்ளைட, உடு�ிட்டிய, ம�வில வீதாி, இல. சி/5/4 இல் வதாியும் தாிரு. �ொரகல கங்கொனமலொழக சதாிர தாீக்ஷா ண
�ொரகல அவர்கள், அவிசொவளைை �ீதாி வலயத்தாினுள் சிங்கை நமொழியில் �ணியொற்றும் ந�ொத்தாொொிசு ஒருவரொக.
7. தாங்நகொடுவ, �ொல்தாடுவன நதாற்கு, நவகட வீதாி இல் வதாியும் தாிருமதாி ஜயசிங்� ஆரச்சிழக விஜொனி வசந்தாிகொ அவர்கள்,
சிலொ�ம் �ீதாி வலயத்தாினுள் சிங்கை நமொழியில் �ணியொற்றும் ந�ொத்தாொொிசு ஒருவரொக.
8. விதாொரன்நதானிய, குடொந�தாிகம, இல. 205�ி இல் வதாியும் தாிருமதாி ரணவீர ஆரச்சிழக �ியுமி �ிசங்சலொ அவர்கள், தாங்கொளைல
�ீதாி வலயத்தாினுள் சிங்கை நமொழியில் �ணியொற்றும் ந�ொத்தாொொிசு ஒருவரொக.
9. ந�நடொல்�ிடிய, நமதாகம, இல. 41/ஏ இல் வதாியும் தாிருமதாி ந�ட்டி ஆரச்சி விக்ரமழக சுஜீவொ சழரொஜனீ அவர்கள்,
தாங்கொளைல �ீதாி வலயத்தாினுள் சிங்கை நமொழியில் �ணியொற்றும் ந�ொத்தாொொிசு ஒருவரொக.
10. தாங்கொளைல, ந�ொநலொம்மொருவ, �ொடசொளைல ஒழுங்ளைக, இல. 51/2/7 இல் வதாியும் தாிருமதாி எதாிொிமொன்னழக அனுஷாொ
தாில்�ொனி அவர்கள், தாங்கொளைல �ீதாி வலயத்தாினுள் சிங்கை நமொழியில் �ணியொற்றும் ந�ொத்தாொொிசு ஒருவரொக.
11. �ிவவரட்டிய, �ீழலொகம, அ�ழ�ன இல் வதாியும் தாிருமதாி மீ�ொகலழக மல்ஷாொ ஸ்ரீமதாி ந�ழரரொ அவர்கள், குரு�ொகல் �ீதாி
வலயத்தாினுள் சிங்கை நமொழியில் �ணியொற்றும் ந�ொத்தாொொிசு ஒருவரொக.
12. கடவத்தா, ம�ர நுழகநகொட, இல. 14/�ி/3 இல் வதாியும் தாிரு. மொதாவ இந்தாிரஜீவ வில்வஆரச்சி அவர்கள், �ீர்நகொழும்பு �ீதாி
வலயத்தாினுள் சிங்கை நமொழியில் �ணியொற்றும் ந�ொத்தாொொிசு ஒருவரொக.
13. கழலவல, தாடுயொய, இல. 268சி இல் வதாியும் தாிருமதாி கம்நமத்ழதா நகதார மல்லவ முதாியன்ழசலொழக அனுஷாொ மல்லவ
அவர்கள், மொத்தாளைை �ீதாி வலயத்தாினுள் சிங்கை நமொழியில் �ணியொற்றும் ந�ொத்தாொொிசு ஒருவரொக.
14. நகொழும்பு 06, அநவன்துசொ மொவத்ளைதா, விக்ழடொொியொ ழகொட், இல. 14 இல் வதாியும் நசல்வி மழகந்தாிரரொசொ டழனொஜொ
அவர்கள், நகொழும்பு �ீதாி வலயத்தாினுள் ஆங்கில நமொழியில் �ணியொற்றும் ந�ொத்தாொொிசு ஒருவரொக.
15. அன்டியொகல, அலுத்வத்தா இல் வதாியும் தாிருமதாி ரங்ழக �ண்டொரலொழக தானூஜொ சுமுதுனீ ரங்ழக �ண்டொர அவர்கள்,
அநுரொதாபுரம் �ீதாி வலயத்தாினுள் சிங்கை நமொழியில் �ணியொற்றும் ந�ொத்தாொொிசு ஒருவரொக.
16. ரணொல, ஜல்தார, இல. 29 இல் வதாியும் தாிருமதாி ப்ரங்கிழக நஷா�ொரொ இந்தாிரசொ�ொ பீொிஸ் அவர்கள், ழ�ொமொகம �ீதாி
வலயத்தாினுள் சிங்கை நமொழியில் �ணியொற்றும் ந�ொத்தாொொிசு ஒருவரொக.
17. �ங்நவல்ல, ஜல்தார, இல. 228 இல் வதாியும் தாிருமதாி ருவினி அமந்தாி அத்தானொயக்க ந�ழரரொ அவர்கள், ழ�ொமொகம �ீதாி
வலயத்தாினுள் சிங்கை நமொழியில் �ணியொற்றும் ந�ொத்தாொொிசு ஒருவரொக.
18. நவயொங்நகொட, �ண்டொர�ொயக்க வீதாி, ழவநடக்ஸ் வீடளைமப்புத் நதாொகுதாி, இல. 536/டி/4 இல் வதாியும் தாிருமதாி மஞ்ச�ொயக்க
ஆரச்சிழக ழதாஷாொ �ிொியதார்ஷான குமொொி அவர்கள், கம்��ொ �ீதாி வலயத்தாினுள் சிங்கை நமொழியில் �ணியொற்றும்
ந�ொத்தாொொிசு ஒருவரொக.
19. �ொணந்துளைை, அலுழ�ொமுல்ல, ம�ந�ல்லன, இல. 142/எப்/9 இல் வதாியும் தாிருமதாி ஜயழசகர லியனழக சமிலொ சஞ்ஜீவனி
லியனழக அவர்கள், �ொணந்துளைை �ீதாி வலயத்தாினுள் சிங்கை நமொழியில் �ணியொற்றும் ந�ொத்தாொொிசு ஒருவரொக.
20. ந�ொரண, முணகம, �ி.டி.எல். குணழசகர மொவத்ளைதா, இல. 54 இல் வதாியும் தாிரு. நுவன் சஞ்ஜீவ விதாொனழக அவர்கள்,
�ொணந்துளைை �ீதாி வலயத்தாினுள் சிங்கை நமொழியில் �ணியொற்றும் ந�ொத்தாொொிசு ஒருவரொக.
21. ரன்ன, தாிஸ்ஸ வீதாி, �ளைழய தா�ொலகம், இல. 168/�ி இல் வதாியும் தாிரு. டிலொன் தாிசுல விழஜழசகர அவர்கள், தாங்கொளைல �ீதாி
வலயத்தாினுள் சிங்கை நமொழியில் �ணியொற்றும் ந�ொத்தாொொிசு ஒருவரொக.
I fldgi ( ^I&amp; fPoh - YS% ,xld m%cd;dka;s%l iudcjd§ ckrcfha w;s úfYI .eiÜ m;%h - 2026'01'08 3A
gFjp I : njhFjp (I) - ,yq;ifr; rdehaf Nrhryprf; FbauR tu;j;jkhdg; gj;;jpupif - mjp tpNr\khdJ - 2026.01.08
22. கடுகஸ்ழதாொட்ளைட, மொத்தாளைை வீதாி, இல. 198/�ி இல் வதாியும் தாிருமதாி மர்யம் சுளைரயொ முஸ்தாொக் அவர்கள், கண்டி �ீதாி
வலயத்தாினுள் சிங்கை நமொழியில் �ணியொற்றும் ந�ொத்தாொொிசு ஒருவரொக.
23. �ிட்டம்புவ, �ொ�ொநகொட, ம�நகதாரவத்தா, இல. 57/சி/2 இல் வதாியும் நசல்வி ரத்னொயக்க ஆரச்சிலொழக சதுமீ மலீஷாொ
கொவிந்தாி அவர்கள், கம்��ொ �ீதாி வலயத்தாினுள் சிங்கை நமொழியில் �ணியொற்றும் ந�ொத்தாொொிசு ஒருவரொக.
24. மீொிகம, �குருகும்புர, �ட்டியகும்புர வத்தா, இல. 205/59 இல் வதாியும் தாிருமதாி நமொர�ிடியழக இ�ொனி உதாொன �ிபுந்தாி
நமொர�ிடிய அவர்கள், கம்��ொ �ீதாி வலயத்தாினுள் சிங்கை நமொழியில் �ணியொற்றும் ந�ொத்தாொொிசு ஒருவரொக.
25. மத்ழதாநகொட, வொசனொவத்தா, இல. 92/டி/196 இல் வதாியும் தாிருமதாி அமொலி தாொருகொ சமரசிங்� குணழசகர அவர்கள்,
ழ�ொமொகம �ீதாி வலயத்தாினுள் சிங்கை நமொழியில் �ணியொற்றும் ந�ொத்தாொொிசு ஒருவரொக.
26. ரம்புக்கன, �த்தாம்�ிடிய, யடிவல்நதானிய, இல. ஜி55/ஏ இல் வதாியும் தாிரு. �வரத்ன �ல்லந�ரும ஆரச்சிழக சந்தாிமொல்
ரங்கன ந�ழரரொ அவர்கள், ழககொளைல �ீதாி வலயத்தாினுள் சிங்கை நமொழியில் �ணியொற்றும் ந�ொத்தாொொிசு ஒருவரொக.
27. கல�ிடமட, தான்நதானிய இல் வதாியும் நசல்வி ழ�வொயலொழக கீவிந்தாியொ சத்சரணீ �ிழரமசந்தாிர அவர்கள், ழககொளைல �ீதாி
வலயத்தாினுள் சிங்கை நமொழியில் �ணியொற்றும் ந�ொத்தாொொிசு ஒருவரொக.
28. மருதாமுளைன - 01, அக்�ர்கம வீதாி, இல. 11 இல் வதாியும் தாிரு. மு�ம்மது நசய்னுத்தாீன் மு�ம்மது ொியொஸ் அவர்கள்,
கல்முளைன �ீதாி வலயத்தாினுள் தாமிழ் நமொழியில் �ணியொற்றும் ந�ொத்தாொொிசு ஒருவரொக.
29. மருதாமுளைன - 03, ந�ொது நூலக வீதாி, இல. 170�ி/1 இல் வதாியும் தாிரு. யூசுப் அப்துல் �ொஸித் அவர்கள், கல்முளைன �ீதாி
வலயத்தாினுள் தாமிழ் நமொழியில் �ணியொற்றும் ந�ொத்தாொொிசு ஒருவரொக.
நகௌரவ அளைமச்சொின் ஆளைணப்�டி,
எஎஸ்ஸ்.. ஆஆழழலலொொகக��ண்ண்டடொொரர,
நசயலொைர்,
ந�ொது �ிர்வொக, மொகொண சளை�கள் மற்றும்
உள்ளூரொட்சி அளைமச்சு.
நகொழும்பு,
2025, தாிநசம்�ர் 31.
EOG 01 - 0064
,yq;if murhq;f mr;Rj; jpizf;fsj;jpw; gjpg;gpf;fg;ngw;wJ.</t>
  </si>
  <si>
    <t>e113d5bf-b5ec-4a30-b5b6-a8cb96bb9c2e</t>
  </si>
  <si>
    <t>2470_34</t>
  </si>
  <si>
    <t>2470/34</t>
  </si>
  <si>
    <t>Land Acquisition Act (Chapter 460), Section 5 — Notice of Intended Acquisition (Gazette 2470/34)</t>
  </si>
  <si>
    <t>m1/raw/2470_34.pdf</t>
  </si>
  <si>
    <t>III ෙකාටස - (cid:636) ලංකා (cid:541)ජාතා(cid:486)(cid:437)ක සමාජවා(cid:463) ජනරජෙ(cid:591) අ(cid:431) (cid:618)ෙශෂ ගැස(cid:376) ප(cid:436)ය - 2026.01.08 1A
பகுதி III - இலங்ைகச் சனநாயக ேசாச(cid:8098)சக் கு(cid:8074)யரசு வர்த்தமானப் பத்திாிைக - அதி விேசஷமான(cid:8080) - 2026.01.08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22447700//3344 -- 22002266 ජජනනවවාා(cid:604)(cid:604) මමසස 0088 වවැැ(cid:487)(cid:487) (cid:559)(cid:559)හහසස්ප්ප(cid:431)(cid:431)(cid:486)(cid:486)දදාා -- 22002266..0011..0088
22447700//3344 ஆஆம்ம் இஇலலக்க்ககம்ம் -- 22002266 ஆஆம்ம் ஆஆண்ண்(cid:8076)(cid:8076) சசனனவவாாிி மமாாததம்ம் 0088 ஆஆந்ந் ததிிககததிி வவிியயாாழழக்க்ககிிழழைைமம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காப்(cid:8087)வாசகம் (அ) வின் கீழான கட்டைள
I. ககாாணணிியயிின்ன் வவிிபபரரம்ம் :: மத்திய மாகாணத்தில், கண்(cid:8074)
மாவட்டத்தில் ெமத(cid:8080)ம்பர பிரேதச ெசயலாளர் பிாிவில்,
22002255 ஆஆம்ம் ஆஆண்ண்(cid:8074)(cid:8074)ன்ன் 112211 ஆஆம்ம் இஇலலக்க்ககக்க் ககட்ட்டடைைளள
ப(cid:8098)ஸ்பத்(cid:8080)வ கிழக்கு ேகாறேள சி(cid:8096) பிாிவில், இல. 756 கிட்டவ
என(cid:8080) குறிப்(cid:8087) இல.: 4-3/18/2021/WS/59. கிராம அ(cid:8100)வலர் பிாிவில், கிட்டவ கிராமத்தில் அைமந்(cid:8080)ள்ள,
பிரேதச ெசயலாளர் குறிப்(cid:8087) இல.: KDS/MDB/4/2/1/251. நில அளைவயாளர் நாயகத்தால் தயாாிக்கப்பட்ட
Maha/MDD/2021/595 ஆம் இலக்க, 2022.01.15 ஆந் திகதிய
காணி எ(cid:8076)த்தற் சட்டத்தின் (அத்தியாயம் 460) 38 ஆம் பிாிவின்
(cid:8089)தற்சுவட்(cid:8076) வைரபடத்தில் விபரமாகக் குறிப்பிடப்பட்(cid:8076)ள்ள
காப்(cid:8087)வாசகம் (அ) வினால் எனக்களிக்கப்பட்ட தத்(cid:8080)வங்களின்
பிரகாரம் கமத்ெதாழில், கால்நைட வளங்கள், காணி மற்(cid:8096)ம் பின்வ(cid:8094)ம் ெபயர்கள், விஸ்தீரணத்ைதக் ெகாண்ட காணித்
நீர்ப்பாசன அைமச்சர் குரகமேக ெதான் லால் காந்த ஆகிய (cid:8080)ண்(cid:8074)ன் எல்ைலகள் :
நான், இங்கு கீழ்க் கா(cid:8078)ம் அட்டவைணயின் I ஆம் பந்தியில்
குறிப்பிடப்பட்ட காணி எ(cid:8076)த்தல் உத்திேயாகத்த(cid:8094)க்கு II. ேேசசவவககத்த்ததிின்ன் வவிிபபரரம்ம் :: ெமத(cid:8080)ம்பர நீர் வழங்கல்
அல்ல(cid:8080) அவரால் அதிகாரமளிக்கப்பட்ட எவேர(cid:8084)ம் உத்தி திட்டத்தின் (cid:8080)(cid:8100)(cid:8089)ேவ ெசல்(cid:8100)ம் (cid:8106)தி மற்(cid:8096)ம் தண்ணீர்
ேயாகத்தெரா(cid:8094)வ(cid:8094)க்கு அவ் அட்டவைணயின் ேநெராத்த II குழாய் ெபா(cid:8094)த்(cid:8080)வதற்காக காணியின் பகுதிகளின் ேசவக
ஆம் பந்தியில் ெதாடர்(cid:8087)ைடய குறிப்பில் விபாிக்கப்ப(cid:8076)ள்ள உாிைமைய எ(cid:8076)த்(cid:8080)க்ெகாள்ளல்.
ேசவக உாித்திற்கு உட்ப(cid:8076)த்தப்ப(cid:8076)வதாக இத்தால்
கட்டைளயி(cid:8076)கின்ேறன்.
01. (cid:8080)(cid:8080)ண்ண்(cid:8076)(cid:8076) ʻʻAAʼʼ -- மமாாததலலாாேேவவ குகும்ம்(cid:8087)(cid:8087)ரர அஅல்ல்லல(cid:8080)(cid:8080) மம(cid:8076)(cid:8076)ேேவவ ெெககததரர
குகும்ம்(cid:8087)(cid:8087)ரர -- வவிிஸ்ஸ்ததீீரரணணம்ம்:: 00..00889955 ெெஹஹக்க்டடயயாார்ர்
ேக.(cid:8074) லால் காந்த,
கமத்ெதாழில், கால்நைட வளங்கள், வடக்கு : (cid:8080)ண்(cid:8076) B, ஈ. எம். எம். ஜீ. எஸ். ேக. ஏகநாயக்க
காணி மற்(cid:8096)ம் நீர்ப்பாசன அைமச்சர். மற்(cid:8096)ம் ஈ. எம். எம். ஜீ. ஏ. ேக. ஏகநாயக்க உாிைம ேகா(cid:8094)ம்
மாதலாேவ கும்(cid:8087)ர அல்ல(cid:8080) ம(cid:8076)ேவ ெகதர கும்(cid:8087)ர, (cid:8106)தி
கமத்ெதாழில், கால்நைட வளங்கள், காணி மற்(cid:8096)ம் நீர்ப்பாசன
மற்(cid:8096)ம் ேக. பி. ஏகநாயக்க, எல். பி. நாரம்பனாவ உாிைம
அைமச்சு,
ேகா(cid:8094)ம் மாதலாேவ வத்ைத ; கிழக்கு: மாகாண சைப (cid:8106)தி
“மிஹிகத ெம(cid:8080)ர”,
மற்(cid:8096)ம் எஸ். பி. ஏகநாயக, ேக. பி. ஏகநாயக்க உாிைம
காணிச் ெசயலகம்,
இல. 1200/6, இரஜமல்வத்ைத (cid:8106)தி,
பத்தர(cid:8089)ல்ைல,
2025, நெவம்பர் 21.
1A - G46037 - 08 (2026/01)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- 2026.01.08
பகுதி III - இலங்ைகச் சனநாயக ேசாச(cid:8098)சக் கு(cid:8074)யரசு வர்த்தமானப் பத்திாிைக - அதி விேசஷமான(cid:8080) - 2026.01.08
ேகா(cid:8094)ம் மாதலாேவ வத்ைத; ெதற்கு : எஸ். பி. ஏகநாயக்க, மாதலாேவ கும்(cid:8087)ர அல்ல(cid:8080) ம(cid:8076)ேவ ெகதர கும்(cid:8087)ர ; கிழக்கு:
ேக. பி. ஏகநாயக்க உாிைம ேகா(cid:8094)ம் மாதலாவ வத்ைத மற்(cid:8096)ம் ஈ. எம். எம். ஜீ. எஸ். ேக. ஏகநாயக்க மற்(cid:8096)ம் ஈ. எம். எம்.
ஏ. எம். அ(cid:8080)ல ஏகநாயக்க, ஏ. எம். உபா(cid:8098) ஏகநாயக்க, ஏ. எம். ஜீ. ஏ. ேக. ஏகநாயக்க உாிைம ேகா(cid:8094)ம் மாதலாேவ கும்(cid:8087)ர ;
ஆனந்த ஏகநாயக்க, எல். பி. நாரம்பனாவ உாிைம ேகா(cid:8094)ம் ெதற்கு : (cid:8080)ண்(cid:8076) A (cid:8106)தி மற்(cid:8096)ம் ஈ. எம். எம். ஜீ. எஸ். ேக.
ெகாஸ்ெவட்(cid:8074)ய கும்(cid:8087)ர ; ேமற்கு : (cid:8106)தி, ஈ. எம். எம். ஜீ. எஸ். ஏகநாயக்க மற்(cid:8096)ம் ஈ. எம். எம். ஜீ. ஏ. ேக. ஏகநாயக்க உாிைம
ேக. ஏகநாயக்க மற்(cid:8096)ம் ஈ. எம். எம். ஜீ. ஏ. ேக. ஏகநாயக்க ேகா(cid:8094)ம் மாதலாேவ கும்(cid:8087)ர அல்ல(cid:8080) ம(cid:8076)ேவ ெகதர கும்(cid:8087)ர ;
உாிைம ேகா(cid:8094)ம் மாதலாேவ கும்(cid:8087)ர அல்ல(cid:8080) ம(cid:8076)ேவ ெகதர ேமற்கு : ஈ. எம். எம். ஜீ. எஸ். ேக. ஏகநாயக்க மற்(cid:8096)ம் ஈ. எம்.
கும்(cid:8087)ர மற்(cid:8096)ம் (cid:8080)ண்(cid:8076) B. எம். ஜீ. ஏ. ேக. ஏகநாயக்க உாிைம ேகா(cid:8094)ம் மாதலாேவ கும்(cid:8087)ர
அல்ல(cid:8080) ம(cid:8076)ேவ ெகதர கும்(cid:8087)ர.
02. (cid:8080)(cid:8080)ண்ண்(cid:8076)(cid:8076) ʻʻBBʼʼ -- மமாாததலலாாேேவவ குகும்ம்(cid:8087)(cid:8087)ரர அஅல்ல்லல(cid:8080)(cid:8080) மம(cid:8076)(cid:8076)ேேவவ ெெககததரர
குகும்ம்(cid:8087)(cid:8087)ரர -- வவிிஸ்ஸ்ததீீரரணணம்ம்:: 00..00113322 ெெஹஹக்க்டடயயாார்ர்
வடக்கு : (cid:8080)ண்(cid:8076) B, ஈ. எம். எம். ஜீ. எஸ். ேக. ஏகநாயக்க
மற்(cid:8096)ம் ஈ. எம். எம். ஜீ. ஏ. ேக. ஏகநாயக்க உாிைம ேகா(cid:8094)ம் EOG 01- 0066
இலங்ைக அரசாங்க அச்சுத் திைணக்களத்தில் அச்சிடப்பட்ட(cid:8080).</t>
  </si>
  <si>
    <t>3289e2d6-f724-41a4-a24f-e285342e388b</t>
  </si>
  <si>
    <t>2470_35</t>
  </si>
  <si>
    <t>2470/35</t>
  </si>
  <si>
    <t>Land Acquisition Act (Chapter 460), Section 5 — Notice of Intended Acquisition (Gazette 2470/35)</t>
  </si>
  <si>
    <t>m1/raw/2470_35.pdf</t>
  </si>
  <si>
    <t>III ෙකාටස - (cid:636) ලංකා (cid:541)ජාතා(cid:486)(cid:437)ක සමාජවා(cid:463) ජනරජෙ(cid:591) අ(cid:431) (cid:618)ෙශෂ ගැස(cid:376) ප(cid:436)ය - 2026.01.08 1A
பகுதி III - இலங்ைகச் சனநாயக ேசாச(cid:8098)சக் கு(cid:8074)யரசு வர்த்தமானப் பத்திாிைக - அதி விேசஷமான(cid:8080) - 2026.01.08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22447700// 3355 -- 22002266 ජජනනවවාා(cid:604)(cid:604) මමසස 0088 වවැැ(cid:487)(cid:487) (cid:559)(cid:559)හහසස්ප්ප(cid:431)(cid:431)(cid:486)(cid:486)දදාා -- 22002266..0011..0088
22447700//3355 ஆஆம்ம் இஇலலக்க்ககம்ம் -- 22002266 ஆஆம்ம் ஆஆண்ண்(cid:8076)(cid:8076) ச ச னனவவாாிி மமாாததம்ம் 0088 ஆஆந்ந் ததிிககததிி வவிியயாாழழக்க்ககிிழழைைமம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காப்(cid:8087)வாசகம் (அ) வின் கீழான கட்டைள II.. ககாாணணிி எஎ(cid:8076)(cid:8076)த்த்ததல்ல் உஉத்த்ததிிேேயயாாககத்த்ததர்ர் :: பிரேதச ெசயலாளர்,
பன்வில.
22002255 ஆஆம்ம் ஆஆண்ண்(cid:8074)(cid:8074)ன்ன் 113377 ஆஆம்ம் இஇலலக்க்ககக்க் ககட்ட்டடைைளள
என(cid:8080) குறிப்(cid:8087) இல.: 4-3/11/2022/RE/187. IIII.. ககாாணணிியயிின்ன் வவிிபபரரம்ம் :: மத்திய மாகாணத்தில் கண்(cid:8074)
பிரேதச ெசயலாளர் குறிப்(cid:8087) இல.: KDS/PAN/04/04/02/57. மாவட்டத்தில் பன்வில பிரேதச ெசயலாளர் பிாிவில், இல.
736, ெபத்ேதகம கிராம அ(cid:8100)வலா் பிாிவில், ெபத்ேதகம
காணி எ(cid:8076)த்தற் சட்டத்தின் (அத்தியாயம் 460) 38 ஆம் ஏ(cid:8084)ம் கிராமத்தில் அைமந்(cid:8080)ள்ள நில அளைவயாளர்
பிாிவின் காப்(cid:8087)வாசகம் (அ) வினால் எனக்களிக்கப்பட்ட நாயகத்தினால் தயாாிக்கப்பட்ட 2024.12.31 ஆந் திகதிய,
தத்(cid:8080)வங்களின் பிரகாரம் கமத்ெதாழில், கால்நைட வளங்கள், MAHA/PNW/2024/538 ஆம் இலக்க (cid:8089)தற்சுவட்(cid:8076)
காணி மற்(cid:8096)ம் நீர்ப்பாசன அைமச்சர் குரகமேக ெதான் லால் வைரபடத்தில் விபரமாக காட்டப்பட்ட பின்வ(cid:8094)ம் ெபயர்கள்,
காந்த ஆகிய நான், இங்கு கீழ்க் கா(cid:8078)ம் அட்டவைணயின் I ஆம் விஸ்தீரணங்கைளக் ெகாண்ட காணித் (cid:8080)ண்(cid:8076)களின்
பந்தியில் குறிப்பிடப்பட்ட காணி எ(cid:8076)த்தல் உத்திேயாக(cid:8094)க்கு எல்ைலகள் :
அல்ல(cid:8080) அவரால் அதிகாரமளிக்கப்பட்ட எவேர(cid:8084)ம்
உத்திேயாகத்தெரா(cid:8094)வ(cid:8094)க்கு அட்டவைணயின் ேநெராத்த
0011.. (cid:8080)(cid:8080)ண்ண்(cid:8076)(cid:8076) ''''AA"" -- ெெமமேேனனாாிியயந்ந்ெெததன்ன்ேேனன வவத்த்ைைதத -- வவிிஸ்ஸ்ததீீரரணணம்ம்
II ஆம் பந்தியில் விபாிக்கப்பட்ட காணியின் உைடைமைய
:: 00..00003388 ெெஹஹக்க்டடயயாார்ர்
ெபா(cid:8096)ப்ேபற்பதற்கு இத்தால் கட்டைள யி(cid:8076)கின்ேறன்.
வடக்கு: என்.பீ.பஸ்நாயக்க உாிைமேகா(cid:8094)ம் ெபத்ேதகம
வத்ைத மற்(cid:8096)ம் ெதன்ேனேஹேன ெகதர நவரத்ன
ேக.(cid:8074). லால் காந்த,
உாிைமேகா(cid:8094)ம் ெமேனாியந்ெதன்ேன வத்ைத; கிழக்கு:
கமத்ெதாழில், கால்நைட வளங்கள்,
ெதன்ேனேஹேன ெகதர நவரத்ன உாிைமேகா(cid:8094)ம்
காணி மற்(cid:8096)ம் நீர்ப்பாசன அைமச்சர்.
ெமேனாியந்ெதன்ேன வத்ைத மற்(cid:8096)ம் (cid:8080)ம்மலகஹவத்ைத
ஓயா; ெதற்கு: (cid:8080)ம்மலகஹவத்ைத ஓயா மற்(cid:8096)ம் (cid:8080)ண்(cid:8076) B;
கமத்ெதாழில், கால்நைட வளங்கள், காணி
மற்(cid:8096)ம் நீர்ப்பாசன அைமச்சு, ேமற்கு: (cid:8080)ண்(cid:8076) B மற்(cid:8096)ம் கால்வாய்.
“மிஹிகத ெம(cid:8080)ர”, காணிச் ெசயலகம்,
இல. 1200/6, இரஜமல்வத்ைத (cid:8106)தி,
பத்தர(cid:8089)ல்ைல,
2025, திெசம்பர் 19.
1A - G46038 - 13 (2026/01)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- 2026.01.08
பகுதி III - இலங்ைகச் சனநாயக ேசாச(cid:8098)சக் கு(cid:8074)யரசு வர்த்தமானப் பத்திாிைக - அதி விேசஷமான(cid:8080) - 2026.01.08
0022.. (cid:8080)(cid:8080)ண்ண்(cid:8076)(cid:8076) ''''BB"" -- குகுறறிிப்ப்பபிிடடப்ப்பபடடவவிில்ல்ைைலல -- வவிிஸ்ஸ்ததீீரரணணம்ம் :: குறிப்பிடப்பட்ட காணி எ(cid:8076)த்தல் உத்திேயாகத்த(cid:8094)க்கு
00..00111166 ெெஹஹக்க்டடயயாார்ர் அல்ல(cid:8080) அவரால் அதிகாரமளிக்கப்பட்ட எவேர(cid:8084)ம் உத்தி
வடக்கு: கால்வாய், என்.பீ.பஸ்நாயக்க உாிைமேகா(cid:8094)ம் ேயாகத்தெரா(cid:8094)வ(cid:8094)க்கு அவ் அட்டவைணயின் ேநெராத்த
ெபத்ேதகம வத்ைத மற்(cid:8096)ம் (cid:8080)ண்(cid:8076) A; கிழக்கு: (cid:8080)ண்(cid:8076) A; II ஆம் பந்தியில் விபாிக்கப்பட்ட காணியின் இ(cid:8094)ப்பாட்சிைய
ெதற்கு: (cid:8080)ம்மலகஹவத்ைத ஓயா மற்(cid:8096)ம் (cid:8080)ண்(cid:8076) C; ேமற்கு: ெபா(cid:8096)ப்ேபற்பதற்கு இத்தால் கட்டைளயி(cid:8076)கின்ேறன்.
(cid:8080)ண்(cid:8076) C மற்(cid:8096)ம் என்.பீ.பஸ்நாயக்க உாிைமேகா(cid:8094)ம்
ேக.(cid:8074). லால் காந்த,
ெபத்ேதகம வத்ைத மற்(cid:8096)ம் கால்வாய்.
கமத்ெதாழில், கால்நைட வளங்கள்,
காணி மற்(cid:8096)ம் நீர்ப்பாசன அைமச்சர்.
0033.. (cid:8080)(cid:8080)ண்ண்(cid:8076)(cid:8076) ''''CC"" -- ெெமமேேனனாாிியயந்ந்ெெததன்ன்ேேனனவவத்த்ைைதத -- வவிிஸ்ஸ்ததீீரரணணம்ம்
:: 00..00003366 ெெஹஹக்க்டடயயாார்ர்
கமத்ெதாழில், கால்நைட வளங்கள், காணி
வடக்கு: என்.பீ.பஸ்நாயக்க உாிைமேகா(cid:8094)ம் ெபத்ேதகம
மற்(cid:8096)ம் நீர்ப்பாசன அைமச்சு,
வத்ைத, கால்வாய் மற்(cid:8096)ம் (cid:8080)ண்(cid:8076) B; கிழக்கு: (cid:8080)ண்(cid:8076) B மற்(cid:8096)ம்
“மிஹிகத ெம(cid:8080)ர”, காணிச் ெசயலகம்,
(cid:8080)ம்மலகஹவத்ைத ஓயா; ெதற்கு: (cid:8080)ம்மலகஹவத்ைத ஓயா
இல. 1200/6, இரஜமல்வத்ைத (cid:8106)தி,
மற்(cid:8096)ம் ெதன்ேனேஹேன ெகதர நவரத்ன உாிைமேகா(cid:8094)ம்
பத்தர(cid:8089)ல்ைல,
ெமேனாியந்ெதன்ேன வத்ைத; ேமற்கு: ெதன்ேனேஹேன
2025, நெவம்பர் 21.
ெகதர நவரத்ன உாிைமேகா(cid:8094)ம் ெமேனாியந்ெதன்ேன வத்ைத அஅட்ட்டடவவைைணண
மற்(cid:8096)ம் என்.பீ.பஸ்நாயக்க உாிைமேகா(cid:8094)ம் ெபத்ேதகம
வத்ைத. II.. ககாாணணிி எஎ(cid:8076)(cid:8076)த்த்ததல்ல் உஉத்த்ததிிேேயயாாககத்த்ததர்ர் :: பிரேதச ெசயலாளர்,
ெமத(cid:8080)ம்பர.
EOG 01-0067
IIII.. ககாாணணிியயிின்ன் வவிிபபரரம்ம் :: மத்திய மாகாணத்தில் கண்(cid:8074)
மாவட்டத்தில் ெமத(cid:8080)ம்பர பிரேதச ெசயலாளர் பிாிவில்
உடசிய பற்(cid:8096) ேகாரேள சி(cid:8096) பிாிவில், மாங்ெகாட
ககாாணணிி எஎ(cid:8076)(cid:8076)த்த்ததற்ற் சசட்ட்டடம்ம் ((அஅத்த்ததிியயாாயயம்ம் 446600)) கிராமத்தில் அைமந்(cid:8080)ள்ள நில அளைவயாளர் நாயகத்தினால்
தயாாிக்கப்பட்ட இல. மஹ 5719 மற்(cid:8096)ம் 2005.08.25 ஆந்
38 ஆம் பிாி(cid:8107) (அ) வின் கீழான கட்டைள திகதிய ஆரம்ப வைரபடத்தில் விபரமாக காட்டப்பட்ட
பின்வ(cid:8094)ம் ெபயர், விஸ்தீரணத்ைதக் ெகாண்ட காணித் (cid:8080)ண்(cid:8074)ன்
22002255 ஆஆம்ம் ஆஆண்ண்(cid:8074)(cid:8074)ன்ன் 113388 ஆஆம்ம் இஇலலக்க்ககக்க் ககட்ட்டடைைளள எல்ைலகள்:
என(cid:8080) குறிப்(cid:8087) இல.: 13/96/FR/471. 0011.. (cid:8080)(cid:8080)ண்ண்(cid:8076)(cid:8076) இஇலல.. 11 -- உஉடட இஇததிிககடட வவத்த்ைைதத -- வவிிஸ்ஸ்ததீீரரணணம்ம் ::
பிரேதச ெசயலாளர் குறிப்(cid:8087) இல.: KDS/MDB/4/2/1/71/05. 00..88668833 ெெஹஹக்க்டடயயாார்ர்
வடக்கு: டப்ளி(cid:8093).ஜீ.(cid:8074)ங்கிரால உாிைமேகா(cid:8094)ம் உட இதிகட
காணி எ(cid:8076)த்தற் சட்டத்தின் (அத்தியாயம் 460) 38 ஆம் வத்ைத; கிழக்கு: எச்.எம்.பீ.ஜீ. (cid:8089)(cid:8080)பண்டா உாிைமேகா(cid:8094)ம்
பிாி(cid:8107) (அ) வினால் எனக்களிக்கப்பட்ட தத்(cid:8080)வங்களின் உட இதிகட வத்ைத; ெதற்கு: கால்வாய்; ேமற்கு: நைடபாைத.
பிரகாரம் கமத்ெதாழில், கால்நைட வளங்கள், காணி மற்(cid:8096)ம்
நீர்ப்பாசன அைமச்சர் குரகமேக ெதான் லால் காந்த ஆகிய
நான், இங்கு கீழ்க் கா(cid:8078)ம் அட்டவைணயின் I ஆம் பந்தியில் EOG 01-0068
இலங்ைக அரசாங்க அச்சுத் திைணக்களத்தில் அச்சிடப்பட்ட(cid:8080).</t>
  </si>
  <si>
    <t>bf9de0ae-4ee2-4ec4-bc36-0a07152e406f</t>
  </si>
  <si>
    <t>2470_36</t>
  </si>
  <si>
    <t>2470/36</t>
  </si>
  <si>
    <t>Land Acquisition Act (Chapter 460), Section 39 — Notice (Gazette 2470/36)</t>
  </si>
  <si>
    <t>ඉඩම් අත්පත් කරගැනීමේ පනත (460 අධිකාරය), 39 වැනි වගන්තිය යටතේ දැන්වීම</t>
  </si>
  <si>
    <t>காணி எடுத்தற் சட்டம் (460 ஆம் அத்தியாயம்), 39 ஆம் பிரிவின் கீழ் அறிவித்தல்</t>
  </si>
  <si>
    <t>Notice under Section 39 of the Land Acquisition Act (Chapter 460) regarding land transfer/vesting. References Gazette 2013.04.22 of 112 and 2013.04.26 of 112. Reference 4-3/10/2012/LRB/97 - WGSWD&amp;E(Pi). Part III — Lands.</t>
  </si>
  <si>
    <t>m1/raw/2470_36.pdf</t>
  </si>
  <si>
    <t>III කො�ොටස - ශ්‍රී ලංං�ො ප්‍රජාොතාොන්ත්‍රි� සමාොජාවාොදී ජානරජාකො� අති විකො�ෂ ගැැසට් පත්‍රය - 2026.01.08 1A
பகுதி III - இலங்்ககைச் சனநாயகை சசாசலிசக் குடியரசு வர்்த்தமானப் ப்த்திாி்ககை - அதி விசசஷமானது - 2026.01.08
ශ්‍රීශ්‍රී ලංලංංංකාකාාා ප්‍රප්‍රජාජාාාතාතාාාන්න්ත්‍රිත්‍රිකාකා සසමාමාාාජාජාවාවාාාදීදී ජාජානනරරජාජායේයේ�� ගැගැැැසසට්ට් පපත්‍රත්‍රයය
இஇலலங்ங்்க்ககைகைச்ச் சசனனநநாாயயகைகை சசசசாாசசலிலிசசக்க் குகுடிடியயரரசுசு வவர்ர்்த்்த்்த்தமமாானனப்ப் பப்த்்த்்த்ததிதிாாதிதி்க்ககைகை
අඅතිති විවියේයේ��ෂෂ அஅ்த்ததிதி வவதிதிசசசசஷஷமமாானனதுது
අංඅංංංකක 22447700//3366 -- 22002266 ජජනනවාවාාාරිරි මමසස 0088 වාවාැැනිනි බ්‍රබ්‍රහහසස්ප්පතිතින්න්දාදාාා -- 22002266..0011..0088
22447700//3366 ஆஆம்ம் இஇலலக்க்கைகைம்ம் -- 22002266 ஆஆம்ம் ஆஆண்ண்டுடு சச னனவவாாதிதி மமாா்த்தம்ம் 0088 ஆஆந்ந் ்த்ததிதிகைகை்த்ததிதி வவதிதியயாாழழக்க்கைகைதிதிழழ்க்கமம
(அரசாங்கை்த்்ததின் அ்ததிகைார்த்துடன் பதிரசுாதிக்கைப்பட்டது)
பபகுகு்த்ததிதி IIIIII -- கைகைாாணணதிதிகைகைள்ள்
கைகைாாணணதிதி மமீீட்ட்டடல்ல் பபற்ற்்ற்றதிதியய அஅ்ற்றதிதிவவதிதி்த்்த்்த்தல்ல்கைகைள்ள்
கைகைாாணணதிதி எஎடுடு்த்்த்்த்தற்ற் சசட்ட்டடம்ம் ((அஅ்த்்த்்த்ததிதியயாாயயம்ம் 446600)) 2013 ஆம் ஆண்டின் 112 ஆம் இலக்கை 2013.04.22 ஆம் ்ததிகை்ததிய
இக் கைட்ட்கள்கய இ்த்்தால் இர்த்துச் சசய்கைதிச்றன்.
39 (1) ஆம் பதிாதிவதின் கைீழ் இர்த்துச் சசய்்தல்
கைாணதி எடு்த்்தற் சட்ட்த்்ததின் 38 ஆம் பதிாதிவதின் கைாப்புவாசகைம் (அ) சகை. டி. லால் கைாந்்த,
வதின் கைீழான கைட்ட்களயதில் வதிபாதிக்கைப்பட்ட 2013.04.26 ஆம் கைம்த்ச்தாழதில், கைால்ந்கட வளங்கைள்,
்ததிகை்ததிய 1807/22 ஆம் இலக்கை இலங்்ககைச் சனநாயகை சசாசலிசக் கைாணதி மற்றும் நீர்ப்பாசன அ்கமச்சர்.
குடியரசதின் அ்ததிவதிசசட வர்்த்்தமானதியதில் பதிரசுாதிக்கைப்பட்ட
2013 ஆம் ஆண்டின் 112 ஆம் இலக்கை 2013.04.22 ஆம்
்ததிகை்ததிய கைட்ட்களச் சட்ட்த்்ததில் வதிபாதிக்கைப்பட்ட கைாணதி்த் எனது இல. : 4-3/10/2012/LRB/97.
துண்டு இலங்்ககைச் சனநாயகை சசாசலிசக் குடியரசுக்கு கைாணதி எடு்த்்தல் உ்த்்ததிசயாகை்த்்தர் இல. : WGSWD&amp;EIP/
ஒதுக்கைப்பட்டுள்ளது. கைீசழ வதிபாதிக்கைப்பட்ட கைாணதி்த் துண்டின் ACQ/KB/12.
இருப்பாட்சதி இலங்்ககைச் சனநாயகை சசாசலிசக் குடியரசதின் கைம்த்ச்தாழதில், கைால்ந்கட வளங்கைள், கைாணதி மற்றும்
சார்பதில் இன்னும் சபாறுப்சபற்கைப்படவதில்்கல ஆ்ககையால், நீர்ப்பாசன அ்கமச்சு,
கைம்த்ச்தாழதில், கைால்ந்கட வளங்கைள், கைாணதி மற்றும் நீர்ப்பாசன ''மதிஹதிகை்த சமதுர",
அ்கமச்சர் குரகைமசகை ச்தான் லால் கைாந்்த ஆகைதிய நான் கைாணதிச் சசயலகைம்,
கைாணதி எடு்த்்தற் சட்ட்த்்ததின் 39(1) ஆம் பதிாதிவதின் கைீழ் எனக்கு இல. 1200/6, ரஜமல்வ்த்்க்த வீ்ததி,
அளதிக்கைப்பட்ட ்த்த்துவங்கைளதின் பதிரகைாரம் 2013.04.26 ஆம் ப்த்்தரமுல்்கல,
்ததிகை்ததிய 1807/22 ஆம் இலக்கை இலங்்ககைச் சனநாயகை சசாசலிசக் 2025, ்ததிசசம்பர் 30.
குடியரசதின் அ்ததிவதிசசட வர்்த்்தமானதியதில் பதிரசுாதிக்கைப்பட்ட
1A - G46039 - 18 (2026/01)
இவ் அ்ததிவதிச ஷட வர்்த்்தமானதி்கய www.documents.gov.lk எனும் இ்கணய்த்்தள்த்்ததிலிருந்து ப்ததிவதி்றக்கைம் சசய்ய முடியும்.
2A III කො�ොටස - ශ්‍රී ලංං�ො ප්‍රජාොතාොන්ත්‍රි� සමාොජාවාොදී ජානරජාකො� අති විකො�ෂ ගැැසට් පත්‍රය - 2026.01.08
பகுதி III - இலங்்ககைச் சனநாயகை சசாசலிசக் குடியரசு வர்்த்தமானப் ப்த்திாி்ககை - அதி விசசஷமானது - 2026.01.08
அஅட்ட்டடவவ்க்கணண ்ததிகை்ததிய 2019/2 ஆம் இலக்கை இலங்்ககைச் சனநாயகை சசாசலிசக்
குடியரசதின் அ்ததிவதிசசட வர்்த்்தமானதியதில் பதிரசுாதிக்கைப்பட்ட
சமல் மாகைாணம், சகைாழும்பு மாவட்டம், சகைஸ்சபவ பதிரச்தச 2017 ஆம் ஆண்டின் 101 ஆம் இலக்கை, 2017.05.02 ஆம்
சசயலாளர் பதிாதிவதில், இல. 535A, சபல்லன்வதில கைதிராம ்ததிகை்ததிய கைட்ட்களச் சட்ட்த்்ததில் வதிபாதிக்கைப்பட்ட கைாணதி்த்
அலுவலர் பதிாதிவதில், சபாரசலஸ்கைமுவ (பதிாதிவு இல. 5 துண்டு இலங்்ககைச் சனநாயகை சசாசலிசக் குடியரசுக்கு
சபல்லன்வதில சபாரசலஸ்கைமுவ நகைரச்கப எல்்கலயதினுள்) ஒதுக்கைப்பட்டுள்ளது. கைீசழ வதிபாதிக்கைப்பட்ட கைாணதி்த் துண்டின்
கைதிராம்த்்ததில் அ்கமந்துள்ள, நதில அள்கவயாளர் நாயகை்த்்ததினால் இருப்பாட்சதி இலங்்ககைச் சனநாயகை சசாசலிசக் குடியரசதின்
்தயாாதிக்கைப்பட்ட 2025.08.20 ஆம் ்ததிகை்ததிய, CO/DSO/2025/177 சார்பதில் இன்னும் சபாறுப்சபற்கைப்படவதில்்கல. ஆ்ககையால்,
ஆம் இலக்கை வ்கரபட்த்்ததில் பதின்வரும் கைாணதி்த்துண்டுகைளதின் கைம்த்ச்தாழதில் கைால்ந்கட வளங்கைள், கைாணதி மற்றும் நீர்ப்பாசன
எல்்கலகைள் : அ்கமச்சர் குரகைமசகை ச்தான் லால் கைாந்்த ஆகைதிய நான்,
கைாணதி எடு்த்்தற் சட்ட்த்்ததின் 39(1) ஆம் பதிாதிவதின் கைீழ் எனக்கு
0011.. துதுண்ண்டுடு '''' BB """" –– கைகைண்ண்டுடுபபதிதிடிடிக்க்கைகை முமுடிடியயவவதிதில்ல்்க்கலல -- அளதிக்கைப்பட்ட ்த்த்துவங்கைளதின் பதிரகைாரம் 2017.05.15 ஆம்
வவதிதிஸ்ஸ்்த்தீீரரணணம்ம்:: 00..00554433 சசஹஹக்க்டடயயாார்ர் ்ததிகை்ததிய 2019/2 ஆம் இலக்கை இலங்்ககைச் சனநாயகை சசாசலிசக்
வடக்கு : ஆ.வ. சகைா 9466 இல் துண்டு இல 1 மற்றும் குடியரசதின் அ்ததிவதிசசட வர்்த்்தமானதியதில் பதிரசுாதிக்கைப்பட்ட
9; கைதிழக்கு: ஆ.வ. சகைா 9466 இல் துண்டு இல 1,9. எஸ். 2017 ஆம் ஆண்டின் 101 ஆம் இலக்கை 2017.05.02 ஆம் ்ததிகை்ததிய
வதி. உபாலி ரஞ்சதி்ததினால் உாதி்கமசகைாரப்படும் மாலினதி இக் கைட்ட்கள்கய இ்த்்தால் இர்த்துச் சசய்கைதிச்றன்.
புல்த்சதிங்ஹல மாவ்த்்க்தயதின் வாதி ம்ததிப்பீட்டு இல 26/2
ஐக் சகைாண்டுள்ள கைாணதி, ஆவ சகைா 9466 இல் துண்டு இல சகை. டி. லால் கைாந்்த,
11 (வீ்ததி) மற்றும் இந்்த வ்கரபட்த்்ததில் துண்டு D; ச்தற்கு : கைம்த்ச்தாழதில், கைால்ந்கட வளங்கைள்,
எஸ்.வதி உபாலி ரஞ்சதி்ததினால் உாதி்கமசகைாரப்படும் மாலினதி கைாணதி மற்றும் நீர்ப்பாசன அ்கமச்சர்.
புல்த்சதிங்ஹல மாவ்த்்க்தயதின் வாதி ம்ததிப்பீட்டு இல 26/2 ஐக்
சகைாண்டுள்ள கைாணதி, ஆவ சகைா 9466 இல் துண்டு இல 11 எனது இல. : 4-3/11/2015/UDA/156.
(வீ்ததி), இந்்த வ்கரபட்த்்ததில் துண்டு D, E,C ஆ.வ.சகைா 9466 பதிரச்தச சசயலாளர் இல. : KO/DS/AD/FIL/68-14.
இல் துண்டு இல 1 மற்றும் இந்்த வ்கரபட்த்்ததில் துண்டு கைம்த்ச்தாழதில், கைால்ந்கட வளங்கைள், கைாணதி மற்றும்
A; சமற்கு : துண்டு C ஆ. வ. சகைா 9466 இல் துண்டு இல 1 நீர்ப்பாசன அ்கமச்சு,
மற்றும் இந்்த வ்கரபட்த்்ததில் துண்டு A. ''மதிஹதிகை்த சமதுர",
கைாணதிச் சசயலகைம்,
0022.. துதுண்ண்டுடு '''' DD """" –– கைகைண்ண்டுடுபபதிதிடிடிக்க்கைகை முமுடிடியயவவதிதில்ல்்க்கலல -- வவதிதிஸ்ஸ்்த்தீீரரணணம்ம்:: இல. 1200/6, ரஜமல்வ்த்்க்த வீ்ததி,
00..00118877 சசஹஹக்க்டடயயாார்ர் ப்த்்தரமுல்்கல,
வடக்கு : துண்டு B மற்றும் ஆ.வ. சகைா 9466 இல் துண்டு 2025, ்ததிசசம்பர் 19.
இல 11 (வீ்ததி); கைதிழக்கு: ஆ.வ சகைா 9466 இல் துண்டு இல
11 (வீ்ததி) மற்றும் எஸ்.டப்ளதியூ அசபகுணசசகைாதினால் அஅட்ட்டடவவ்க்கணண
உாதி்கம சகைாரும் மாலினதி புல்த்சதிங்ஹல மாவ்த்்க்தயதின் வாதி
ம்ததிப்பீட்டு இல. 26/6 ஐக் சகைாண்டுள்ள கைாணதி; ச்தற்கு : சமல் மாகைாணம், சகைாழும்பு மாவட்டம், சகைாசலான்னாவ
எஸ்.வதி. உபாலி ரஞ்சதி்ததினால் உாதி்கமசகைாரப்படும் மாலினதி பதிரச்தச சசயலாளர் பதிாதிவதில் சகைாட்டிகைாவ்த்்க்த கைதிராம்த்்ததில்
புல்த்சதிங்ஹல மாவ்த்்க்தயதின் வாதி ம்ததிப்பீட்டு இல 26/2 ஐக் அ்கமந்துள்ள, நதில அள்கவயாளர் நாயகை்த்்ததினால்
சகைாண்டுள்ள கைாணதி, மாலினதி புல்த்சதிங்ஹல மாவ்த்்க்தயதின் ்தயாாதிக்கைப்பட்ட 2016.10.21 ஆம் ்ததிகை்ததிய CO/KLN/2016/104
வாதி ம்ததிப்பீட்டு இலக்கைம் கைண்டுபதிடிக்கை முடியா்த கைாணதி மற்றும் ஆம் இலக்கை மு்தற்சுவட்டு வ்கரபட்த்்ததில் வதிபரமாகைக்
இந்்த வ்கரபட்த்்ததில் துண்டு E; சமற்கு : மாலினதி புல்த்சதிங்ஹல கைாட்டப்பட்ட பதின்வரும் சபயர்கைள் வதிஸ்்தீரணங்கை்களக்
மாவ்த்்க்தயதின் வாதி ம்ததிப்பீட்டு இலக்கைம் கைண்டுபதிடிக்கை முடியா்த சகைாண்ட கைாணதி்த்துண்டின் எல்்கலகைள் :
கைாணதி, இந்்த வ்கரபட்த்்ததில் துண்டுகைள் E,C, மற்றும் B.
0011.. துதுண்ண்டுடு இஇலல.. 11 –– கைகைஜஜுுகைகைஹஹகுகும்ம்புபுரர,, பபண்ண்டிடியயாாகுகும்ம்புபுரர,,
EOG 01 - 0069 சசகைகைாாரரகைகைஹஹகுகும்ம்புபுரர,, சசரரங்ங்குகும்ம்புபுரர மமற்ற்றுறும்ம் ஹஹல்ல்கைகைஹஹகுகும்ம்புபுரர --
___________________ வவதிதிஸ்ஸ்்த்தீீரரணணம்ம்:: 33..00668877 சசஹஹக்க்டடயயாார்ர்
வடக்கு : வாதி ம்ததிப்பீட்டு இலக்கைம் கைண்டுபதிடிக்கை முடியா்த
கைகைாாணணதிதி எஎடுடு்த்்த்்த்தற்ற் சசட்ட்டடம்ம் ((அஅ்த்்த்்த்ததிதியயாாயயம்ம் 446600)) ஆர்.ஏ. சதி்றதிவர்்தன மற்றும் இன்னும் சதிலர் உாதி்கமசகைாரும்
கைாணதி, வீ்ததி, உாதி்கமசகைாருசவார் கைண்டுபதிடிக்கை முடியா்த
39 (1) ஆம் பதிாதிவதின் கைீழ் இர்த்துச் சசய்்தல் குருந்துவ்த்்க்த கைாணதி, வாதி ம்ததிப்பீட்டு இலக்கைம் கைண்டுபதிடிக்கை
முடியா்த சசாமாச்தவதி பாலிகைா வதி்த்்ததியாலயம் உாதி்கமசகைாரும்
கைாணதி எடு்த்்தற் சட்ட்த்்ததின் 38 ஆம் பதிாதிவதின் கைாப்புவாசகைம் (அ) ஓவதிட்டவ்த்்க்த, உாதி்கமசகைாருசவார் கைண்டுபதிடிக்கை முடியா்த
வதின் கைீழான கைட்ட்களயதில் வதிபாதிக்கைப்பட்ட 2017.05.15 ஆம் ஓவதிட்டவ்த்்க்த மற்றும் வீ்ததி; கைதிழக்கு: வாதி ம்ததிப்பீட்டு இலக்கைம்
III කො�ොටස - ශ්‍රී ලංං�ො ප්‍රජාොතාොන්ත්‍රි� සමාොජාවාොදී ජානරජාකො� අති විකො�ෂ ගැැසට් පත්‍රය - 2026.01.08 3A
பகுதி III - இலங்்ககைச் சனநாயகை சசாசலிசக் குடியரசு வர்்த்தமானப் ப்த்திாி்ககை - அதி விசசஷமானது - 2026.01.08
கைண்டுபதிடிக்கை முடியா்த எஸ் ஏ.பதி.சபசரரா மற்றும் இன்னும் கைட்ட்கள்கய கைீழ்வரும் அட்டவ்கணயதில் கு்றதிப்பதிடப்பட்டுள்ள
சதிலர் உாதி்கமசகைாரும் கைாணதி ஐ.டி எச் வீ்ததியதின் வாதி ம்ததிப்பீட்டு கைாணதி்த் துண்டி்கன இக் கைட்ட்களயதின் மூலம் இர்த்துச்
இல 50/10 மற்றும் 66. வாதி ம்ததிப்பீட்டு இல 84/4, வீ்ததி, வாதி சசய்கைதிச்றன்.
ம்ததிப்பீட்டு இல 86/1 மற்றும் 86/1A மற்றும் வாதி ம்ததிப்பீட்டு
சகை. டி. லால் கைாந்்த,
இல 501; ச்தற்கு : வாதி ம்ததிப்பீட்டு இலக்கைம் கைண்டுபதிடிக்கை கைம்த்ச்தாழதில், கைால்ந்கட வளங்கைள்,
முடியா்த எஸ். ஏ பதி சபசரரா மற்றும் இன்னும் சதிலர் கைாணதி மற்றும் நீர்ப்பாசன அ்கமச்சர்.
உாதி்கமசகைாரும் கைாணதி, ஐ.டி.எச் வீ்ததியதின் வாதி ம்ததிப்பீட்டு
இல 50/10 மற்றும் 66. வாதி ம்ததிப்பீட்டு இல 84/4, வீ்ததி, வாதி எனது இல. : 13/96/UDA/674.
பதிரச்தச சசயலாளர் இல. : අනු/10/5/4/කුරු-VIII.
ம்ததிப்பீட்டு இல 86/1 மற்றும் 86/1A மற்றும் வாதி ம்ததிப்பீட்டு
கைம்த்ச்தாழதில், கைால்ந்கட வளங்கைள், கைாணதி மற்றும்
இல 501 மற்றும் கைாணதியதின் சபயர் கைண்டுபதிடிக்கை முடியா்த
நீர்ப்பாசன அ்கமச்சு,
உாதி்கமசகைாருசவார் கைண்டுபதிடிக்கை முடியா்த கைாணதி; சமற்கு :
''மதிஹதிகை்த சமதுர",
உாதி்கமசகைாருசவார் கைண்டுபதிடிக்கை முடியா்த கைாணதியதின் சபயர் கைாணதிச் சசயலகைம்,
கைண்டுபதிடிக்கை முடியா்த கைாணதி. இல. 1200/6, ரஜமல்வ்த்்க்த வீ்ததி,
ப்த்்தரமுல்்கல,
ECG 01- 0070 2025, ்ததிசசம்பர் 19.
______________________________________
அஅட்ட்டடவவ்க்கணண
கைகைாாணணதிதி எஎடுடு்த்்த்்த்தற்ற் சசட்ட்டடம்ம் ((அஅ்த்்த்்த்ததிதியயாாயயம்ம் 446600))
வடம்த்்ததிய மாகைாணம், அநுரா்தபுரம் மாவட்டம், ம்த்்ததிய
நுவரகைம பலா்த பதிரச்தச சசயலாளர் பதிாதிவதில், நுவரகைம்
39 (1) ஆம் பதிாதிவதின் கைீழ் இர்த்துச் சசய்்தல் சகைா்றசள சதிறு பதிாதிவதில், எல்லக்கைட்டுவ, வட்டாரம் இல.
06. அநுரா்தபுரம் நகைரச்கப எல்்கலயதினுள் அ்கமந்துள்ள,
நதில அள்கவயாளர் நாயகை்த்்ததினால் ்தயாாதிக்கைப்பட்ட
கைாணதி எடு்த்்தற் சட்ட்த்்ததின் 38 ஆம் பதிாதிவதின் கைாப்புவாசகைம் (அ)
வ்கரபட இல. இ. கைதி. வ. 1399 இல் வதிபரமாகை கைாட்டப்பட்ட
வதின் கைீழான கைட்ட்களயதில் வதிபாதிக்கைப்பட்ட 2001.07.20 ஆம்
பதின்வரும் சபயர்கைள், வதிஸ்்தீரணங்கை்களக் சகைாண்ட கைாணதி்த்
்ததிகை்ததிய 1193/17 ஆம் இலக்கை இலங்்ககைச் சனநாயகை சசாசலிசக்
துண்டுகைளதின் எல்்கலகைள் :
குடியரசதின் அ்ததிவதிசசட வர்்த்்தமானதியதில் பதிரசுாதிக்கைப்பட்ட
2001 ஆம் ஆண்டின் 230 ஆம் இலக்கை 2001.07.18 ஆம் 0011.. துதுண்ண்டுடு இஇலல.. 118833 –– ்த்தக்க்சசசசருருவவ அஅல்ல்லலதுது எஎல்ல்லலக்க்
்ததிகை்ததிய கைட்ட்களச் சட்ட்த்்ததில் வதிபாதிக்கைப்பட்ட கைாணதி்த் கைகைட்ட்டுடுவவ்த்்த்்க்க்த்த ((இஇலலக்க்கைகைம்ம் இஇல்ல்்க்கலல)) எஎல்ல்லலக்க்கைகைட்ட்டுடுவவ வீவீ்த்ததிதி --
துண்டு இலங்்ககைச் சனநாயகை சசாசலிசக் குடியரசுக்கு வவதிதிஸ்ஸ்்த்தீீரரணணம்ம்:: 00..11002255 சசஹஹக்க்டடயயாார்ர்
வடக்கு : துண்டு இல. 184, 53 மற்றும் 181; கைதிழக்கு: துண்டு
ஒதுக்கைப்பட்டுள்ளது கைீசழ வதிபாதிக்கைப்பட்ட கைாணதி்த் துண்டின்
இல. 181 மற்றும் 180; ச்தற்கு : துண்டு இல. 180, 188, 185
இருப்பாட்சதி இலங்்ககைச் சனநாயகை சசாசலிசக் குடியரசதின்
மற்றும் 184; சமற்கு : துண்டு இல. 188, 185, 184 மற்றும் 53.
சார்பதில் இன்னும் சபாறுப்சபற்கைப்பட்டவதில்்கல ஆ்ககையால்,
கைம்த்ச்தாழதில், கைால்ந்கட வளங்கைள், கைாணதி மற்றும் நீர்ப்பாசன
0022.. துதுண்ண்டுடு இஇலல.. 118844 –– ்த்தக்க்சசசசருருவவ அஅல்ல்லலதுது எஎல்ல்லலக்க்
அ்கமச்சர் குரகைமசகை ச்தான் லால் கைாந்்த ஆகைதிய நான் கைகைட்ட்டுடுவவ்த்்த்்க்க்த்த ((இஇலலக்க்கைகைம்ம் இஇல்ல்்க்கலல)) எஎல்ல்லலக்க்கைகைட்ட்டுடுவவ வீவீ்த்ததிதி --
கைாணதி எடு்த்்தற் சட்ட்த்்ததின் 39(1) ஆம் பதிாதிவதின் கைீழ் எனக்கு வவதிதிஸ்ஸ்்த்தீீரரணணம்ம்:: 00..00888800 சசஹஹக்க்டடயயாார்ர்
அளதிக்கைப்பட்ட ்த்த்துவங்கைளதின் பதிரகைாரம் 2001.07.20 ஆம் வடக்கு : துண்டு 53 மற்றும் 183; கைதிழக்கு: துண்டு இல. 183;
்ததிகை்ததிய 1193/17 ஆம் இலக்கை இலங்்ககைச் சனநாயகை சசாசலிசக் ச்தற்கு : துண்டு இல. 185; சமற்கு : துண்டு இல. 185 மற்றும் 53.
குடியரசதின் அ்ததிவதிசசட வர்்த்்தமானதியதில் பதிரசுாதிக்கைப்பட்ட
2001 ஆம் ஆண்டின் 230 ஆம் இலக்கை 2001.07.18 ஆம் ்ததிகை்ததிய ECG 01- 0071
இலங்்ககை அரசாங்கை அச்சு்த் ்ததி்கணக்கைள்த்்ததில் அச்சதிடப்பட்டது.</t>
  </si>
  <si>
    <t>2500df47-1f3b-45d4-ab37-e09df9c629ce</t>
  </si>
  <si>
    <t>2470_37</t>
  </si>
  <si>
    <t>2470/37</t>
  </si>
  <si>
    <t>Title Registration Act, No. 21 of 1998, Section 14 — Commissioner of Title Settlement decision (Gazette 2470/37)</t>
  </si>
  <si>
    <t>m1/raw/2470_37.pdf</t>
  </si>
  <si>
    <t>III ෙක(cid:675)ටස - (cid:636) ලංකා (cid:541)ජාතා(cid:486)(cid:437)ක සමාජවා(cid:463) ජනරජෙ(cid:591) අ(cid:431) (cid:618)ෙශෂ ගැස(cid:376) ප(cid:436)ය - 2026.01.08 1A
பகுதி III - இலங்ைகச் சனநாயக ேசாச(cid:8098)சக் கு(cid:8074)யரசு வர்த்தமானப் பத்திாிைக - அதி விேசஷமான(cid:8080) - 2026.01.08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22447700//3377 -- 22002266 ජජනනවවාා(cid:604)(cid:604) මමසස 0088 වවැැ(cid:487)(cid:487) (cid:559)(cid:559)හහසස්ප්ප(cid:431)(cid:431)(cid:486)(cid:486)දදාා -- 22002266..0011..0088
22447700//3377 ஆஆம்ம் இஇலலக்க்ககம்ம் -- 22002266 ஆஆம்ம் ஆஆண்ண்(cid:8076)(cid:8076) ச ச னனவவாாிி மமாாததம்ம் 0088 ஆஆந்ந் ததிிககததிி வவிியயாாழழக்க்ககிிழழைைமம
(அரசாங்கத்தின் அதிகாரத்(cid:8080)டன் பிரசுாிக்கப்பட்ட(cid:8080))
பபகுகுததிி IIIIII -- ககாாணணிிககள்ள்
ககாாணணிி மமீீட்ட்டடல்ல் பபற்ற்றறிியய அஅறறிிவவிித்த்ததல்ல்ககள்ள்
ககாாணணிி எஎ(cid:8076)(cid:8076)த்த்ததற்ற் சசட்ட்டடம்ம் ((அஅத்த்ததிியயாாயயம்ம் 446600)) அஅட்ட்டடவவைைணண
39 (அ) (1) ஆம் பிாிவின் கீழான கட்டைள
ேமல் மாகாணம், ெகா(cid:8104)ம்(cid:8087) மாவட்டம், மஹரகம பிரேதச
ெசயலாளர் பிாிவில், கங்ெகாடவில ெதற்கு இல. 526/B
2013, ஒற்ேறாபர் மாதம் 04 ஆம் திகதிய 1830/51 ஆம்
- கிராம அ(cid:8100)வலர் பிாிவில், கங்ெகாடவில கிராமத்தில்
இலக்க இலங்ைகச் சனநாயக ேசாச(cid:8098)சக் கு(cid:8074)யரசின்
அைமந்(cid:8080)ள்ள, நில அளைவாயளர் நாயகத்தினால் தயாாிக்கப்
அதிவிேசட வர்த்தமானியில் (அத்தியாயம் 460) காணி
எ(cid:8076)த்தற் சட்டத்தின் 38 ஆம் பிாிவின் காப்(cid:8087)வாசகம் (அ) பட்ட 2015.12.10 ஆந் திகதிய, ெகா. 9583 ஆம் இலக்க
வின் கீழ் பிரசுாிக்கப்பட்ட 2013 ஆம் ஆண்(cid:8074)ன் 299 ஆம் வைரபடத்தில் விபரமாக காட்டப்பட்ட பின்வ(cid:8094)ம் ெபயர்கள்,
இலக்க கட்டைளயில் குறிப்பிட்ட காணித்(cid:8080)ண்(cid:8076)களிைன விஸ்தீரணத்ைதக் ெகாண்ட காணித்(cid:8080)ண்(cid:8076)களின் எல்ைலகள்:
(cid:8089)(cid:8104)ைமயாக அரசுாித்தாக்கப்பட்(cid:8076)ள்ளேதா(cid:8076), அரசின் சார்பில்
அச்சட்டத்தின் 40 ஆம் பிாிவின் (அ) பந்தியின் கீழ் இக்காணித் 0011.. (cid:8080)(cid:8080)ண்ண்(cid:8076)(cid:8076) இஇலல.. 4411 –– ெெவவததவவசசம்ம் ெெககாாலலெெயயன்ன்குகும்ம்(cid:8087)(cid:8087)ரர,,
(cid:8080)ண்(cid:8076)களின் உைடைம(cid:8092)ம் ெபா(cid:8096)ப்ேபற்கப்பட்(cid:8076)ள்ளன. மமததட்ட்(cid:8074)(cid:8074)யயககஹஹகுகும்ம்(cid:8087)(cid:8087)ரர மமற்ற்(cid:8096)(cid:8096)ம்ம் ககந்ந்(cid:8080)(cid:8080)(cid:8094)(cid:8094)ககஹஹ குகும்ம்(cid:8087)(cid:8087)ரர மமற்ற்(cid:8096)(cid:8096)ம்ம்
எனி(cid:8084)ம், அச்சட்டத்தின் (1979 ஆம் ஆண்(cid:8074)ன் 8 ஆம் இலக்கச் ஓஓவவிிட்ட்டட -- வவிிஸ்ஸ்ததீீரரணணம்ம் :: 00..00220011 ெெஹஹக்க்டடயயாார்ர்
சட்டத்தினால் உட்(cid:8087)குத்தப்பட்ட) 39 (அ) ஆம் பிாிவின் (1)
வடக்கு: (cid:8080)ண்(cid:8076) இல. 40 மற்(cid:8096)ம் வனாத (cid:8106)தியின்
ஆம் உட்பிாிவினால் எனக்களிக்கப்பட்ட தத்(cid:8080)வங்களின்
வாிமதிப்பீட்(cid:8076) இலக்கம் மற்(cid:8096)ம் உாிைம ேகா(cid:8094)ேவார்
பிரகாரம் கமத்ெதாழில், கால்நைட வளங்கள், காணி மற்(cid:8096)ம்
கண்(cid:8076)பி(cid:8074)க்க (cid:8089)(cid:8074)யாத காணி; கிழக்கு: வனாத (cid:8106)தியின்
நீர்ப்பாசன அைமச்சர் குரகமேக ெதான் லால் காந்த ஆகிய
வாிமதிப்பீட்(cid:8076) இலக்கம் மற்(cid:8096)ம் உாிைம ேகா(cid:8094)ேவார்
நான், குறித்த காணித்(cid:8080)ண்(cid:8076)களில் கீழ்வ(cid:8094)ம் அட்டவைணயில்
கண்(cid:8076)பி(cid:8074)க்க (cid:8089)(cid:8074)யாத காணி; ெதற்கு: (cid:8080)ண்(cid:8076) இல. 43, 42
விபாிக்கப்பட்ட காணித்(cid:8080)ண்(cid:8074)ைன இக்கட்டைள (cid:8090)லம்
உாித்(cid:8080) நீக்குகின்ேறன். மற்(cid:8096)ம் 40; ேமற்கு : (cid:8080)ண்(cid:8076) இல. 40.
ேக. (cid:8074). லால் காந்த
0022.. (cid:8080)(cid:8080)ண்ண்(cid:8076)(cid:8076) இஇலல.. 4433 –– ெெவவததவவசசம்ம் ெெககாாலலெெயயன்ன்குகும்ம்(cid:8087)(cid:8087)ரர,,
கமத்ெதாழில், கால்நைட வளங்கள்,
மமததட்ட்(cid:8074)(cid:8074)யயககஹஹகுகும்ம்(cid:8087)(cid:8087)ரர மமற்ற்(cid:8096)(cid:8096)ம்ம் ககந்ந்(cid:8080)(cid:8080)(cid:8094)(cid:8094)ககஹஹ குகும்ம்(cid:8087)(cid:8087)ரர மமற்ற்(cid:8096)(cid:8096)ம்ம்
காணி மற்(cid:8096)ம் நீர்ப்பாசன அைமச்சர்.
ஓஓவவிிட்ட்டட -- வவிிஸ்ஸ்ததீீரரணணம்ம் :: 00..00008877 ெெஹஹக்க்டடயயாார்ர்
வடக்கு: (cid:8080)ண்(cid:8076) இல. 41 மற்(cid:8096)ம் வனாத (cid:8106)தியின்
என(cid:8080) இல. : 4-3/10/2012/LRB/115. வாிமதிப்பீட்(cid:8076) இலக்கம் மற்(cid:8096)ம் உாிைம ேகா(cid:8094)ேவார்
காணி எ(cid:8076)த்தல் உத்திேயாகத்தர் இல. :WGSWD&amp;EIP/
கண்(cid:8076)பி(cid:8074)க்க (cid:8089)(cid:8074)யாத காணி; கிழக்கு: வனாத (cid:8106)தியின்
ACQ/MH/05.
வாிமதிப்பீட்(cid:8076) இலக்கம் மற்(cid:8096)ம் உாிைம ேகா(cid:8094)ேவார்
கமத்ெதாழில், கால்நைட வளங்கள், காணி மற்(cid:8096)ம்
கண்(cid:8076)பி(cid:8074)க்க (cid:8089)(cid:8074)யாத காணி மற்(cid:8096)ம் (cid:8082)ைழ(cid:8107) (cid:8106)தி; ெதற்கு:
நீர்ப்பாசன அைமச்சு,
(cid:8080)ண்(cid:8076) இல. 44; ேமற்கு : (cid:8080)ண்(cid:8076) இல. 42 மற்(cid:8096)ம் 41.
''மிஹிகத ெம(cid:8080)ர", காணிச் ெசயலகம்
இல. 1200/6,
ரஜமல்வத்ைத (cid:8106)தி, EOG 01-0072
பத்தர(cid:8089)ல்ைல,
2025, திெசம்பர் 19.
1A - G46040 - 13(2026/01)
இவ் அதிவிேசட வர்த்தமானிைய www.documents.gov.lk எ(cid:8084)ம் இைணயத்தளத்தி(cid:8098)(cid:8094)ந்(cid:8080) பதிவிறக்கம் ெசய்ய (cid:8089)(cid:8074)(cid:8092)ம்.
2A III ෙක(cid:675)ටස - (cid:636) ලංකා (cid:541)ජාතා(cid:486)(cid:437)ක සමාජවා(cid:463) ජනරජෙ(cid:591) අ(cid:431) (cid:618)ෙශෂ ගැස(cid:376) ප(cid:436)ය - 2026.01.08
பகுதி III - இலங்ைகச் சனநாயக ேசாச(cid:8098)சக் கு(cid:8074)யரசு வர்த்தமானப் பத்திாிைக - அதி விேசஷமான(cid:8080) - 2026.01.08
ககாாணணிி எஎ(cid:8076)(cid:8076)த்த்ததற்ற் சசட்ட்டடம்ம் ((அஅத்த்ததிியயாாயயம்ம் 446600)) அஅட்ட்டடவவைைணண
ேமல் மாகாணம், ெகா(cid:8104)ம்(cid:8087) மாவட்டம், மஹரகம பிரேதச
39 (அ) (1) ஆம் பிாிவின் கீழான கட்டைள
ெசயலாளர் பிாிவில், இல. 526/B - கங்ெகாடவில, ெதற்கு B
கிராம அ(cid:8100)வலர் பிாி(cid:8107)களில், கங்ெகாடவில (பிாி(cid:8107) இல.
2012, திெசம்பர் மாதம் 19 ஆம் திகதிய 1789/30 ஆம்
22- கங்ெகாடவில, மஹரகம நகரசைப எல்ைலயி(cid:8084)ள்)
இலக்க இலங்ைகச் சனநாயக ேசாச(cid:8098)சக் கு(cid:8074)யரசின்
கிராமத்தில் அைமந்(cid:8080)ள்ள, நில அளைவாயளர் நாயகத்தினால்
அதிவிேசட வர்த்தமானியில் (அத்தியாயம் 460) காணி
தயாாிக்கப்பட்ட 2025.09.09 ஆந் திகதிய, CO/DSO/2025/175
எ(cid:8076)த்தற் சட்டத்தின் 38 ஆம் பிாிவின் காப்(cid:8087)வாசகம் (அ)
ஆம் இலக்க வைரபடத்தில் விபரமாக காட்டப்பட்ட பின்வ(cid:8094)ம்
வின் கீழ் பிரசுாிக்கப்பட்ட 2012 ஆம் ஆண்(cid:8074)ன் 316 ஆம்
ெபயர்கள், விஸ்தீரணத்ைதக் ெகாண்ட காணித்(cid:8080)ண்(cid:8074)ன்
இலக்க கட்டைளயில் குறிப்பிட்ட காணித்(cid:8080)ண்(cid:8076)களிைன
எல்ைலகள்:
(cid:8089)(cid:8104)ைமயாக அரசுாித்தாக்கப்பட்(cid:8076)ள்ளேதா(cid:8076), அரசின் சார்பில்
அச்சட்டத்தின் 40 ஆம் பிாிவின் (அ) பந்தியின் கீழ் இக்காணித்
0011.. (cid:8080)(cid:8080)ண்ண்(cid:8076)(cid:8076) ‘‘BB’’ -- ககண்ண்(cid:8076)(cid:8076)பபிி(cid:8074)(cid:8074)க்க்கக (cid:8089)(cid:8089)(cid:8074)(cid:8074)யயாாதத வவாாிிமமததிிப்ப்பீபீட்ட்(cid:8076)(cid:8076)
(cid:8080)ண்(cid:8076)களின் உைடைம(cid:8092)ம் ெபா(cid:8096)ப்ேபற்கப்பட்(cid:8076)ள்ளன.
இஇலலக்க்ககம்ம் -- 7755 AA ((ஒஒ(cid:8094)(cid:8094) பபகுகுததிி)) பபைைழழயய ெெககஸ்ஸ்ேேபபவவ (cid:8106)(cid:8106)ததிி --
எனி(cid:8084)ம், அச்சட்டத்தின் (1979 ஆம் ஆண்(cid:8074)ன் 8 ஆம் இலக்கச்
வவிிஸ்ஸ்ததீீரரணணம்ம்:: 00..00005555 ெெஹஹக்க்டடயயாார்ர்
சட்டத்தினால் உட்(cid:8087)குத்தப்பட்ட) 39 (அ) ஆம் பிாிவின் (1)
வடக்கு: (cid:8080)ண்(cid:8076) A மற்(cid:8096)ம் ஆ.வ. ெகா. 9572 இல் (cid:8080)ண்(cid:8076)
ஆம் உட்பிாிவினால் எனக்களிக்கப்பட்ட தத்(cid:8080)வங்களின்
இல. 15; கிழக்கு: ஆ.வ.ெகா. 9572 இல் (cid:8080)ண்(cid:8076) இல. 15,
பிரகாரம் கமத்ெதாழில், கால்நைட வளங்கள், காணி மற்(cid:8096)ம்
16 மற்(cid:8096)ம் இந்த வைரபடத்தில், (cid:8080)ண்(cid:8076) C; ெதற்கு: (cid:8080)ண்(cid:8076)
நீர்ப்பாசன அைமச்சர் குரகமேக ெதான் லால் காந்த ஆகிய
C, ஆ.வ.ெகா. 9572 இல் (cid:8080)ண்(cid:8076) இல. 22 மற்(cid:8096)ம் 21;
நான், குறித்த காணித்(cid:8080)ண்(cid:8076)களில் கீழ்வ(cid:8094)ம் அட்டவைணயில்
ேமற்கு: ஆ.வ.ெகா. 9572 இல் (cid:8080)ண்(cid:8076) இல. 21 மற்(cid:8096)ம் இந்த
விபாிக்கப்பட்ட காணித்(cid:8080)ண்(cid:8074)ைன இக்கட்டைள (cid:8090)லம்
வைரபடத்தில் (cid:8080)ண்(cid:8076) A.
உாித்(cid:8080) நீக்குகின்ேறன்.
ேக. (cid:8074). லால் காந்த 0022.. (cid:8080)(cid:8080)ண்ண்(cid:8076)(cid:8076) ‘‘CC’’ -- ககண்ண்(cid:8076)(cid:8076)பபிி(cid:8074)(cid:8074)க்க்கக (cid:8089)(cid:8089)(cid:8074)(cid:8074)யயாாதத வவாாிிமமததிிப்ப்பீபீட்ட்(cid:8076)(cid:8076)
கமத்ெதாழில், கால்நைட வளங்கள், இஇலலக்க்ககம்ம் -- 7755 AA ((ஒஒ(cid:8094)(cid:8094) பபகுகுததிி)) பபைைழழயய ெெககஸ்ஸ்ேேபபவவ (cid:8106)(cid:8106)ததிி --
காணி மற்(cid:8096)ம் நீர்ப்பாசன அைமச்சர். வவிிஸ்ஸ்ததீீரரணணம்ம்:: 00..00001199 ெெஹஹக்க்டடயயாார்ர்
வடக்கு: (cid:8080)ண்(cid:8076) B, ஆ.வ. ெகா. 9572 இல் (cid:8080)ண்(cid:8076) இல.
என(cid:8080) இல. : 4-3/10/2012/LRB/12. 15 மற்(cid:8096)ம் 16; கிழக்கு: ஆ.வ.ெகா. 9572 இல் (cid:8080)ண்(cid:8076) இல.
காணி எ(cid:8076)த்தல் உத்திேயாகத்தர் இல. :WGSWD&amp;EIP/ 16 மற்(cid:8096)ம் ஆ.வ.ெகா. 3852 இல் (cid:8080)ண்(cid:8076) இல. G7; ெதற்கு:
ACQ/MH/02. ஆ.வ.ெகா. 3852 இல் (cid:8080)ண்(cid:8076) இல. G7 மற்(cid:8096)ம் ஆ.வ.ெகா.
கமத்ெதாழில், கால்நைட வளங்கள், காணி மற்(cid:8096)ம் 9572 இல் (cid:8080)ண்(cid:8076) இல. 22; ேமற்கு: ஆ.வ.ெகா. 9572 இல்
நீர்ப்பாசன அைமச்சு, (cid:8080)ண்(cid:8076) இல. 22, 21 மற்(cid:8096)ம் இந்த வைரபடத்தில், (cid:8080)ண்(cid:8076) A.
''மிஹிகத ெம(cid:8080)ர", காணிச் ெசயலகம்
இல. 1200/6,
ரஜமல்வத்ைத (cid:8106)தி,
பத்தர(cid:8089)ல்ைல, EOG 01-0073
2025, திெசம்பர் 19.
இலங்ைக அரசாங்க அச்சுத் திைணக்களத்தில் அச்சிடப்பட்ட(cid:8080).</t>
  </si>
  <si>
    <t>1036b823-a60e-43cb-9d6b-188f5a530ad6</t>
  </si>
  <si>
    <t>2470_38</t>
  </si>
  <si>
    <t>2470/38</t>
  </si>
  <si>
    <t>Land Acquisition Act (Chapter 460), Section 5 — Notice of Intended Acquisition (Gazette 2470/38)</t>
  </si>
  <si>
    <t>m1/raw/2470_38.pdf</t>
  </si>
  <si>
    <t>III ෙකාටස - ශී ලංකා පජාතාන්තික සමාජවාදී ජනරජෙය් අති විෙශෂ ගැසට් පතය - 2025.12.06 1A
பகுதி III - இலங்ைகச் சனநாயக ேசாச(cid:8098)சக் கு(cid:8074)யரசு வர்த்தமானப் பத்திாிைக - அதி விேசஷமான(cid:8080) - 2025.12.06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22447700//3388 -- 22002266 ජජනනවවාා(cid:604)(cid:604) මමසස 0088 වවැැ(cid:487)(cid:487) (cid:559)(cid:559)හහසස්ප්ප(cid:431)(cid:431)(cid:486)(cid:486)දදාා -- 22002266..0011..0088
2470/38 ஆம் இலக்கம் - 2026 ஆம் ஆண்(cid:8076) சனவாி மாதம் 08 ஆந் திகதி வியாழக்கிழைம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இன்(cid:8084)ம் சிலர் உாித்(cid:8080)ேகா(cid:8094)ம் கலஹி(cid:8074)யாவவத்த. பீ.ஜீ.
கிரா உாித்(cid:8080)க்ேகா(cid:8094)ம் கலஹி(cid:8074)யாவ வத்த மற்(cid:8096)ம் ஐ. ஜீ.
5 ஆம் பிாிவின் ப(cid:8074)யான பிரகடனம் லீலாவதி உாித்(cid:8080)க்ேகா(cid:8094)ம் கலஹி(cid:8074)யாவ வத்த; ெதற்கு:
ஐ.ஜீ லீலாவதி உாித்(cid:8080)க்ேகா(cid:8094)ம் கலஹி(cid:8074)யாவ வத்த மற்(cid:8096)ம்
கீழ்க்கா(cid:8078)ம் காணி ஒ(cid:8094) பகிரங்கத் ேதைவக்கு ேவண்(cid:8074)யதாய்
உஸ்ெகேடேஹன; ேமற்கு: எஸ். ஏ. மனம்ேபாி உாித்(cid:8080)ேகா(cid:8094)ம்
இ(cid:8094)க்கின்றெதன்(cid:8096)ம் காணி எ(cid:8076)த்தற் சட்டத்தின் ஏற்பா(cid:8076)
கலகஹி(cid:8074)யாவ வத்த.
களின் பிரகாரம் அ(cid:8080) எ(cid:8076)த்(cid:8080)க் ெகாள்ளப்ப(cid:8076)ெமன்(cid:8096)ம் காணி
எ(cid:8076)த்தற் சட்டத்தின் 5 ஆம் பிாிவின் (1) ஆம் உபபிாிவின்
ேக. (cid:8074). லால் காந்த,
பிரகாரம் கமத்ெதாழில், கால்நைட வளங்கள், காணி மற்(cid:8096)ம்
கமத்ெதாழில், கால்நைட வளங்கள்,
நீர்ப்பாசன அைமச்சர் குரகமேக ெதான் லால் காந்த ஆகிய
நான், இத்தால் பிரகடனம் ெசய்கின்ேறன். காணி மற்(cid:8096)ம் நீர்ப்பாசன அைமச்சர்.
மத்திய மாகாணத்தின், கண்(cid:8074) மாவட்டத்தின், ஹாாிஸ்பத்(cid:8080)வ என(cid:8080) இல. : 4-3/18/2022/WS/55
பிரேதச ெசயலாளர் பிாிவின், இலக்கம் 417 உ(cid:8076)வாவல கமத்ெதாழில், கால்நைட வளங்கள், க ாணி மற்(cid:8096)ம் நீர்ப்பாசன
ேமற்கு கிராம அ(cid:8100)வலர் பிாிவின், உ(cid:8076)வாவல (ஒ(cid:8094) பகுதி) அைமச்சு,
கிராமத்தில் அைமந்(cid:8080)ள்ள, நிலஅளைவயாளர் நாயகத்தினால் “மிஹிகத்தெம(cid:8080)ர”,
தாயாாிக்கப்பட்ட MAHA/HRS/2023/384 மற்(cid:8096)ம் 2023.07.20
இல. 1200/6, இரஜமல்வத்ைத (cid:8106)தி,
ஆந் திகதியிடப்பட்ட ேமம்ப(cid:8076)த்தப்பட்ட வைரபடத்தில்
பத்தர(cid:8089)ல்ைல,
விபரமாக குறிப்பிடப்பட்(cid:8076)ள்ள பின்வ(cid:8094)ம் ெபயர் மற்(cid:8096)ம்
2025, நெவம்பர் 21.
விஸ்தீரணத்ைதக் ெகாண்ட காணித் (cid:8080)ண்(cid:8074)ன் எல்ைலகள் :
EOG 01 - 0074
01. (cid:8080)(cid:8080)ண்ண்(cid:8076)(cid:8076) ‘A’ –– ககலலஹஹிி(cid:8074)(cid:8074)யயாாவவ வவத்த்தத –– வவிிஸ்ஸ்ததீீரரணணம்ம்:: 00..00110077
ெெஹஹக்க்டடயயாார்ர்
வடக்கு: எஸ். ஏ. மனம்ேபாி உாித்(cid:8080)ேகா(cid:8094)ம் கலகஹி(cid:8074)யாவ
வத்த மற்(cid:8096)ம் ஓைட; கிழக்கு: பீ. ஜீ. ஏ.ஜயசூாிய மற்(cid:8096)ம்
1A - G46041 - 05 (2026/01)
இவ் அதிவி ேஷட வர்த்தமானிைய www.documents.gov.lk எ(cid:8084)ம் இைணயத்தளத்தி(cid:8098)(cid:8094)ந்(cid:8080) பதிவிறக்கம் ெசய்ய (cid:8089)(cid:8074)(cid:8092)ம்.
இலங்ைக அரசாங்க அச்சுத் திைணக்களத்தில் அச்சிடப்பட்ட(cid:8080).</t>
  </si>
  <si>
    <t>83c6fddf-1870-4c54-8a57-987f862585bc</t>
  </si>
  <si>
    <t>2470_39</t>
  </si>
  <si>
    <t>2470/39</t>
  </si>
  <si>
    <t>Title Registration Act, No. 21 of 1998, Section 14 — Commissioner of Title Settlement's decision under Section 14 (Gazette 2470/39)</t>
  </si>
  <si>
    <t>m1/raw/2470_39.pdf</t>
  </si>
  <si>
    <t>1c492ebc-3f4f-462f-a07d-328ee5419e69</t>
  </si>
  <si>
    <t>2470_40</t>
  </si>
  <si>
    <t>2470/40</t>
  </si>
  <si>
    <t>Title Registration Act, No. 21 of 1998, Section 14 — Commissioner of Title Settlement's decision under Section 14 (Gazette 2470/40)</t>
  </si>
  <si>
    <t>m1/raw/2470_40.pdf</t>
  </si>
  <si>
    <t>e467a697-df9a-4439-a388-df025b7750de</t>
  </si>
  <si>
    <t>2470_41</t>
  </si>
  <si>
    <t>2470/41</t>
  </si>
  <si>
    <t>Title Registration Act, No. 21 of 1998, Section 14 — Commissioner of Title Settlement's decision under Section 14 (Gazette 2470/41)</t>
  </si>
  <si>
    <t>m1/raw/2470_41.pdf</t>
  </si>
  <si>
    <t>28389b23-dbc9-4bdd-b889-199f415dc3b5</t>
  </si>
  <si>
    <t>2470_42</t>
  </si>
  <si>
    <t>2470/42</t>
  </si>
  <si>
    <t>Title Registration Act, No. 21 of 1998, Section 14 — Commissioner of Title Settlement decision (Gazette 2470/42)</t>
  </si>
  <si>
    <t>Commissioner of Title Settlement's decision under Section 14 of the Title Registration Act No. 21 of 1998. Part III — Lands. Land Parcel No. 1: 88 of Block 7 in Cadastral Map No. 620388, Village of Hidefana, Niladhari Division No. 153A-Rathnapura, Province of Sabaragamuwa. References Gazette 2160/18 of 17 January, 2019 in terms of Section 12 of Registration Act No. 21 of 1998. Dated 11 September 2025.</t>
  </si>
  <si>
    <t>m1/raw/2470_42.pdf</t>
  </si>
  <si>
    <t>ශී ලංකා පජාතාන්තික සමාජවාදී ජනරජෙය් ගැසට් පතය
The Gazette of the Democratic Socialist Republic of Sri Lanka
අති විෙශෂ EXTRAORDINARY
අංක 2470/42 - 2026 ජනවාරි මස 08 වැනි බහස්පතින්දා - 2026.01.08
No. 2470/42 – THURSDAY, JANUARY 08,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 : 88 of Block 7,
contained in the Cadastral Map No. 620308, situated in the Village of Hidellana within the Grama Niladhari Division of No. 153A-
Rathnapura New Town in the Divisional Secretary's Division of Rathnapura, in the District of Rathnapura, in the Province of
Sabaragamuwa, referred to in Notice No. 62/0551 calling for claims to land parcels which was duly published in the Gazette No.
2106/18 of 17th January, 2019 in terms of Section 12 of the Registration of Title Act, No.21 of 1998.
P.C.D. SIGERA,
Commissioner General of Land Title Settlement.
Land Title Settlement Department,
No. 1200/6, “Mihikatha Medura”,
Rajamalwatta Road,
Battaramulla.
11th September, 2025
1A - G 046045 - 03 (01/20026)
N.B.– This Gazette Extraordinary can be downloaded from www.documents.gov.lk
2 A III ෙකොටස - ශී ලංකා පජාතාන්තික සමාජවාදී ජනරජෙය් අති විෙශෂ ගැසට් පතය - 2026.01.08
PART III – GAZETTE EXTRA ORDINARY OF THE DEMOCRATIC SOCIALIST REPUBLIC OF SRI LANKA – 08.01.2026
SCHEDULE
———————————————————————————————–--———————————————————————————————————————————————————
Particulars Particulars
Class and regarding if
National Extent Nature Mortgages subject
Parcel Extent Full Name/s of Owner/s Identity Owned of Encumbrances to any
No. and Address Card No. Title pending form of
Adjudication special or
and personal
Injunction law
———————————————————————————————————————————————————————————————————————————————————
(Hectare)
1:88 0.0289 Dombagahapathirage Rasika Asela Pieris 750832490V Full 1st Class _ _
No.722, Hidellana, Rathnapura
EOG 01 -0079/1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Nos. 1 : 9, 1 : 85 and 1 : 93
of Block 14, contained in the Cadastral Map No. 620315, situated in the Village of Duragekanda within the Grama Niladhari Division
of No. 163E - Durekkanda in the Divisional Secretary's Division of Rathnapura, in the District of Rathnapura, in the Province of
Sabaragamuwa, referred to in Notice No. 62/0706 calling for claims to land parcels which was duly published in the Gazette No.
2329/55 of 28th April, 2023 in terms of Section 12 of the Registration of Title Act, No.21 of 1998.
P.C.D. SIGERA,
Commissioner General of Land Title Settlement.
Land Title Settlement Department,
No. 1200/6, “Mihikatha Medura”,
Rajamalwatta Road,
Battaramulla.
11th September, 2025
SCHEDULE
———————————————————————————————–--———————————————————————————————————————————————————
Particulars Particulars
Class and regarding if
National Extent Nature Mortgages subject
Parcel Extent Full Name/s of Owner/s Identity Owned of Encumbrances to any
No. and Address Card No. Title pending form of
Adjudication special or
and personal
Injunction law
———————————————————————————————————————————————————————————————————————————————————
(Hectare)
1:9 0.0169 Private Full 1st Class _ To access
parcel Nos.08
and 10
1:85 0.0124 Private Full 1st Class _ To access
parcel No.86
1:93 0.0739 Private Full 1st Class _ To access
parcel Nos.86,
87, 90, 91,
92, 94 and 99
EOG 01 -0079/2
III ෙකොටස - ශී ලංකා පජාතාන්තික සමාජවාදී ජනරජෙය් අති විෙශෂ ගැසට් පතය - 2026.01.08 3 A
PART III – GAZETTE EXTRA ORDINARY OF THE DEMOCRATIC SOCIALIST REPUBLIC OF SRI LANKA – 08.01.2026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 : 104 of Block 16,
contained in the Cadastral Map No. 620315, situated in the Village of Duragekanda within the Grama Niladhari Division of No. 163E -
Durekkanda in the Divisional Secretary's Division of Rathnapura, in the District of Rathnapura, in the Province of Sabaragamuwa,
referred to in Notice No. 62/0761 calling for claims to land parcels which was duly published in the Gazette No. 2367/48 of 20th
January, 2024 in terms of Section 12 of the Registration of Title Act, No.21 of 1998.
P.C.D. SIGERA,
Commissioner General of Land Title Settlement.
Land Title Settlement Department,
No. 1200/6, “Mihikatha Medura”,
Rajamalwatta Road,
Battaramulla.
11th September, 2025
SCHEDULE
———————————————————————————————–--———————————————————————————————————————————————————
Particulars Particulars
Class and regarding if
National Extent Nature Mortgages subject
Parcel Extent Full Name/s of Owner/s Identity Owned of Encumbrances to any
No. and Address Card No. Title pending form of
Adjudication special or
and personal
Injunction law
———————————————————————————————————————————————————————————————————————————————————
(Hectare)
1:104 0.2886 Owala Kankanamalage Amila 871880204V Full 1st Class With the right to _
Nuwan Sanjeewa access with servitude
No.348/A/4, Dimbulwitiya, of parcel No.03
Malwala
EOG 01 -0079/3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 : 27 of Block 16,
contained in the Cadastral Map No. 620334, situated in the Village of Malangama within the Grama Niladhari Division of No. 153B -
Malangama in the Divisional Secretary's Division of Rathnapura, in the District of Rathnapura, in the Province of Sabaragamuwa,
referred to in Notice No. 62/0790 calling for claims to land parcels which was duly published in the Gazette No. 2376/10 of 18th March,
2024 in terms of Section 12 of the Registration of Title Act, No.21 of 1998.
P.C.D. SIGERA,
Commissioner General of Land Title Settlement.
Land Title Settlement Department,
No. 1200/6, “Mihikatha Medura”,
Rajamalwatta Road,
Battaramulla.
11th September, 2025
4 A III ෙකොටස - ශී ලංකා පජාතාන්තික සමාජවාදී ජනරජෙය් අති විෙශෂ ගැසට් පතය - 2026.01.08
PART III – GAZETTE EXTRA ORDINARY OF THE DEMOCRATIC SOCIALIST REPUBLIC OF SRI LANKA – 08.01.2026
SCHEDULE
———————————————————————————————–--———————————————————————————————————————————————————
Particulars Particulars
Class and regarding if
National Extent Nature Mortgages subject
Parcel Extent Full Name/s of Owner/s Identity Owned of Encumbrances to any
No. and Address Card No. Title pending form of
Adjudication special or
and personal
Injunction law
———————————————————————————————————————————————————————————————————————————————————
(Hectare)
1:27 0.0263 Pandakkara Gedara Krisani Tharangika 788463235V Full 1st Class With the right to _
Wimalarathna access with servitude
No.12/A/2, Millawitiya, Kuruwita of parcel No.15
EOG 01 -0079/4
PRINTED AT THE DEPARTMENT OF GOVERNMENT PRINTING, SRI LANKA.</t>
  </si>
  <si>
    <t>06f8f521-1875-45a1-b8e2-32ccfef9e9e3</t>
  </si>
  <si>
    <t>2470_43</t>
  </si>
  <si>
    <t>2470/43</t>
  </si>
  <si>
    <t>Title Registration Act, No. 21 of 1998, Section 14 — Commissioner of Title Settlement's decision under Section 14 (Gazette 2470/43)</t>
  </si>
  <si>
    <t>m1/raw/2470_43.pdf</t>
  </si>
  <si>
    <t>82309135-f044-44d4-84e9-94ec9feb5c07</t>
  </si>
  <si>
    <t>2470_45</t>
  </si>
  <si>
    <t>2470/45</t>
  </si>
  <si>
    <t>Title Registration Act, No. 21 of 1998, Section 14 — Commissioner of Title Settlement decision (Gazette 2470/45)</t>
  </si>
  <si>
    <t>m1/raw/2470_45.pdf</t>
  </si>
  <si>
    <t>III �ක ස�ටස - ශ්‍රී ��ක ස� ‍රා���්ත්‍රික ස සම�ා�� ජ ාජයා�� ි ව ශෙ��ග ��ස ප ්‍ර� - 2026.01.08 1 A
பகுத� III - இலங்�கச் சனந�யக �ச�சலிசக் குடியரசு வர்த்தம�னப் பத்த����க - அத� வ��சஷம�னது - 2026.01.08
ශ්‍රී ��ක� ප්‍රජ���්ත්‍රික ස��ජ��දී ජනරජ�� ��සට් පත්‍රය
இலங்�கச் சனந�யக �ச�சலிசக் குடியரசு வர்த்தம�னப் பத்த����க
ි ව ශෙ��ග அத� வ��சஷம�னது
ි�ක ස 2470/45 - 2026 ාජ��රි මස 08 ��නි බ්‍රහසස්�  ව්ත�� - 2026.01.08
2470/45 ஆம் இலக்கம் - 2026 ஆம் ஆண்டு சனவ�� ம�தம் 08 ஆந் த�கத� வ�ய�ழக்க�ழ�ம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12 ஆம் ப���வ�ன்
ந�யத�கள�ன்படி 2024.12.16 ஆந் த�கத�ய, 2415/06 ஆம் இலக்க வர்த்தம�ன�ய�ல் உ��ய மு�றய�ல் �வள�ய�டப்பட்டதும், க�ண�க்க�ன
உ���மக் �க���க்�கக�ளக் �க�ருக�ன்றதும�ன 83/0470 ஆம் இலக்க அற�வ�த்தலில் குற�ப்பீடு �சய்யப்பட்ட �தன் ம�க�ணத்த�ல்,
அம்ப�ந்�த�ட்�ட ம�வட்டத்த�ல், லுணுகம்�வ��ர ப�ர�தச �சயல�ளர் ப���வ�ல், இல. 48 - மத்தல க�ர�ம அலுவலர் ப���வ�னுள் உடமத்தல
க�ர�மத்த�ல் அ�மந்துள்ளதும் 830038 ஆம் இலக்க கடத்த�ரல் அள�வ வ�ரபடத்த�ல் ப���வு இல. 05 இல் அடங்க�யுள்ளதும�ன 1:1, 1:4, 1:5,
1:6, மற்றும் 1:7 ஆம் இலக்கங்க�ளக் �க�ண்ட க�ண�த்துண்டுகளுக்க�ன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“ம���கத �மதுர”,
இரஜமல்வத்த வீத�,
பத்தரமுல்�ல,
2025 ஆம் ஆண்டு ந�வம்பர் ம�தம் 11 ஆம் த�கத�.
1A - G 46048 - 03 (2026/01)
மு. கு. - இவ் அத�வ��ஷட வர்த்தம�ன��ய www.documents.gov.lk எனும் இ�ணயத்தளத்த�லிருந்து பத�வ�றக்கம் �சய்ய முடியும்.
2 A III �ක ස�ටස - ශ්‍රී ��ක ස� ‍රා���්ත්‍රික ස සම�ා�� ජ ාජයා�� ි ව ශෙ��ග ��ස ප ්‍ර� - 2026.01.08
பகுத� III - இலங்�கச் சனந�யக �ச�சலிசக் குடியரசு வர்த்தம�னப் பத்த����க - அத� வ��சஷம�னது - 2026.01.08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(��க்டய�ர்) முகவ��யும் அட்�ட வ�ஸ்த�ரணம் இயல்பும் த�க களுள் எவ்
துண்டின் இல. தடுப்புக் வ�கக்கும்
இல. கட்ட�ள அ�மந்த�ருப்
பற்ற�ய ப�ன் வ�பரங்
வ�பரங்கள் கள்
1 : 1 0.4384 அரசு _ முழுவதும் 1வது வகுப்பு _
1 : 4 0.3000 அரசு _ முழுவதும் 1வது வகுப்பு _
1 : 5 0.0279 அரசு _ முழுவதும் 1வது வகுப்பு _
1 : 6 0.0262 அரசு _ முழுவதும் 1வது வகுப்பு _
1 : 7 0.4605 அரசு _ முழுவதும் 1வது வகுப்பு _
EOG 01 - 0082
இலங்�க அரச�ங்க அச்சுத் த��ணக்களத்த�ல் பத�ப்ப�க்கப்�பற்றது.</t>
  </si>
  <si>
    <t>a128e858-7d31-47c0-a4d9-40bcdcc3c8ce</t>
  </si>
  <si>
    <t>2470_46</t>
  </si>
  <si>
    <t>2470/46</t>
  </si>
  <si>
    <t>Title Registration Act, No. 21 of 1998, Section 14 — Commissioner of Title Settlement's decision under Section 14 (Gazette 2470/46)</t>
  </si>
  <si>
    <t>m1/raw/2470_46.pdf</t>
  </si>
  <si>
    <t>6fbca392-c440-4fd4-811d-f27dad0c17c0</t>
  </si>
  <si>
    <t>2470_47</t>
  </si>
  <si>
    <t>2470/47</t>
  </si>
  <si>
    <t>Title Registration Act, No. 21 of 1998, Section 14 — Commissioner of Title Settlement's decision under Section 14 (Gazette 2470/47)</t>
  </si>
  <si>
    <t>m1/raw/2470_47.pdf</t>
  </si>
  <si>
    <t>306aca93-90fe-4c9d-a75f-069d3595c67c</t>
  </si>
  <si>
    <t>2470_48</t>
  </si>
  <si>
    <t>2470/48</t>
  </si>
  <si>
    <t>Parliamentary Elections Act No. 1 of 1981, Section 7(4) — Notice (Gazette 2470/48)</t>
  </si>
  <si>
    <t>1981 අංක 1 දරන පාර්ලිමේන්තු ඡන්ද විමසීම් පනත, 7(4) වගන්තිය යටතේ දැන්වීම</t>
  </si>
  <si>
    <t>1981 ஆம் ஆண்டின் 1 ஆம் இலக்க பாராளுமன்றத் தேர்தல்கள் சட்டம், 7(4) ஆம் பிரிவின் கீழ் அறிவித்தல்</t>
  </si>
  <si>
    <t>Notice issued under Section 7(4) of the Parliamentary Elections Act No. 1 of 1981. Signed by R.M.L. Ratnayake (Election Commission), M.D.E. Perera, et al. Part I — General. Dated 7 January 2026.</t>
  </si>
  <si>
    <t>Parliamentary Elections Act, No. 1 of 1981</t>
  </si>
  <si>
    <t>m1/raw/2470_48.pdf</t>
  </si>
  <si>
    <t>Y%S ,xld m%cd;dka;%sl iudcjd§ ckrcfha .eiÜ m;%h
w;s úfYI
,yq;ifr; rdehaf Nrhryprf; FbauR th;j;jkhdg; gj;jphpif
mjp tpNr\khdJ
wxl 2470$48 - 2026 ckjdß ui 08 jeks n%yiam;skaod - 2026'01'08
2470/ 48 Mk; ,yf;fk; - 2026 Mk; Mz;L rdtup khjk; 08 Me; jpfjp tpahof;fpoik
(murhq;fj;jpd; mjpfhuj;Jld; gpuRhpf;fg;gl;lJ)
gFjp I : njhFjp (I) - nghJ
murhq;f mwptpj;jy;fs;
1 1998811 ஆஆம்ம் ஆஆண்ண்டிடின்ன் 11 ஆஆம்ம் இஇலலக்க்கக பாபாாாரராாளுளுமமன்ன்றறத்த் தேதேேேர்ர்ேேல்ல்ககள்ள் சசட்ட்டடம்ம்
7(4) (ஆ) ஆம் பாிாிவிின் கீழாான அறிவிித்ேல்
1981 ஆம் ஆண்டின் 1 ஆம் இலக்க பாாராளுமன்றத் தேேர்ேல்கள் சட்டத்ேின் 7(4) (ஆ) ஆம் பாிாிவிின் ஏற்பாாடுகளிின் கீழ், தேேர்ேல்களிின்
தே�ாக்கத்ேிற்காக அங்கீகாிக்கப்பாட்ட அரசியற் கட்சிகளிாகக் கணிிக்கப்பாடுவிேற்கு உாித்துடைடய அரசியற் கட்சிகளிின் பெபாயர்கள்
பாின்விரும் அட்டவிடைணியில் காட்டப்பாட்டுள்ளிவிாறாகுபெமன்பாடைே இத்ோல் அறிவிிக்கின்தேறாம்.
ஆஆர்ர்.. எஎம்ம்.. ஏஏ.. எஎல்ல்.. ரரத்த்��ாாயயக்க்கக,, எஎம்ம்.. ஏஏ.. பீபீ.. சசிி.. பெபெபாபாதேதேரரரராா,,
ேவிிசாளிர், உறுப்பாினர்,
தேேர்ேல் ஆடைணிக்குழு. தேேர்ேல் ஆடைணிக்குழு.
அஅமமீீர்ர் பாபாாாயயிிஸ்ஸ்,, ஏஏ.. சசண்ண்முமுகக��ாாேேன்ன்,, தேதேபாபாரராாசசிிாாிியயர்ர் லலக்க் ஷ்ஷ்மமன்ன் ேேிிசசாா��ாாயயக்க்கக,,
உறுப்பாினர், உறுப்பாினர், உறுப்பாினர்,
தேேர்ேல் ஆடைணிக்குழு. தேேர்ேல் ஆடைணிக்குழு. தேேர்ேல் ஆடைணிக்குழு.
தேேர்ேல் ஆடைணிக்குழு,
சரணி மாவித்டைே,
இராஜகிாிய,
2026, சனவிாி 07.
1A – PG 7464 – 48 (2026/01)
,t; mjp tpNrl tu;j;jkhdpia www.documents.gov.lk vd;Dk; ,izaj;jsj;jpypUe;J gjptpwf;fk; nra;a KbAk;.
2A I fldgi ( ^I&amp; fPoh - YS% ,xld m%cd;dka;s%l iudcjd§ ckrcfha w;s úfYI .eiÜ m;%h - 2026'01'08
gFjp I : njhFjp (I) - ,yq;ifr; rdehaf Nrhryprf; FbauR tu;j;jkhdg; gj;;jpupif - mjp tpNr\khdJ - 2026.01.08
அஅட்ட்டடவிவிடைடைணிணி
தேதேேேர்ர்ேேல்ல் ஆஆடைடைணிணிக்க்குகுழுழுவிவிிினனாால்ல் அஅங்ங்ககீீககாாிிக்க்ககப்ப்பாபாட்ட்டட அஅரரசசிியயற்ற் ககட்ட்சசிிககள்ள்
1. அகில இலங்டைக ேமிழ்க் காங்கிரஸ்
2. அகில இலங்டைக ேமிழார் மகாசடைபா
3. எங்கள் மக்கள் சக்ேி கட்சி
4. புேிய சுேந்ேிர முன்னணிி
5. அருணிலு மக்கள் முன்னணிி
6. அகில இலங்டைக மக்கள் காங்கிரஸ்
7. இலங்டைகத் ேமிழ் அரசுக் கட்சி
8. ஈதேராஸ் ஜன�ாயக முன்னணிி
9. ஈழா மக்கள் ஜன�ாயகக் கட்சி
10. ஈழா மக்கள் புரட்சிகர விிடுேடைல முன்னணிி
11. ஐக்கிய குடியரசு முன்னணிி
12. ஐக்கிய தேேசிய சுேந்ேிர முன்னணிி
13. ஐக்கிய தேேசியக் கட்சி
14. ஐக்கிய தேேசிய கூட்டடைமப்பு
15. ஜன�ாயக ஐக்கிய முன்னணிி
16. ஐக்கிய ஜன�ாயகக் குரல்
17. ஐக்கிய மக்கள் கட்சி
18. ஐக்கிய இடதுசாாி முன்னணிி
19. ஐக்கிய தேசாசலிச கட்சி
20. ஐக்கிய சமாோன கூட்டடைமப்பு
21. மடைலயக மக்கள் முன்னணிி
22. பெோழாிலாளிர் தேேசிய முன்னணிி
23. மக்கள் தேபாாராட்ட முன்னணிி
24. மக்கள் பாங்தேகற்பு ஜன�ாயக முன்னணிி
25. மக்கள் விிடுேடைல முன்னணிி
26. மக்கள் தேசவிகர் கட்சி
27. ஜன�ாயக ேமிழ் தேேசிய கூட்டணிி
28. ஜனபெசே பெபாரமுணி
29. தேேசிய காங்கிரஸ்
30. தேேசிய மக்கள் சக்ேி
31. தேேசிய மக்கள் கட்சி
32. தேேசிய சுேந்ேிர முன்னணிி
33. தேேசிய ஜன�ாயக முன்னணிி
34. ஜாேிக சங்விர்ேன பெபாரமுன
35. ேமிழ் மக்கள் கூட்டணிி
36. ேமிழ் முற்தேபாாக்கு கூட்டணிி
37. ேமிழார் சமூக ஜன�ாயகக் கட்சி
38. இரண்டாவிது ேடைலமுடைற
39. �ாட்டுப்பாற்றாளிர் மக்கள் சக்ேி
40. தேேச விிமுக்ேி ஜனோ பாக்ஷ ய
41. ேமிழ் ஈழா விிடுேடைல இயக்கம்
42. ேமிழார் விிடுேடைலக் கூட்டணிி
43. புேிய ஜன�ாயக முன்னணிி
44. புேிய ஜன�ாயக மாக்சிச பெலனினிசக் கட்சி
45. �வி லங்கா �ிேஹஸ் பாக்ஷ ய
46. �வி சமசமாஜக் கட்சி
47. �வி சிஹல உறுமய
I fldgi ( ^I&amp; fPoh - YS% ,xld m%cd;dka;s%l iudcjd§ ckrcfha w;s úfYI .eiÜ m;%h - 2026'01'08 3A
gFjp I : njhFjp (I) - ,yq;ifr; rdehaf Nrhryprf; FbauR tu;j;jkhdg; gj;;jpupif - mjp tpNr\khdJ - 2026.01.08
48. சுேந்ேிர மக்கள் முன்னணிி
49. பாிவிித்துரு பெஹல உறுமய
50. முன்னிடைல தேசாஷலிஸ கட்சி
51. பெபாாது மக்கள் ஐக்கிய சுேந்ேிர முன்னணிி
52. பெபாாதுசன ஐக்கிய முன்னணிி
53. ஜன�ாயக ஐக்கிய தேேசிய முன்னணிி
54. ஜன�ாயக மக்கள் முன்னணிி
55. ஜன�ாயக மக்கள் விிடுேடைல முன்னணிி
56. ஜன�ாயக தேேசிய கூட்டணிி
57. ஜன�ாயக இடதுசாாி முன்னணிி
58. மடைலயக அரசியல் அரங்கம்
59. மஹஜன எக்சத் பெபாரமுன
60. �ல்லாட்சிக்கான தேேசிய முன்னணிி
61. இலங்டைக பெோழாிலாளிர் காங்கிரஸ் (அரசியல் பாிாிவு)
62. இலங்டைக மக்கள் கட்சி
63. லிபாரல் ஜன�ாயக கட்சி
64. புரட்சிகர மக்கள் சக்ேி
65. ஸ்ரீ லங்கா பெோழாிலாளிர் கட்சி
66. ஸ்ரீ லங்கா பெபாாதுஜன பெபாரமுன
67. ஸ்ரீ லங்கா மக்கள் கட்சி
68. ஸ்ரீ லங்கா முஸ்லிம் காங்கிரஸ்
69. ஸ்ரீ லங்கா பெகாமியூனிஸ்ட் கட்சி
70. ஸ்ரீ லங்கா சமூக ஜன�ாயகக் கட்சி
71. இலங்டைக தேசாசலிசக் கட்சி
72. ஐக்கிய மக்கள் சக்ேி
73. சமத்துவிக் கட்சி
74. சம �ிலம் கட்சி
75. தேசாசலிச மக்கள் முன்னணிி
76. தேசாசலிச சமத்துவிக் கட்சி
77. சர்விஜன அேிகாரம்
பெபெசசயயலலாாளிளிர்ர் பாபாேேவிவிிி பெபெேோாடடர்ர்பாபாிில்ல் பாபாிிரரச்ச்சசிிடைடைனனககள்ள் ��ிிலலவுவும்ம் அஅங்ங்ககீீககாாிிக்க்ககப்ப்பாபாட்ட்டட அஅரரசசிியயற்ற் ககட்ட்சசிிககள்ள்
78. ஈழாவிர் ஜன�ாயக முன்னணிி
79. ஐக்கிய மக்கள் சுேந்ேிர முன்னணிி
80. எக்சத் லங்கா பெபாாதுஜன பாக்ஷ ய
81. எக்சத் லங்கா மகாசபாா கட்சி
82. லங்கா சமசமாஜக் கட்சி
83. ஸ்ரீ லங்கா சுேந்ேிரக் கட்சி
84. ஸ்ரீ லங்கா முற்தேபாாக்கு முன்னணிி
85. சிங்களிேீபா ஜாேிக்க பெபாரமுன
EOG 01-0093
,yq;if murhq;f mr;Rj; jpizf;fsj;jpw; gjpg;gpf;fg;ngw;wJ.</t>
  </si>
  <si>
    <t>df3800ac-f111-4c39-a38a-bd98e0c76dda</t>
  </si>
  <si>
    <t>2470_49</t>
  </si>
  <si>
    <t>2470/49</t>
  </si>
  <si>
    <t>Provincial Councils Act, No. 42 of 1987 — Provincial appointment / notice (Gazette 2470/49)</t>
  </si>
  <si>
    <t>1987 අංක 42 දරන පළාත් සභා පනත - පළාත් සභා නියමයක්</t>
  </si>
  <si>
    <t>1987 ஆம் ஆண்டின் 42 ஆம் இலக்க மாகாண சபைகள் சட்டம் - மாகாண சபை அறிவித்தல்</t>
  </si>
  <si>
    <t>Notice under Section 32(1) or related sections of the Provincial Councils Act, No. 42 of 1987 covering provincial appointments, allocations or by-laws. Part IV(A) — Provincial Councils.</t>
  </si>
  <si>
    <t>m1/raw/2470_49.pdf</t>
  </si>
  <si>
    <t>af4c14ad-d794-4bd6-8033-7fae06f081fe</t>
  </si>
  <si>
    <t>2470_50</t>
  </si>
  <si>
    <t>2470/50</t>
  </si>
  <si>
    <t>Title Registration Act, No. 21 of 1998, Section 14 — Commissioner of Title Settlement's decision under Section 14 (Gazette 2470/50)</t>
  </si>
  <si>
    <t>m1/raw/2470_50.pdf</t>
  </si>
  <si>
    <t>e620ae15-a900-4402-8653-6ca9088bb92b</t>
  </si>
  <si>
    <t>2470_51</t>
  </si>
  <si>
    <t>2470/51</t>
  </si>
  <si>
    <t>Title Registration Act, No. 21 of 1998, Section 14 — Commissioner of Title Settlement's decision under Section 14 (Gazette 2470/51)</t>
  </si>
  <si>
    <t>m1/raw/2470_51.pdf</t>
  </si>
  <si>
    <t>b88e62f4-c76f-4eea-a5f9-436696d4e1a8</t>
  </si>
  <si>
    <t>2470_52</t>
  </si>
  <si>
    <t>2470/52</t>
  </si>
  <si>
    <t>Title Registration Act, No. 21 of 1998, Section 14 — Commissioner of Title Settlement's decision under Section 14 (Gazette 2470/52)</t>
  </si>
  <si>
    <t>m1/raw/2470_52.pdf</t>
  </si>
  <si>
    <t>f0a86a22-5d11-46d0-9f99-36ac41e0e20b</t>
  </si>
  <si>
    <t>2470_53</t>
  </si>
  <si>
    <t>2470/53</t>
  </si>
  <si>
    <t>Title Registration Act, No. 21 of 1998, Section 14 — Commissioner of Title Settlement decision (Gazette 2470/53)</t>
  </si>
  <si>
    <t>m1/raw/2470_53.pdf</t>
  </si>
  <si>
    <t>III �ක ස�ටස - ශ්‍රී ��ක ස� ‍රා���්ත්‍රික ස සම�ා�� ජ ාජයා�� ි ව ශෙ��ග ��ස ප ්‍ර� - 2026.01.08 1 A
பகுத� III - இலங்�கச் சனந�யக �ச�சலிசக் குடியரசு வர்த்தம�னப் பத்த����க - அத� வ��சஷம�னது - 2026.01.08
ශ්‍රී ��ක� ප්‍රජ���්ත්‍රික ස��ජ��දී ජනරජ�� ��සට් පත්‍රය
இலங்�கச் சனந�யக �ச�சலிசக் குடியரசு வர்த்தம�னப் பத்த����க
ි ව ශෙ��ග அத� வ��சஷம�னது
ි�ක ස 2470/53 - 2026 ාජ��රි මස 08 ��නි බ්‍රහසස්�  ව්ත�� - 2026.01.08
2470/53 ஆம் இலக்கம் - 2026 ஆம் ஆண்டு சனவ�� ம�தம் 08 ஆந் த�கத� வ�ய�ழக்க�ழ�ம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55 ஆம் ப���வ�ன்
ந�யத�கள�ன்படி 2025.08.06 ஆந் த�கத�ய, க�ண�க்க�ன உ���மக் �க���க்�கக�ளக் �க�ருக�ன்றதும�ன 2448/34 ஆம் இலக்க அற�வ�த்தலில்
குற�ப்பீடு �சய்யப்பட்ட �மல் ம�க�ணத்த�ல், கம்பஹ� ம�வட்டத்த�ல், கம்பஹ� ப�ர�தச �சயல�ளர் ப���வ�ல், இல. 229 - அலுத்கம
�ப�கமுவ வடக்கு க�ர�ம அலுவலர் ப���வ�னுள் அலுத்கம �ப�கமுவ க�ர�மத்த�ல் அ�மந்துள்ளதும் 511800 ஆம் இலக்க கடத்த�ரல் அள�வ
வ�ரபடத்த�ல் ப���வு இல. 04 இல் அடங்க�யுள்ளதும�ன 1:334 ஆம் இலக்கத்�தக் �க�ண்ட க�ண�த்துண்டிற்க�ன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“ம�ஹ�கத �மதுர”,
இரஜமல்வத்த வீத�,
பத்தரமுல்�ல,
2025 ஆம் ஆண்டு ந�வம்பர் ம�தம் 24 ஆம் த�கத�.
1A - G 46054 - 03 (2026/01)
மு. கு. - இவ் அத�வ��ஷட வர்த்தம�ன��ய www.documents.gov.lk எனும் இ�ணயத்தளத்த�லிருந்து பத�வ�றக்கம் �சய்ய முடியும்.
2 A III �ක ස�ටස - ශ්‍රී ��ක ස� ‍රා���්ත්‍රික ස සම�ා�� ජ ාජයා�� ි ව ශෙ��ග ��ස ප ්‍ර� - 2026.01.08
பகுத� III - இலங்�கச் சனந�யக �ச�சலிசக் குடியரசு வர்த்தம�னப் பத்த����க - அத� வ��சஷம�னது - 2026.01.08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1:334 0.0244 ஜயவீர ஆரச்ச��க �த�ன் ச�னக 198014401432 முழுவதும் 1வது வகுப்பு க�.து.இல. 337 –
சந்தருவன் ரணச�ங்ஹ அணுகுவழ�
இல. 101/3/பீ, அலுத்கம உ��த்த�ற்கு
�ப�கமுவ, யக்கல. உட்பட்டது.
EOG 01 - 0089/1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55 ஆம் ப���வ�ன்
ந�யத�கள�ன்படி 2023.12.27 ஆந் த�கத�ய, க�ண�க்க�ன உ���மக் �க���க்�கக�ளக் �க�ருக�ன்றதும�ன 2364/17 ஆம் இலக்க அற�வ�த்தலில்
குற�ப்பீடு �சய்யப்பட்ட �மல் ம�க�ணத்த�ல், கம்பஹ� ம�வட்டத்த�ல், கம்பஹ� ப�ர�தச �சயல�ளர் ப���வ�ல், இல. 230பீ - வீத�யவத்த
க�ர�ம அலுவலர் ப���வ�னுள் வீத�யவத்த க�ர�மத்த�ல் அ�மந்துள்ளதும் 511885 ஆம் இலக்க கடத்த�ரல் அள�வ வ�ரபடத்த�ல் ப���வு இல. 01
இல் அடங்க�யுள்ளதும�ன 1:143 ஆம் இலக்கத்�தக் �க�ண்ட க�ண�த்துண்டிற்க�ன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“ம�ஹ�கத �மதுர”,
இரஜமல்வத்த வீத�,
பத்தரமுல்�ல,
2025 ஆம் ஆண்டு ந�வம்பர் ம�தம் 24 ஆம் த�கத�.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1:143 0.0266 ந�ஷ்ஷங்க ஆரச்ச� அப்புஹ�ம�ல��க 830590846V முழுவதும் 1வது வகுப்பு க�.து.இல. 330 –
இந்த�க ப�ர��த் அணுகுவழ�
இல. 3/ 1, பஹல வீத�யவத்த, யக்கல. �சவகத்த�ற்கு
உ��த்த�ற்கு
உட்பட்டது.
EOG 01 - 0089/2
இலங்�க அரச�ங்க அச்சுத் த��ணக்களத்த�ல் பத�ப்ப�க்கப்�பற்றது.</t>
  </si>
  <si>
    <t>99677d05-599e-4cce-9b8c-2895d52a2c08</t>
  </si>
  <si>
    <t>2470_54</t>
  </si>
  <si>
    <t>2470/54</t>
  </si>
  <si>
    <t>Land Acquisition Act (Chapter 460), Section 5 — Notice of Intended Acquisition (Gazette 2470/54)</t>
  </si>
  <si>
    <t>m1/raw/2470_54.pdf</t>
  </si>
  <si>
    <t>III ෙකාටස - (cid:636) ලංකා (cid:541)ජාතා(cid:486)(cid:437)ක සමාජවා(cid:463) ජනරජෙ(cid:591) අ(cid:431) (cid:618)ෙශෂ ගැස(cid:376) ප(cid:436)ය - 2025.11.01 1A
பகுதி III - இலங்ைகச் சனநாயக ேசாச(cid:8098)சக் கு(cid:8074)யரசு வர்த்தமானப் பத்திாிைக - அதி விேசஷமான(cid:8080) - 2025.11.01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22447700//5544 -- 22002266 ජජනනවවාා(cid:604)(cid:604) මමසස 0099 වවැැ(cid:487)(cid:487) (cid:646)(cid:646)(cid:253)(cid:253)රරාාදදාා -- 22002266..0011..0099
22447700//5544 ஆஆம்ம் இஇலலக்க்ககம்ம் -- 22002266 ஆஆம்ம் ஆஆண்ண்(cid:8076)(cid:8076) சசனனவவாாிி மமாாததம்ம் 0099 ஆஆந்ந் ததிிககததிி ெெவவௗௗ்ள்ளிிக்க்ககிிழழைைமம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காப்(cid:8087)வாசகம் (அ) வின் கீழான கட்டைள
I. ககாாணணிி எஎ(cid:8076)(cid:8076)த்த்ததல்ல் உஉத்த்ததிிேேயயாாககத்த்ததர்ர் :: பிரேதச ெசயலாளர்,
ெமத(cid:8080)ம்பர.
22002266 ஆஆம்ம் ஆஆண்ண்(cid:8074)(cid:8074)ன்ன் 0011 ஆஆம்ம் இஇலலக்க்ககக்க் ககட்ட்டடைைளள
II. ககாாணணிியயிின்ன் வவிிபபரரம்ம் :: மத்திய மாகாணத்தில்,
என(cid:8080) குறிப்(cid:8087) இல.: 4-3/15/2018/VE/50.
கண்(cid:8074) மாவட்டத்தில் ெதல்ெதனிய ெமத(cid:8080)ம்பர பிரேதச
பிரேதச ெசயலாளர் குறிப்(cid:8087) இல.: ARA/LND/ACQVI/D3/51.
ெசயலாளர் பிாிவில், ப(cid:8098)ஸ்பத்(cid:8080)வ ேமற்கு ேகாறைள
காணி எ(cid:8076)த்தற் சட்டத்தின் (அத்தியாயம் 460) 38 ஆம் பிாிவின்
சி(cid:8096) பிாிவில், பம்பரகஹெதனிய (818) கிராம அ(cid:8100)வலர்
காப்(cid:8087)வாசகம் (அ) வினால் எனக்களிக்கப்பட்ட தத்(cid:8080)வங்களின்
பிாிவில், அங்கு(cid:8094)வலகம கிராமத்தில் அைமந்(cid:8080)ள்ள,
பிரகாரம் கமத்ெதாழில், கால்நைட வளங்கள், காணி மற்(cid:8096)ம்
நில அளைவயாளர் நாயகத்தால் தயாாிக்கப்பட்ட
நீர்ப்பாசன அைமச்சர் குரகமேக ெதான் லால் காந்த ஆகிய
Maha/MDD/2018/319 ஆம் இலக்க, 2018.12.31 ஆந்
நான், இங்கு கீழ்க் கா(cid:8078)ம் அட்டவைணயின் I ஆம் பந்தியில்
திகதிய (cid:8089)தற்சுவட்(cid:8076) வைரபடத்தில் (cid:8080)ண்(cid:8076) C எனக்
குறிப்பிடப்பட்ட காணி எ(cid:8076)த்தல் உத்திேயாகத்த(cid:8094)க்கு
குறிப்பிடப்பட்(cid:8076)ள்ள 4.0523 ெஹக்டயார் விஸ்தீரணத்ைதக்
அல்ல(cid:8080) அவரால் அதிகாரமளிக்கப்பட்ட எவேர(cid:8084)ம் உத்தி
ெகாண்ட அங்கு(cid:8094)கமவத்ைத எ(cid:8084)ம் காணியின் பின்வ(cid:8094)ம்
ேயாகத்தெரா(cid:8094)வ(cid:8094)க்கு அவ் அட்டவைணயின் ேநெராத்த
எல்ைலகள் :
II ஆம் பந்தியில் விபாிக்கப்பட்ட காணியின் உைடைமைய
ெபா(cid:8096)ப்ேபற்பதற்கு இத்தால் கட்டைளயி(cid:8076)கின்ேறன்.
01. (cid:8080)(cid:8080)ண்ண்(cid:8076)(cid:8076) ʻʻCCʼʼ -- அஅங்ங்குகு(cid:8094)(cid:8094)ககமமவவத்த்ைைதத -- வவிிஸ்ஸ்ததீீரரணணம்ம்:: 44..00552233
ேக.(cid:8074) லால் காந்த, ெெஹஹக்க்டடயயாார்ர்
கமத்ெதாழில், கால்நைட வளங்கள், வடக்கு : (cid:8106)தி, அங்கு(cid:8094)வல கந்(cid:8080)ர மற்(cid:8096)ம் பி. (cid:8074). (cid:8106)ரேசகர
காணி மற்(cid:8096)ம் நீர்ப்பாசன அைமச்சர். உாிைம ேகா(cid:8094)ம் ஏக்கர் 50 ; கிழக்கு: (cid:8106)தி ; ெதற்கு : (cid:8106)தி,
ேக. பி. யசவதி உாிைம ேகா(cid:8094)ம் ேகாபிவத்ைத கு(cid:8074)யி(cid:8094)ப்(cid:8087)
கமத்ெதாழில், கால்நைட வளங்கள், காணி மற்(cid:8096)ம் நீர்ப்பாசன மற்(cid:8096)ம் (cid:8106)தி ; ேமற்கு : (cid:8106)தி.
அைமச்சு,
“மிஹிகத ெம(cid:8080)ர”,
EOG 01- 0090
காணிச் ெசயலகம்,
இல. 1200/6, இரஜமல்வத்ைத (cid:8106)தி,
பத்தர(cid:8089)ல்ைல,
2026, சனவாி 08.
இலங்ைக அரசாங்க அச்சுத் திைணக்களத்தில் அச்சிடப்பட்ட(cid:8080).
1A - G46055 - 08 (2026/01)
இவ் அதிவி ேஷட வர்த்தமானிைய www.documents.gov.lk எ(cid:8084)ம் இைணயத்தளத்தி(cid:8098)(cid:8094)ந்(cid:8080) பதிவிறக்கம் ெசய்ய (cid:8089)(cid:8074)(cid:8092)ம்.</t>
  </si>
  <si>
    <t>c7e36b9f-214c-4ebd-9f63-7a66607ecb4c</t>
  </si>
  <si>
    <t>2470_55</t>
  </si>
  <si>
    <t>2470/55</t>
  </si>
  <si>
    <t>Land Acquisition Act (Chapter 460), Section 7 — Notice (Gazette 2470/55)</t>
  </si>
  <si>
    <t>ඉඩම් අත්පත් කරගැනීමේ පනත (460 අධිකාරය), 7 වැනි වගන්තිය යටතේ දැන්වීම</t>
  </si>
  <si>
    <t>காணி எடுத்தற் சட்டம் (460 ஆம் அத்தியாயம்), 7 ஆம் பிரிவின் கீழ் அறிவித்தல்</t>
  </si>
  <si>
    <t>Notice under Section 7 of the Land Acquisition Act (Chapter 460) by the Divisional Secretary regarding land claims/objections (Reference 03/841/G/28). Schedule details villages, Niladhari Divisions, planted area etc. Part III — Lands.</t>
  </si>
  <si>
    <t>m1/raw/2470_55.pdf</t>
  </si>
  <si>
    <t>(cid:636) ලංකා (cid:541)ජාතා(cid:486)(cid:437)ක සමාජවා(cid:463) ජනරජෙ(cid:591) ගැස(cid:376) ප(cid:436)ය
අ(cid:431) (cid:618)ෙශෂ
இல(cid:8113)ைக(cid:8114) சனநாயக ேசாச(cid:8098)ச(cid:8112) (cid:8065)(cid:8074)யர(cid:8070) வ(cid:8125)(cid:8119)தமான(cid:8122) ப(cid:8119)திாிைக
அதி விேசஷமான(cid:8080)
අංක 2470/55 - 2026 ජනවා(cid:604) මස 09 වැ(cid:487) (cid:646)(cid:253)රාදා - 2026.01.09
2470/55 ஆ(cid:8123) இல(cid:8112)க(cid:8123) - 2026 ஆ(cid:8123) ஆ(cid:8118)(cid:8076) சனவாி மாத(cid:8123) 09 ஆ(cid:8120) திகதி ெவ(cid:8128)ளி(cid:8112)கிழைம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பிரேதச ெசயலாள(cid:8125) பிாி(cid:8107) : வ(cid:8098)காம(cid:8123)
ெத(cid:8121)ேம(cid:8126)(cid:8065),
7 ஆ(cid:8123) பிாிவி(cid:8121) கீ(cid:8129) அறிவி(cid:8119)த(cid:8127) ச(cid:8118)(cid:8074)(cid:8098)(cid:8122)பா(cid:8124).
கிராம அ(cid:8100)வல(cid:8125) பிாி(cid:8107) : மானி(cid:8122)பா(cid:8124) ெத(cid:8126)(cid:8065) -
கம(cid:8119)ெதாழி(cid:8127), கா(cid:8127)நைட வள(cid:8113)க(cid:8128), காணி ம(cid:8126)(cid:8096)(cid:8123)
J/139
நீ(cid:8125)(cid:8122)பாசன அைம(cid:8114)சி(cid:8121) இல.: 03J/84/LG/28.
கிராம(cid:8123) : மானி(cid:8122)பா(cid:8124)
எம(cid:8080) ெதாட(cid:8125)(cid:8087) இல.: LA/1774.
வைரபட இல(cid:8112)க(cid:8123) : பிபி யா 1902
காணி(cid:8119)(cid:8080)(cid:8118)(cid:8076) இல(cid:8112)க(cid:8123) : 01 ம(cid:8126)(cid:8096)(cid:8123) 02
ஒ(cid:8094) பகிர(cid:8113)க(cid:8119) ேதைவ(cid:8112)(cid:8065) ேவ(cid:8118)(cid:8074)யதான கீ(cid:8129)(cid:8112)
காணியி(cid:8121) வி(cid:8132)தீரண(cid:8123) : 1.0746 ெஹ(cid:8112)டயா(cid:8125)
கா(cid:8078)(cid:8123) காணிைய எ(cid:8076)(cid:8119)(cid:8080)(cid:8112)ெகா(cid:8128)ள அரசா(cid:8117)சியா(cid:8125)
காணியி(cid:8121) ெபய(cid:8125) : "விநாயக(cid:8125) ேதா(cid:8117)ட(cid:8123)"
எ(cid:8118)ணியி(cid:8094)(cid:8112)கிறா(cid:8125)க(cid:8128) எ(cid:8121)பைத 1964 ஆ(cid:8123)
காணி எ(cid:8076)(cid:8119)த(cid:8100)(cid:8112)கான : ெச(cid:8127)ல(cid:8119)(cid:8080)ைர
ஆ(cid:8118)(cid:8074)(cid:8121) 28 ஆ(cid:8123) இல(cid:8112)க காணி எ(cid:8076)(cid:8119)த(cid:8126) (தி(cid:8094)(cid:8119)த(cid:8114))
ேநா(cid:8112)க(cid:8123) விைளயா(cid:8117)(cid:8076)
ச(cid:8117)ட(cid:8119)தினா(cid:8127) தி(cid:8094)(cid:8119)த(cid:8122)ப(cid:8117)டவாறான காணி எ(cid:8076)(cid:8119)த(cid:8126)
ைமதான(cid:8119)தி(cid:8126)காக
ச(cid:8117)ட(cid:8119)தி(cid:8121) (அ(cid:8119)தியாய(cid:8123) 460) 7 ஆ(cid:8123) பிாிவி(cid:8121) (1) ஆ(cid:8123)
காணி(cid:8112)(cid:8065) உாிைம : வ(cid:8118)ைண
உ(cid:8117) பிாிவி(cid:8121) கீ(cid:8129), நா(cid:8121) இ(cid:8119)தா(cid:8127) அறிவி(cid:8112)கி(cid:8121)ேற(cid:8121).
ேகா(cid:8094)பவ(cid:8125)க(cid:8128) ைவ(cid:8119)தீ(cid:8132)வர(cid:8121)
ேகாவி(cid:8127) த(cid:8125)மக(cid:8125)(cid:8119)தா
எ(cid:8076)(cid:8119)(cid:8080)(cid:8112) ெகா(cid:8128)ளவி(cid:8094)(cid:8112)(cid:8065)(cid:8123) காணியி(cid:8121) விபர(cid:8123):
சைப.
மாகாண(cid:8123) : வட(cid:8112)(cid:8065)
ேம(cid:8126)(cid:8065)றி(cid:8119)த காணி(cid:8112)(cid:8065) உாி(cid:8119)(cid:8080)(cid:8122) ேப(cid:8070)கி(cid:8121)ற சகல(cid:8094)(cid:8123)
மாவ(cid:8117)ட(cid:8123) : யா(cid:8129)(cid:8122)பாண(cid:8123)
தாமாக அ(cid:8127)ல(cid:8080) (cid:8089)ைற(cid:8122)ப(cid:8074) எ(cid:8104)(cid:8119)(cid:8080) (cid:8090)ல(cid:8123) அதிகார
1A - G 46024 - 13 (2026/01)
இ(cid:8130) அதிவிேசட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- 2026.01.09
ப(cid:8065)தி III - இல(cid:8113)ைக(cid:8114) சனநாயக ேசாச(cid:8098)ச(cid:8112) (cid:8065)(cid:8074)யர(cid:8070) வ(cid:8125)(cid:8119)தமான(cid:8122) ப(cid:8119)திாிைக - அதி விேசஷமான(cid:8080) - 2026.01.09
மளி(cid:8112)க(cid:8122)ப(cid:8117)ட காாிய(cid:8112)கார(cid:8125) (cid:8090)லமாக 2026 ஆ(cid:8123) அறிவி(cid:8112)(cid:8065)(cid:8123)ப(cid:8074)(cid:8092)(cid:8123) இ(cid:8119)தா(cid:8127) ேக(cid:8117)(cid:8076)(cid:8112) ெகா(cid:8128)ள(cid:8122)ப(cid:8076)
ஆ(cid:8118)(cid:8076) ப(cid:8113)(cid:8065)னி மாத(cid:8123) 09 ஆ(cid:8120) திகதி (cid:8089).ப. 10.00 கி(cid:8121)றன(cid:8125).
மணி(cid:8112)(cid:8065) ச(cid:8118)(cid:8074)(cid:8098)(cid:8122)பா(cid:8124) பிரேதச ெசயலக(cid:8119)தி(cid:8127) எ(cid:8121)
தி(cid:8094). (cid:8065). பிரபாகர(cid:8090)(cid:8125)(cid:8119)தி,
(cid:8089)(cid:8121) ெவளி(cid:8122)ப(cid:8076)(cid:8119)(cid:8080)(cid:8123)ப(cid:8074)(cid:8092)(cid:8123) ேம(cid:8100)(cid:8123), அ(cid:8112)காணியி(cid:8127) பிரேதச ெசயலாள(cid:8125),
அவ(cid:8125)க(cid:8102)(cid:8112)(cid:8065)(cid:8128)ள உட(cid:8120)ைதகளி(cid:8121) த(cid:8121)ைமைய(cid:8092)(cid:8123) வ(cid:8098)காம(cid:8123) ெத(cid:8121)ேம(cid:8126)(cid:8065)
(cid:8065)றி(cid:8119)த காணிைய எ(cid:8076)(cid:8119)த(cid:8126)கான ந(cid:8117)டஈ(cid:8076) ப(cid:8126)றிய ச(cid:8118)(cid:8074)(cid:8098)(cid:8122)பா(cid:8124).
அவ(cid:8125)களி(cid:8121) ேகாாி(cid:8112)ைககளி(cid:8121) விபர(cid:8113)கைள(cid:8092)(cid:8123) ந(cid:8117)ட பிரேதச ெசயலக(cid:8123),
ஈ(cid:8117)(cid:8076)(cid:8119) ெதாைகைய(cid:8092)(cid:8123) அ(cid:8119) ெதாைக கணி(cid:8112)க(cid:8122)ப(cid:8117)ட வ(cid:8098)காம(cid:8123) ெத(cid:8121)ேம(cid:8126)(cid:8065)
வித(cid:8119)ைத(cid:8092)(cid:8123) 2026 ஆ(cid:8123) ஆ(cid:8118)(cid:8076) மாசி மாத(cid:8123) 23 ஆ(cid:8120) ச(cid:8118)(cid:8074)(cid:8098)(cid:8122)பா(cid:8124).
2025, திெச(cid:8123)ப(cid:8125) 29.
திகதி(cid:8112)(cid:8065) (cid:8089)(cid:8121)ன(cid:8125) எ(cid:8104)(cid:8119)தி(cid:8127) (cid:8089)(cid:8122)பிரதிகளாக என(cid:8112)(cid:8065)
EOG 01 - 0039
இல(cid:8113)ைக அரசா(cid:8113)க அ(cid:8114)(cid:8070)(cid:8119) திைண(cid:8112)கள(cid:8119)தி(cid:8127) அ(cid:8114)சிட(cid:8122)ப(cid:8117)ட(cid:8080).</t>
  </si>
  <si>
    <t>2264c39d-c99b-4def-9b65-94c4d1f4105e</t>
  </si>
  <si>
    <t>2470_56</t>
  </si>
  <si>
    <t>2470/56</t>
  </si>
  <si>
    <t>Sri Lanka Ports Authority Act No. 40 of 1979, Section 2(7) — Notice (Gazette 2470/56)</t>
  </si>
  <si>
    <t>1979 අංක 40 දරන ශ්‍රී ලංකා වරාය අධිකාරිය පනත, 2(7) වගන්තිය යටතේ දැන්වීම</t>
  </si>
  <si>
    <t>1979 ஆம் ஆண்டின் 40 ஆம் இலக்க இலங்கை துறைமுக அதிகார சபைச் சட்டம், 2(7) ஆம் பிரிவின் கீழ் அறிவித்தல்</t>
  </si>
  <si>
    <t>Notice under Section 2(7) of the Sri Lanka Ports Authority Act No. 40 of 1979. Part I — General/Government Notifications.</t>
  </si>
  <si>
    <t>Sri Lanka Ports Authority Act, No. 40 of 1979</t>
  </si>
  <si>
    <t>ports_transport</t>
  </si>
  <si>
    <t>m1/raw/2470_56.pdf</t>
  </si>
  <si>
    <t>Y%S ,xld m%cd;dka;%sl iudcjd§ ckrcfha .eiÜ m;%h
w;s úfYI
,yq;ifr; rdehaf Nrhryprf; FbauR th;j;jkhdg; gj;jphpif
mjp tpNr\khdJ
wxl 2470/56 - 2026 ckjdß ui 09 jeks isl=rdod - 2026'01'09
2470/ 56 Mk; ,yf;fk; - 2026 Mk; Mz;L rdtup khjk; 09 Me; jpfjp nts;spf;fpoik
(murhq;fj;jpd; mjpfhuj;Jld; gpuRupf;fg;gl;lJ)
gFjp I : njhFjp (I) - nghJ
murhq;f mwptpj;jy;fs;
ப ப��ொொதுதுமமக்க்ககள்ள் ��ொொதுதுககொொப்ப்புபுக்க் ககட்ட்டடளைளைைைச்ச் சசட்ட்டடம்ம் ((4400 ஆஆம்ம் அஅத்த்திதிிியாயாொொயாயாம்ம்))
2(7) ஆம் �ிொிவிின் கீழாொன அறிிவிித்தில்
(40 ஆம் அத்திியாொயாமொன) ப�ொதுமக்கள் �ொதுகொப்புக் கட்டளைைச் சட்டத்திின் 2 ஆம் �ிொிவிின் கீழ், பகௌரவி சனொதிி�திி அவிர்கைொல்
மமற்குறிிப்�ிட்ட கட்டளைைச் சட்டத்திின் II ஆம் �குதிியாின் ஏற்�ொடுகளைை 2025, திிபசம்�ர் மொதிம் 28 ஆந் திிகதிியாிலிருந்து இலங்ளைக
முழுவிதும் நளைடமுளைறிப்�டுத்திிச் பசய்யாப்�ட்ட �ிரகடனம், 2026, சனவிொி மொதிம் 06 ஆந் திிகதிி �ொரொளுமன்றிப் �ிமரரளை�
ஆமமொதிித்திலினொல் அங்கீகொிக்கப்�ட்டபதின்�து இத்திொல் அறிிவிிக்கப்�டுகின்றிது.
ககலலொொநநிிதிதிிி எஎன்ன்.. எஎஸ்ஸ்.. குகுமமொொநநொொயாயாக்க்கக,,
சனொதிி�திியாின் பசயாலொைர்.
பகொழும்பு,
2026, சனவிொி 09.
EOG 01-0092
1A - G 46057 — 354 (2026/01) ,yq;if murhq;f mr;Rj; jpizf;fsj;jpw; gjpg;gpf;fg;ngw;wJ.
,t; mjptpNrl tu;j;jkhdpia www.documents.gov.lk vDk; ,izaj;jsj;jpypUe;J gjptpwf;fk; nra;a KbAk;.</t>
  </si>
  <si>
    <t>6d1332f5-dfa6-42c2-938b-1638897b2f67</t>
  </si>
  <si>
    <t>2470_57</t>
  </si>
  <si>
    <t>2470/57</t>
  </si>
  <si>
    <t>Title Registration Act, No. 21 of 1998, Section 14 — Commissioner of Title Settlement's decision under Section 14 (Gazette 2470/57)</t>
  </si>
  <si>
    <t>m1/raw/2470_57.pdf</t>
  </si>
  <si>
    <t>1836dcd3-1a71-483e-a6f8-f498684baa27</t>
  </si>
  <si>
    <t>2470_58</t>
  </si>
  <si>
    <t>2470/58</t>
  </si>
  <si>
    <t>Industrial Promotion / Investment Notification (Gazette 2470/58)</t>
  </si>
  <si>
    <t>කර්මාන්ත ප්‍රවර්ධන / ආයෝජන දැන්වීම</t>
  </si>
  <si>
    <t>தொழில் மேம்பாடு / முதலீட்டு அறிவித்தல்</t>
  </si>
  <si>
    <t>Reference notification issued by L.M.S.C.K. Vidanage, with references to Gazettes 1950/04 of 18 August 2016 and 1981/45 of 24 March 2017. Part I — General. Dated 9 January 2026.</t>
  </si>
  <si>
    <t>industry</t>
  </si>
  <si>
    <t>m1/raw/2470_58.pdf</t>
  </si>
  <si>
    <t>Y%S ,xld m%cd;dka;%sl iudcjd§ ckrcfha .eiÜ m;%h
w;s úfYI
,yq;ifr; rdehaf Nrhryprf; FbauR th;j;jkhdg; gj;jphpif
mjp tpNr\khdJ
wxl 2470/58 - 2026 ckjdß ui 10 jeks fikiqrdod - 2026'01'10
2470/ 58 Mk; ,yf;fk; - 2026 Mk; Mz;L rdtup khjk; 10 Me; jpfjp rdpf;fpoik
(murhq;fj;jpd; mjpfhuj;Jld; gpuRupf;fg;gl;lJ)
gFjp I : njhFjp (I) - nghJ
murhq;f mwptpj;jy;fs;
0088 ஆஆவவதுது திதிிிருருத்த்திதிம்ம்
இஇலலங்ங்கைகைைை சுசுைைாாதிதிாாரர சேசேேேகைகைவவயியிிின்ன் மமருருத்த்துதுவவ சேசேேேகைகைவவப்ப் பிபிிிரரமமாாணணக்க் குகுறிறிிிப்ப்புபு
பிின்வரும் பிகுதிி I இல் குறிிப்பிிடப்பிட்டுள்ளவாறு திிருத்திம் செேய்யிப்பிட்ட 2014, ஒற்சேறிாபிர் 11 ஆந் திிைதிியி மற்றும் 1883/17
ஆம் இலக்ை இலங்கைைச் ேனநாாயிை சேோேலிேக் குடியிரேின் அதிிவி சேேட வர்த்திமானப் பித்திிாிகைை மூலம் பிிரசுாிக்ைப்பிட்ட,
இலங்கைை சுைாதிார சேேகைவயிின் மருத்துவ சேேகைவப் பிிரமாணக் குறிிப்பு ைீசே� பிகுதிி II இல் ைாட்டப்பிட்டுள்ளவாறு மீளவும்
திிருத்திியிகைமக்ைப்பிடுைின்றிது. அதிில் குறிிப்பிிடப்பிட்டுள்ள ஏகைனயி விடயிங்ைளும் நாிபிந்திகைனைளும் மாற்றிமின்றிி செதிாடர்ந்தும்
செேயில்வலுப்செபிறும்.
பிைிரங்ை சேேகைவ ஆகைணக்குழுவின் பிணிப்பிிற்ைகைமயி,
டடபிபிிிள்ள்யூயூ.. எஎச்ச்.. எஎம்ம்.. எஎம்ம்.. ேேீீ.. சேசேைை.. திதியியிாாரரத்த்னன,,
செேயிலாளர்,
பிைிரங்ை சேேகைவ ஆகைணக்குழு.
2026, ேனவாி 09.
பிபிகுகுதிதிிி II
திிருத்தி இலக்ைம் 01 - 2016, ேனவாி மாதிம் 18 ஆந் திிைதிியி மற்றும் 1950/4 ஆம் இலக்ை அதிிவி சேேட வர்த்திமானப் பித்திிாிகைை
திிருத்தி இலக்ைம் 02 - 2016, ஓைத்து மாதிம் 24 ஆந் திிைதிியி மற்றும் 1981/45 ஆம் இலக்ை அதிிவிசே ேட வர்த்திமானப் பித்திிாிகைை
1A - G 46056 — 04 (2026/01)
,t; mjptpNrl tu;j;jkhdpia www.documents.gov.lk vDk; ,izaj;jsj;jpypUe;J gjptpwf;fk; nra;a KbAk;.
2A I fldgi ( ^I&amp; fPoh - YS% ,xld m%cd;dka;s%l iudcjd§ ckrcfha w;s úfYI .eiÜ m;%h - 2026'01'10
gFjp I : njhFjp (I) - ,yq;ifr; rdehaf Nrhryprf; FbauR tu;j;jkhdg; gj;;jpupif - mjp tpNr\khdJ - 2026.01.10
திிருத்தி இலக்ைம் 03 - 2016, திிசெேம்பிர் மாதிம் 09 ஆந் திிைதிியி மற்றும் 1996/46 ஆம் இலக்ை அதிிவி சேேட வர்த்திமானப் பித்திிாிகைை
திிருத்தி இலக்ைம் 04 - 2021, மாச்சு மாதிம் 09 ஆந் திிைதிியி மற்றும் 2218/50 ஆம் இலக்ை அதிிவிசே ேட வர்த்திமானப் பித்திிாிகைை
திிருத்தி இலக்ைம் 05 - 2022, ஏப்பிிறில் மாதிம் 29 ஆந் திிைதிியி மற்றும் 2277/59 ஆம் இலக்ை அதிிவிசே ேட வர்த்திமானப் பித்திிாிகைை
திிருத்தி இலக்ைம் 06 - 2023, திிசெேம்பிர் மாதிம் 22 ஆந் திிைதிியி மற்றும் 2363/83 ஆம் இலக்ை அதிிவி சேேட வர்த்திமானப் பித்திிாிகைை
திிருத்தி இலக்ைம் 07 - 2024, நாசெவம்பிர் மாதிம் 17 ஆந் திிைதிியி மற்றும் 2410/09 ஆம் இலக்ை அதிிவி சேேட வர்த்திமானப் பித்திிாிகைை
பிபிகுகுதிதிிி IIII
2024, நாசெவம்பிர் மாதிம் 17 ஆந் திிைதிியி மற்றும் 2410/ 09 ஆம் இலக்ை அதிிவிசேேட வர்த்திமானப் பித்திிாிகைையிில் பிிரசுாிக்ைப்பிட்ட
திிருத்தி இலக்ைம் 07 இன் பிகுதிி II இல் குறிிப்பிிடப்பிட்டுள்ள “இகைடக்ைால ஏற்பிாடுைள்” இதின் மூலம் நாீக்ைப்பிடுைின்றின.
EOG 01 - 0091
,yq;if murhq;f mr;Rj; jpizf;fsj;jpw; gjpg;gpf;fg;ngw;wJ.</t>
  </si>
  <si>
    <t>d0d80700-9046-43bb-83a3-7894d7042bde</t>
  </si>
  <si>
    <t>2470_59</t>
  </si>
  <si>
    <t>2470/59</t>
  </si>
  <si>
    <t>Title Registration Act, No. 21 of 1998, Section 14 — Commissioner of Title Settlement decision (Gazette 2470/59)</t>
  </si>
  <si>
    <t>Commissioner of Title Settlement's decision under Section 14 of the Title Registration Act No. 21 of 1998. Part III — Lands. Land parcel in Cadastral Map 521003 references Gazette 2377/12 of 21 March 2025 from Galle. References 130 February 2025 amendment.</t>
  </si>
  <si>
    <t>m1/raw/2470_59.pdf</t>
  </si>
  <si>
    <t>III ෙක(cid:675)ටස – (cid:636) ලංකා (cid:541)ජාතා(cid:486)(cid:437)ක සමාජවා(cid:463) ජනරජෙ(cid:591) අ(cid:431) (cid:618)ෙශෂ ගැස(cid:376) ප(cid:436)ය – 2026.01.10 1 A
ப(cid:8065)தி III – இல(cid:8113)ைக(cid:8114) சனநாயக ேசாச(cid:8098)ச(cid:8112) (cid:8065)(cid:8074)யர(cid:8070) வ(cid:8125)(cid:8119)தமான(cid:8122) ப(cid:8119)திாிைக - அதி விேசஷமான(cid:8080) – 2026.01.10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2470/59 - 2026 ජනවා(cid:604) මස 10 වැ(cid:487) ෙසන(cid:648)රාදා - 2026.01.10
2470/59 ஆ(cid:8123) இல(cid:8112)க(cid:8123) - 2026 ஆ(cid:8123) ஆ(cid:8118)(cid:8076) சனவாி மாத(cid:8123) 10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2025.03.28 ஆ(cid:8120) திகதிய காணி(cid:8112)கான உாிைம(cid:8112) ேகாாி(cid:8112)ைககைள(cid:8112) ேகா(cid:8094)கி(cid:8121)ற(cid:8080)மான 2429/69 ஆ(cid:8123) இல(cid:8112)க அறிவி(cid:8119)த(cid:8098)(cid:8127)
(cid:8065)றி(cid:8122)(cid:8086)(cid:8076) ெச(cid:8124)ய(cid:8122)ப(cid:8117)ட ேம(cid:8127) மாகாண(cid:8119)தி(cid:8121), ெகா(cid:8104)(cid:8123)(cid:8087) மாவ(cid:8117)ட(cid:8119)தி(cid:8127), ர(cid:8119)மலான பிரேதச ெசயலாள(cid:8125) பிாிவி(cid:8127), இல. 546ஏ - ெவ(cid:8074)க(cid:8120)த
கிராம அ(cid:8100)வல(cid:8125) பிாிவி(cid:8084)(cid:8128) ர(cid:8119)மலான கிராம(cid:8119)தி(cid:8127) அைம(cid:8120)(cid:8080)(cid:8128)ள(cid:8080)(cid:8123) 521003 ஆ(cid:8123) இல(cid:8112)க கட(cid:8119)திர(cid:8127) அளைவ வைரபட(cid:8119)தி(cid:8127) பிாி(cid:8107) இல. 21
இ(cid:8127) அட(cid:8113)கி(cid:8092)(cid:8128)ள(cid:8080)மான 1:36 ஆ(cid:8123) இல(cid:8112)க(cid:8119)ைத(cid:8112) ெகா(cid:8118)ட காணி(cid:8119)(cid:8080)(cid:8118)(cid:8074)(cid:8126)கான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27 ஆ(cid:8120) திகதி.
1A - G 46059 - 03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2026.01.10
ப(cid:8065)தி III – இல(cid:8113)ைக(cid:8114) சனநாயக ேசாச(cid:8098)ச(cid:8112) (cid:8065)(cid:8074)யர(cid:8070) வ(cid:8125)(cid:8119)தமான(cid:8122) ப(cid:8119)திாிைக - அதி விேசஷமான(cid:8080) – 2026.01.10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1:36 0.0062 ரயிக(cid:8123) ெவதப(cid:8118)டேக யசி(cid:8120)த அ(cid:8082)ராத 198100401374 (cid:8089)(cid:8104)வ(cid:8080)(cid:8123) 1ஆவ(cid:8080) வ(cid:8065)(cid:8122)(cid:8087) கா.(cid:8080).இல. 33 –
இல. 7/2, ஷா(cid:8120)த மாியா (cid:8106)தி , அ(cid:8078)(cid:8065)வழி ேசவக
க(cid:8127)கி(cid:8132)ைஸ . உாி(cid:8119)தி(cid:8126)(cid:8065)
உ(cid:8117)ப(cid:8117)ட(cid:8080).
EOG 01 - 0096 / 1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2025.02.01 ஆ(cid:8120) திகதிய காணி(cid:8112)கான உாிைம(cid:8112) ேகாாி(cid:8112)ைககைள(cid:8112) ேகா(cid:8094)கி(cid:8121)ற(cid:8080)மான 2421/61 ஆ(cid:8123) இல(cid:8112)க அறிவி(cid:8119)த(cid:8098)(cid:8127)
(cid:8065)றி(cid:8122)(cid:8086)(cid:8076) ெச(cid:8124)ய(cid:8122)ப(cid:8117)ட ேம(cid:8127) மாகாண(cid:8119)தி(cid:8121), ெகா(cid:8104)(cid:8123)(cid:8087) மாவ(cid:8117)ட(cid:8119)தி(cid:8127), ர(cid:8119)மலான பிரேதச ெசயலாள(cid:8125) பிாிவி(cid:8127), இல 544ஏ - அ(cid:8119)தி(cid:8074)ய
கிராம அ(cid:8100)வல(cid:8125) பிாிவி(cid:8084)(cid:8128) வ(cid:8080)(cid:8089)(cid:8127)ல கிராம(cid:8119)தி(cid:8127) அைம(cid:8120)(cid:8080)(cid:8128)ள(cid:8080)(cid:8123) 521009 ஆ(cid:8123) இல(cid:8112)க கட(cid:8119)திர(cid:8127) அளைவ வைரபட(cid:8119)தி(cid:8127) பிாி(cid:8107) இல.
08 இ(cid:8127) அட(cid:8113)கி(cid:8092)(cid:8128)ள(cid:8080)மான 34 ஆ(cid:8123) இல(cid:8112)க(cid:8119)ைத(cid:8112) ெகா(cid:8118)ட காணி(cid:8119)(cid:8080)(cid:8118)(cid:8074)(cid:8126)கான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27 ஆ(cid:8120) திகதி.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34 0.0128 ப(cid:8118)டாரெகாடேக பிரஸ(cid:8121)ன 197832300186 (cid:8089)(cid:8104)வ(cid:8080)(cid:8123) 1ஆவ(cid:8080) வ(cid:8065)(cid:8122)(cid:8087) கா.(cid:8080).இல. 36 –
ம(cid:8121)ஜுல (cid:8065)மார அ(cid:8078)(cid:8065)வழி ேசவக
இல. 30/1, வி(cid:8119)யால (cid:8106)தி , உாி(cid:8119)தி(cid:8126)(cid:8065)
க(cid:8127)கி(cid:8132)ைஸ . உ(cid:8117)ப(cid:8117)ட(cid:8080).
EOG 01 - 0096 / 2
III ෙක(cid:675)ටස – (cid:636) ලංකා (cid:541)ජාතා(cid:486)(cid:437)ක සමාජවා(cid:463) ජනරජෙ(cid:591) අ(cid:431) (cid:618)ෙශෂ ගැස(cid:376) ප(cid:436)ය – 2026.01.10 3 A
ப(cid:8065)தி III – இல(cid:8113)ைக(cid:8114) சனநாயக ேசாச(cid:8098)ச(cid:8112) (cid:8065)(cid:8074)யர(cid:8070) வ(cid:8125)(cid:8119)தமான(cid:8122) ப(cid:8119)திாிைக - அதி விேசஷமான(cid:8080) – 2026.01.10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2025.05.03 ஆ(cid:8120) திகதிய காணி(cid:8112)கான உாிைம(cid:8112) ேகாாி(cid:8112)ைககைள(cid:8112) ேகா(cid:8094)கி(cid:8121)ற(cid:8080)மான 2434/20 ஆ(cid:8123) இல(cid:8112)க அறிவி(cid:8119)த(cid:8098)(cid:8127)
(cid:8065)றி(cid:8122)(cid:8086)(cid:8076) ெச(cid:8124)ய(cid:8122)ப(cid:8117)ட ேம(cid:8127) மாகாண(cid:8119)தி(cid:8121), ெகா(cid:8104)(cid:8123)(cid:8087) மாவ(cid:8117)ட(cid:8119)தி(cid:8127), ர(cid:8119)மலான பிரேதச ெசயலாள(cid:8125) பிாிவி(cid:8127), இல 545ஏ - க(cid:8076)(cid:8065)(cid:8094)(cid:8080)வ(cid:8119)த
கிராம அ(cid:8100)வல(cid:8125) பிாிவி(cid:8084)(cid:8128) க(cid:8076)(cid:8065)(cid:8094)(cid:8080)வ(cid:8119)த கிராம(cid:8119)தி(cid:8127) அைம(cid:8120)(cid:8080)(cid:8128)ள(cid:8080)(cid:8123) 521005 ஆ(cid:8123) இல(cid:8112)க கட(cid:8119)திர(cid:8127) அளைவ வைரபட(cid:8119)தி(cid:8127) பிாி(cid:8107)
இல. 13 இ(cid:8127) அட(cid:8113)கி(cid:8092)(cid:8128)ள(cid:8080)மான 41 ஆ(cid:8123) இல(cid:8112)க(cid:8119)ைத(cid:8112) ெகா(cid:8118)ட காணி(cid:8119)(cid:8080)(cid:8118)(cid:8074)(cid:8126)கான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27 ஆ(cid:8120) திகதி.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41 0.0261 (cid:8074)(cid:8127)ஹானி ாீடா பிரனா(cid:8120)(cid:8080) 678472034V (cid:8089)(cid:8104)வ(cid:8080)(cid:8123) 1ஆவ(cid:8080) வ(cid:8065)(cid:8122)(cid:8087) கா.(cid:8080).இல. 05 –
இல. 92/6, ஹு(cid:8100)தாெகாட (cid:8088)(cid:8113)கா, அ(cid:8078)(cid:8065)வழி ேசவக
க(cid:8127)கி(cid:8132)ைஸ. உாி(cid:8119)தி(cid:8126)(cid:8065)
உ(cid:8117)ப(cid:8117)ட(cid:8080).
EOG 01 - 0096 / 3
இல(cid:8113)ைக அரசா(cid:8113)க அ(cid:8114)(cid:8070)(cid:8119) திைண(cid:8112)கள(cid:8119)தி(cid:8127) பதி(cid:8122)பி(cid:8112)க(cid:8122)ெப(cid:8126)ற(cid:8080).</t>
  </si>
  <si>
    <t>90ad78a2-b4ca-4942-bca9-64fde9b412c7</t>
  </si>
  <si>
    <t>2470_60</t>
  </si>
  <si>
    <t>2470/60</t>
  </si>
  <si>
    <t>Title Registration Act, No. 21 of 1998, Section 14 — Commissioner of Title Settlement decision (Gazette 2470/60)</t>
  </si>
  <si>
    <t>m1/raw/2470_60.pdf</t>
  </si>
  <si>
    <t>III ෙක(cid:675)ටස – (cid:636) ලංකා (cid:541)ජාතා(cid:486)(cid:437)ක සමාජවා(cid:463) ජනරජෙ(cid:591) අ(cid:431) (cid:618)ෙශෂ ගැස(cid:376) ප(cid:436)ය – 2026.01.10 1 A
ப(cid:8065)தி III – இல(cid:8113)ைக(cid:8114) சனநாயக ேசாச(cid:8098)ச(cid:8112) (cid:8065)(cid:8074)யர(cid:8070) வ(cid:8125)(cid:8119)தமான(cid:8122) ப(cid:8119)திாிைக - அதி விேசஷமான(cid:8080) – 2026.01.10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2470/60 - 2026 ජනවා(cid:604) මස 10 වැ(cid:487) ෙසන(cid:648)රාදා - 2026.01.10
2470/60 ஆ(cid:8123) இல(cid:8112)க(cid:8123) - 2026 ஆ(cid:8123) ஆ(cid:8118)(cid:8076) சனவாி மாத(cid:8123) 10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2025.03.05 ஆ(cid:8120) திகதிய 2426/46 ஆ(cid:8123) இல(cid:8112)க வ(cid:8125)(cid:8119)தமானியி(cid:8127) உாிய (cid:8089)ைறயி(cid:8127) ெவளியிட(cid:8122)ப(cid:8117)ட(cid:8080)(cid:8123), காணி(cid:8112)கான உாிைம(cid:8112)
ேகாாி(cid:8112)ைககைள(cid:8112) ேகா(cid:8094)கி(cid:8121)ற(cid:8080)மான ம(cid:8119)திய மாகாண(cid:8119)தி(cid:8121) க(cid:8118)(cid:8074) மாவ(cid:8117)ட(cid:8119)தி(cid:8127), ெதா(cid:8100)வ பிரேதச ெசயலாள(cid:8125) பிாிவி(cid:8127), இல. 1166 -
ெத(cid:8127)பி(cid:8074)ய கிராம அ(cid:8100)வல(cid:8125) பிாிவி(cid:8084)(cid:8128) (cid:8132)ேடா(cid:8086)(cid:8127)(cid:8117) கிராம(cid:8119)தி(cid:8127) அைம(cid:8120)(cid:8080)(cid:8128)ள(cid:8080)(cid:8123) 320164 ஆ(cid:8123) இல(cid:8112)க கட(cid:8119)திர(cid:8127) அளைவ வைரபட(cid:8119)தி(cid:8127)
பிாி(cid:8107) இல. 03 இ(cid:8127) அட(cid:8113)கி(cid:8092)(cid:8128)ள(cid:8080)மான 184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01 ஆ(cid:8120) திகதி.
1A - G 46060 - 03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2026.01.10
ப(cid:8065)தி III – இல(cid:8113)ைக(cid:8114) சனநாயக ேசாச(cid:8098)ச(cid:8112) (cid:8065)(cid:8074)யர(cid:8070) வ(cid:8125)(cid:8119)தமான(cid:8122) ப(cid:8119)திாிைக - அதி விேசஷமான(cid:8080) – 2026.01.10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184 0.0514 நில(cid:8112) ஷி வ(cid:8119)ச(cid:8127) (cid:8065)மாாி கலஹி(cid:8074)யாவ 775041980V (cid:8089)(cid:8104)வ(cid:8080)(cid:8123) 1ஆவ(cid:8080) வ(cid:8065)(cid:8122)(cid:8087) ெபா(cid:8080) (cid:8106)தி
இல. 84,(cid:8132)ேடா(cid:8086)(cid:8127)(cid:8117), ேசவக
ெத(cid:8127)பி(cid:8074)ய, அடபாேக. உாி(cid:8119)தி(cid:8126)(cid:8065)
உ(cid:8117)ப(cid:8117)ட(cid:8080).
EOG 01 - 0097
இல(cid:8113)ைக அரசா(cid:8113)க அ(cid:8114)(cid:8070)(cid:8119) திைண(cid:8112)கள(cid:8119)தி(cid:8127) பதி(cid:8122)பி(cid:8112)க(cid:8122)ெப(cid:8126)ற(cid:8080).</t>
  </si>
  <si>
    <t>73e54939-ee21-460d-9478-127c78c35385</t>
  </si>
  <si>
    <t>2470_61</t>
  </si>
  <si>
    <t>2470/61</t>
  </si>
  <si>
    <t>Title Registration Act, No. 21 of 1998, Section 14 — Commissioner of Title Settlement decision (Gazette 2470/61)</t>
  </si>
  <si>
    <t>Commissioner of Title Settlement's decision under Section 14 of the Title Registration Act No. 21 of 1998. Part III — Lands. Land Parcel No. 763 of Block 05 in Cadastral Map No. 420357 references Gazette 1991 from Kurunegala. Dated 26 December 2025.</t>
  </si>
  <si>
    <t>m1/raw/2470_61.pdf</t>
  </si>
  <si>
    <t>III ෙක(cid:675)ටස – (cid:636) ලංකා (cid:541)ජාතා(cid:486)(cid:437)ක සමාජවා(cid:463) ජනරජෙ(cid:591) අ(cid:431) (cid:618)ෙශෂ ගැස(cid:376) ප(cid:436)ය – 2026.01.10 1 A
ப(cid:8065)தி III – இல(cid:8113)ைக(cid:8114) சனநாயக ேசாச(cid:8098)ச(cid:8112) (cid:8065)(cid:8074)யர(cid:8070) வ(cid:8125)(cid:8119)தமான(cid:8122) ப(cid:8119)திாிைக - அதி விேசஷமான(cid:8080) – 2026.01.10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2470/61 - 2026 ජනවා(cid:604) මස 10 වැ(cid:487) ෙසන(cid:648)රාදා - 2026.01.10
2470/61 ஆ(cid:8123) இல(cid:8112)க(cid:8123) - 2026 ஆ(cid:8123) ஆ(cid:8118)(cid:8076) சனவாி மாத(cid:8123) 10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2024.09.08 ஆ(cid:8120) திகதிய காணி(cid:8112)கான உாிைம(cid:8112) ேகாாி(cid:8112)ைககைள(cid:8112) ேகா(cid:8094)கி(cid:8121)ற(cid:8080)மான 2400/53 ஆ(cid:8123) இல(cid:8112)க அறிவி(cid:8119)த(cid:8098)(cid:8127)
(cid:8065)றி(cid:8122)(cid:8086)(cid:8076) ெச(cid:8124)ய(cid:8122)ப(cid:8117)ட வட ேம(cid:8127) மாகாண(cid:8119)தி(cid:8121), (cid:8065)(cid:8094)நாக(cid:8127) மாவ(cid:8117)ட(cid:8119)தி(cid:8127), (cid:8065)(cid:8094)நாக(cid:8127) பிரேதச ெசயலாள(cid:8125) பிாிவி(cid:8127), இல. 763 - வர(cid:8119)தன
கிராம அ(cid:8100)வல(cid:8125) பிாிவி(cid:8084)(cid:8128) மிாிஹ(cid:8123)(cid:8087)ர கிராம(cid:8119)தி(cid:8127) அைம(cid:8120)(cid:8080)(cid:8128)ள(cid:8080)(cid:8123) 420357 ஆ(cid:8123) இல(cid:8112)க கட(cid:8119)திர(cid:8127) அளைவ வைரபட(cid:8119)தி(cid:8127) பிாி(cid:8107)
இல. 05 இ(cid:8127) அட(cid:8113)கி(cid:8092)(cid:8128)ள(cid:8080)மான 1:91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26 ஆ(cid:8120) திகதி.
1A - G 46061 - 03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2026.01.10
ப(cid:8065)தி III – இல(cid:8113)ைக(cid:8114) சனநாயக ேசாச(cid:8098)ச(cid:8112) (cid:8065)(cid:8074)யர(cid:8070) வ(cid:8125)(cid:8119)தமான(cid:8122) ப(cid:8119)திாிைக - அதி விேசஷமான(cid:8080) – 2026.01.10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1:91 0.0965 வ(cid:8121)ன உ(cid:8121)ெனெஹலாேக 199018603105 (cid:8089)(cid:8104)வ(cid:8080)(cid:8123) 1ஆவ(cid:8080) வ(cid:8065)(cid:8122)(cid:8087) நாலனீ ெபா(cid:8074) –
க(cid:8070)(cid:8121) தீபா(cid:8127) திஸாநாயக ெமணிேக
இல. 06, நவ ெமாணராகைல , ர(cid:8123)ம(cid:8118)டல எ(cid:8121)பவர(cid:8080)
மா(cid:8132)ெவல. சீவிய உாி(cid:8119)தி(cid:8126)(cid:8065)
உ(cid:8117)ப(cid:8117)ட(cid:8080).
EOG 01 - 0098 / 1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2024.10.25 ஆ(cid:8120) திகதிய காணி(cid:8112)கான உாிைம(cid:8112) ேகாாி(cid:8112)ைககைள(cid:8112) ேகா(cid:8094)கி(cid:8121)ற(cid:8080)மான 2407/38 ஆ(cid:8123) இல(cid:8112)க அறிவி(cid:8119)த(cid:8098)(cid:8127)
(cid:8065)றி(cid:8122)(cid:8086)(cid:8076) ெச(cid:8124)ய(cid:8122)ப(cid:8117)ட வட ேம(cid:8127) மாகாண(cid:8119)தி(cid:8121), (cid:8065)(cid:8094)நாக(cid:8127) மாவ(cid:8117)ட(cid:8119)தி(cid:8127), (cid:8065)(cid:8094)நாக(cid:8127) பிரேதச ெசயலாள(cid:8125) பிாிவி(cid:8127), இல. 765 - பஹல
வர(cid:8119)தன கிராம அ(cid:8100)வல(cid:8125) பிாிவி(cid:8084)(cid:8128) மயிலக(cid:8123)மன கிராம(cid:8119)தி(cid:8127) அைம(cid:8120)(cid:8080)(cid:8128)ள(cid:8080)(cid:8123) 420364 ஆ(cid:8123) இல(cid:8112)க கட(cid:8119)திர(cid:8127) அளைவ வைரபட(cid:8119)தி(cid:8127)
பிாி(cid:8107) இல. 04 இ(cid:8127) அட(cid:8113)கி(cid:8092)(cid:8128)ள(cid:8080)மான 1:42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26 ஆ(cid:8120) திகதி.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1:42 0.1199 (cid:8106)சி(cid:8113)ஹ (cid:8089)திய(cid:8121)ேசலாேக சி(cid:8121)தக 197616600322 (cid:8089)(cid:8104)வ(cid:8080)(cid:8123) 1ஆவ(cid:8080) வ(cid:8065)(cid:8122)(cid:8087) – –
பிாியஷா(cid:8120)த (cid:8106)சி(cid:8113)ஹ
இல. 02, மயிலக(cid:8123)மன, த(cid:8127)விட.
EOG 01 - 0098 / 2
III ෙක(cid:675)ටස – (cid:636) ලංකා (cid:541)ජාතා(cid:486)(cid:437)ක සමාජවා(cid:463) ජනරජෙ(cid:591) අ(cid:431) (cid:618)ෙශෂ ගැස(cid:376) ප(cid:436)ය – 2026.01.10 3 A
ப(cid:8065)தி III – இல(cid:8113)ைக(cid:8114) சனநாயக ேசாச(cid:8098)ச(cid:8112) (cid:8065)(cid:8074)யர(cid:8070) வ(cid:8125)(cid:8119)தமான(cid:8122) ப(cid:8119)திாிைக - அதி விேசஷமான(cid:8080) – 2026.01.10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2024.10.25 ஆ(cid:8120) திகதிய காணி(cid:8112)கான உாிைம(cid:8112) ேகாாி(cid:8112)ைககைள(cid:8112) ேகா(cid:8094)கி(cid:8121)ற(cid:8080)மான 2407/38 ஆ(cid:8123) இல(cid:8112)க அறிவி(cid:8119)த(cid:8098)(cid:8127)
(cid:8065)றி(cid:8122)(cid:8086)(cid:8076) ெச(cid:8124)ய(cid:8122)ப(cid:8117)ட வட ேம(cid:8127) மாகாண(cid:8119)தி(cid:8121), (cid:8065)(cid:8094)நாக(cid:8127) மாவ(cid:8117)ட(cid:8119)தி(cid:8127), (cid:8065)(cid:8094)நாக(cid:8127) பிரேதச ெசயலாள(cid:8125) பிாிவி(cid:8127), இல. 759 -ெவ(cid:8127)லவ
கிராம அ(cid:8100)வல(cid:8125) பிாிவி(cid:8084)(cid:8128) ெவ(cid:8127)லவ கிராம(cid:8119)தி(cid:8127) அைம(cid:8120)(cid:8080)(cid:8128)ள(cid:8080)(cid:8123) 420353 ஆ(cid:8123) இல(cid:8112)க கட(cid:8119)திர(cid:8127) அளைவ வைரபட(cid:8119)தி(cid:8127) பிாி(cid:8107) இல.
03 இ(cid:8127) அட(cid:8113)கி(cid:8092)(cid:8128)ள(cid:8080)மான 1:17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26 ஆ(cid:8120) திகதி.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1:17 0.0808 ெகரவிெகாடேக ெதா(cid:8121) ஷமி(cid:8119) 861941191V (cid:8089)(cid:8104)வ(cid:8080)(cid:8123) 1ஆவ(cid:8080) வ(cid:8065)(cid:8122)(cid:8087) ராஜ(cid:8065)(cid:8094) –
ெகரவிெகாட (cid:8089)திய(cid:8121)ேசலாேக
இல. 30, ஹிாிபி(cid:8074)ய (cid:8106)தி, ெவ(cid:8127)லவ. (cid:8065)(cid:8070)மாவதீ
எ(cid:8121)பவர(cid:8080)
சீவிய உாி(cid:8119)தி(cid:8126)(cid:8065)
உ(cid:8117)ப(cid:8117)ட(cid:8080).
EOG 01 - 0098 / 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2025.03.26 ஆ(cid:8120) திகதிய காணி(cid:8112)கான உாிைம(cid:8112) ேகாாி(cid:8112)ைககைள(cid:8112) ேகா(cid:8094)கி(cid:8121)ற(cid:8080)மான 2429/23 ஆ(cid:8123) இல(cid:8112)க அறிவி(cid:8119)த(cid:8098)(cid:8127)
(cid:8065)றி(cid:8122)(cid:8086)(cid:8076) ெச(cid:8124)ய(cid:8122)ப(cid:8117)ட வட ேம(cid:8127) மாகாண(cid:8119)தி(cid:8121), (cid:8065)(cid:8094)நாக(cid:8127) மாவ(cid:8117)ட(cid:8119)தி(cid:8127), (cid:8065)(cid:8094)நாக(cid:8127) பிரேதச ெசயலாள(cid:8125) பிாிவி(cid:8127), இல. 756 -
ஹதிரவலான கிராம அ(cid:8100)வல(cid:8125) பிாிவி(cid:8084)(cid:8128) உ(cid:8076)ம(cid:8127)வ(cid:8119)த கிராம(cid:8119)தி(cid:8127) அைம(cid:8120)(cid:8080)(cid:8128)ள(cid:8080)(cid:8123) 420350 ஆ(cid:8123) இல(cid:8112)க கட(cid:8119)திர(cid:8127) அளைவ
4 A III ෙක(cid:675)ටස – (cid:636) ලංකා (cid:541)ජාතා(cid:486)(cid:437)ක සමාජවා(cid:463) ජනරජෙ(cid:591) අ(cid:431) (cid:618)ෙශෂ ගැස(cid:376) ප(cid:436)ය – 2026.01.10
ப(cid:8065)தி III – இல(cid:8113)ைக(cid:8114) சனநாயக ேசாச(cid:8098)ச(cid:8112) (cid:8065)(cid:8074)யர(cid:8070) வ(cid:8125)(cid:8119)தமான(cid:8122) ப(cid:8119)திாிைக - அதி விேசஷமான(cid:8080) – 2026.01.10
வைரபட(cid:8119)தி(cid:8127) பிாி(cid:8107) இல. 04 இ(cid:8127) அட(cid:8113)கி(cid:8092)(cid:8128)ள(cid:8080)மான 1:29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26 ஆ(cid:8120) திகதி.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1:29 0.1296 கேனெகதர ந(cid:8124)ேதலாேக (cid:8094)வ(cid:8121) 883144740V (cid:8089)(cid:8104)வ(cid:8080)(cid:8123) 1ஆவ(cid:8080) வ(cid:8065)(cid:8122)(cid:8087) – –
(cid:8080)ஷார ஜயெகா(cid:8074).
EOG 01 - 0098 / 4
இல(cid:8113)ைக அரசா(cid:8113)க அ(cid:8114)(cid:8070)(cid:8119) திைண(cid:8112)கள(cid:8119)தி(cid:8127) பதி(cid:8122)பி(cid:8112)க(cid:8122)ெப(cid:8126)ற(cid:8080).</t>
  </si>
  <si>
    <t>0cb501a4-bd9a-4b8d-9f1d-43ffccd5f7ca</t>
  </si>
  <si>
    <t>2470_62</t>
  </si>
  <si>
    <t>2470/62</t>
  </si>
  <si>
    <t>Title Registration Act, No. 21 of 1998, Section 14 — Commissioner of Title Settlement's decision under Section 14 (Gazette 2470/62)</t>
  </si>
  <si>
    <t>m1/raw/2470_62.pdf</t>
  </si>
  <si>
    <t>ddf5c69f-56bc-4203-8886-5f9c183c36b9</t>
  </si>
  <si>
    <t>2471_01</t>
  </si>
  <si>
    <t>2471/01</t>
  </si>
  <si>
    <t>Sri Lanka Standards Institution Act / Codex Alimentarius Act No. 235 — Notice (Gazette 2471/01)</t>
  </si>
  <si>
    <t>ශ්‍රී ලංකා ප්‍රමිතීන් ආයතන පනත / ආහාර සංහිතා පනත අංක 235 යටතේ දැන්වීම</t>
  </si>
  <si>
    <t>இலங்கை தரநிர்ணய நிறுவனச் சட்டம் / உணவுக் கட்டளைச் சட்டம் இல. 235 கீழ் அறிவித்தல்</t>
  </si>
  <si>
    <t>Notice issued by the Minister concerning standards / food regulations under the relevant 17th sub-act (Act No. 235). References Gazette 2026.01.05 amendment and Gazette 2026.01.09. Signed by S.B. Aragoda. Part I — General. Dated 11 January 2026.</t>
  </si>
  <si>
    <t>m1/raw/2471_01.pdf</t>
  </si>
  <si>
    <t>Y%S ,xld m%cd;dka;%sl iudcjd§ ckrcfha .eiÜ m;%h
w;s úfYI
,yq;ifr; rdehaf Nrhryprf; FbauR th;j;jkhdg; gj;jphpif
mjp tpNr\khdJ
wxl 2471/01 - 2026 ckjdß ui 12 jeks i÷od - 2026'01'12
2471/01 Mk; ,yf;fk; - 2026 Mk; Mz;L rdtup khjk; 12 Me; jpfjp jpq;fl;fpoik
(murhq;fj;jpd; mjpfhuj;Jld; gpuRupf;fg;gl;lJ)
gFjp I : njhFjp (I) - nghJ
murhq;f mwptpj;jy;fs;
R. g. eh. V877 /gPvy; 305.
Rq;f mwptpj;jy; (nghJ)
Rq;ff; fl;lisr; rl;lk; (mj;jpahak; 235)
me;epar; nryhtzp tPjk;
Rq;ff; fl;lisr; rl;lj;jpd; (235 Mk; mj;jpahak;) 17 Mk; gpuptpdhy; vdf;F mspf;fg;gl;l jj;Jtq;fis mbg;gilahff;
nfhz;L&gt; v];. gP. mWf;nfhl&gt; Rq;fg; gzpg;ghsu; ehafk; Mfpa ehd;&gt; 2026.01.12 Me; jpfjpapypUe;J mKYf;F tUk;
tifapy;&gt; Rq;ff; fl;lisr; rl;lj;jpd; fPo; (mj;jpahak; 235) mwtplg;gLk; Rq;fj; jPu;itfs;&gt; mguhjq;fs; kw;Wk; gwpKjy;fs;
ahTk; kWgf;f ml;ltizapy; jug;gl;Ls;s nryhtzp tPjq;fspy; nrYj;jg;glYk; ngwg;glYk; Ntz;Lk; vd ,j;jhy;
mwpaj;jUfpd;Nwd;.
2026.01.05 Me; jpfjpa 2470/ 01 Mk; ,yf;f tu;j;jkhdpapy; ntspaplg;gl;l nryhtzp tPjq;fs; njhlu;gpyhd
mwptpj;jy; ,j;jhy; ,uj;Jr; nra;ag;gLfpwJ.
v];. gP. mWf;nfhl&gt;
Rq;fg; gzpg;ghsu; ehafk;.
,yq;ifr; Rq;fk;&gt;
nfhOk;G 11&gt;
2026&gt; rdtup 09.
1A - G 46058 — 09 (2026/01)
,t; mjptpNrl tu;j;jkhdpia www.documents.gov.lk vDk; ,izaj;jsj;jpypUe;J gjptpwf;fk; nra;a KbAk;.
2A I fldgi ( ^I&amp; fPoh - YS% ,xld m%cd;dka;s%l iudcjd§ ckrcfha w;s úfYI .eiÜ m;%h - 2026'01'12
gFjp I : njhFjp (I) - ,yq;ifr; rdehaf Nrhryprf; FbauR tu;j;jkhdg; gj;;jpupif - mjp tpNr\khdJ - 2026.01.12
ml;ltiz
2026.01.12 njhlf;fk; 2026.01.18 Me ; jpfjp tiu mKYfF; tUk ; mee; par;
nryhtzp
njhlu; ehL ehl;Lf; ehzak; ehzaf; nryhtzp
,y. FwpaPL FwpaPL tPjk;
( &amp;gh;)
1. mT];jpNuypah AU mT];jpNuypad; nlhyu; AUD 209.7245
2. g`;Nud; BH g`;Nud; jpdhu; BHD 830.7560
3. gq;fshNj\; BD gq;fshNj\; lhf;fh BDT 2.5623
4. gpNwrpy; BR gpNwrpy; wpay; BRL 58.1404
5. GW}iz BN GW}iz nlhyu; BND 243.5351
6. fdlh CA fNdbad; nlhyu; CAD 225.7185
7. rPdh CN rPdh a{thd; (xg;N\h) CNH 44.8759
8. rPdh CN rPdh a{thd; (nudk; pdg; p) CNY 44.8540
9. nrf;Nfh];rpNyhthf;fpah CZ nrf;Nfh];rpNyhthf;fpah
nfhWdh CZK 15.0263
10. nld;khu;f; DK ldp\; FNuhzu; DKK 48.8240
11. vfpg;J EG vfpg;J gTz; EGP 6.6247
12. A{Nuh tyak; A{Nuh EUR 364.8335
13. fhdh GH fhdh rPb GHS 29.2178
14. n`hq;nfhq ; HK n`hq; nfhq; nlhyu; HKD 40.1824
15. `q;Nfup HU `q;Nfup Nghupd;l; HUF 0.9471
16. ,e;jpah IN ,e;jpa &amp;gh INR 3.4785
17. ,e;NjhNd\pah ID ,e;NjhNd\pad; Wgpah IDR 0.0186
18. &lt;uhd; IR &lt;uhd; wpahy; IRR 0.0075
19. [g;ghd ; JP [g;ghdpa nad; JPY 1.9926
20. N[hu;jhd; JO N[hu;jhd; jpdhu; JOD 441.8197
21. nfhupah KR nfhupad; nthd; KRW 0.2154
22. Fitj; KW Fitj; jpdhu; KWD 1,019.3405
23. kf;fhc MO kf;fhc glhfh MOP 39.0121
24. kNyrpah MY kNyrpah wpd;[pw; MYR 77.0329
25. khiyjPT MV khiyjPT Wg;gpah MVR 20.5655
26. nkhwPrpa]; MU nkhwPrpa]; &amp;gh MUR 6.7244
27. kpad;khu; MM kpad;khu; fpahj; MMK 0.1489
28. Neghsk; NP Neghsk; &amp;gha; NPR 2.1748
29. epA{rpyhe;J NZ epA{rpyhe;J nlhyu; NZD 179.8801
30. ie[Pupah NG ie[Pupah iewh NGN 0.2198
31. Nehu;Nt NO Nehu;Nt FNuhd; NOK 31.0252
32. Xkhd; OM Xkhd; wpahy; OMR 813.3861
33. ghfp];jhd; PK ghfp];jhd; &amp;gha; PKR 1.1180
34. gg;Tth epA{fpdpah PG gg;Tth epA{ fpdpah fpdh PGK 73.5617
35. gpypg;igd;]; PH gpypg;igd;]; ngNrh PHP 5.2979
36. Nghye;J PL Nghye;J ];Nyhl;b PLN 86.6069
37. fl;lhu; QA fl;lhu; wpahy; QAR 85.9060
38. u\;ah RU u\;ah &amp;gpy; RUB 3.8994
I fldgi ( ^I&amp; fPoh - YS% ,xld m%cd;dka;s%l iudcjd§ ckrcfha w;s úfYI .eiÜ m;%h - 2026'01'12 3A
gFjp I : njhFjp (I) - ,yq;ifr; rdehaf Nrhryprf; FbauR tu;j;jkhdg; gj;;jpupif - mjp tpNr\khdJ - 2026.01.12
ml;ltiz (njhlh;r;rp)
njhlu; ehL ehl;Lf; ehzak; ehzaf; nryhtzp
,y. FwpaPL FwpaPL tPjk;
(,yq;if &amp;ghtpy;)
39. rt{jp mNugpah SA rt{jp mNugpah wpahy; SAR 83.5076
40. rPnry;]; SC rPnry;]; &amp;gha; SCR 24.6055
41. rpq;fg;G{u; SG rpq;fg;G{u; nlhyu; SGD 243.5351
42. njd; Mgpupf;fh ZA njd; Mgpupf;fh nud;l; ZAR 18.9495
43. RtPld; SE RtPb\; FNuhzu; SEK 33.9191
44. Rtpw;ru;yhe;J CH Rtp]; gpuhq; CHF 391.4523
45. jha;thd; TW jha;thd; nlhyu; TWD 9.8961
46. jha;yhe;J TH jha;yhe;J ghj; THB 9.9511
47. If;fpa muG ,uhr;rpak; AE If;fpa muG ,uhr;rpak;
jpu;fhk; AED 85.2605
48. If;fpa ,uhr;rpak; GB ];Nuypq; gTz; GBP 420.5763
49. If;fpa mnkupf;fh ehLfs; US mnkupf;fd; nlhyu; USD 313.1618
50. rk;gpah (gioa) ZM rk;gpah f;tr;rh (gioa) ZMK 15.7633
EOG 01 - 0094
,yq;if murhq;f mr;Rj; jpizf;fsj;jpw; gjpg;gpf;fg;ngw;wJ.</t>
  </si>
  <si>
    <t>e49d02eb-29ad-4287-be7f-8303dde4fc55</t>
  </si>
  <si>
    <t>2471_03</t>
  </si>
  <si>
    <t>2471/03</t>
  </si>
  <si>
    <t>Title Registration Act, No. 21 of 1998, Section 14 — Commissioner of Title Settlement decision (Gazette 2471/03)</t>
  </si>
  <si>
    <t>m1/raw/2471_03.pdf</t>
  </si>
  <si>
    <t>III ෙකාටස - (cid:636) ලංකා (cid:541)ජාතා(cid:486)(cid:437)ක සමාජවා(cid:463) ජනරජෙ(cid:591) අ(cid:431) (cid:618)ෙශෂ ගැස(cid:376) ප(cid:436)ය - 2026.01.12 1A
பகுதி III - இலங்ைகச் சனநாயக ேசாச(cid:8098)சக் கு(cid:8074)யரசு வர்த்தமானப் பத்திாிைக - அதி விேசஷமான(cid:8080) - 2026.01.12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22447711//0033 -- 22002266 ජජනනවවාා(cid:604)(cid:604) මමසස 1122 වවැැ(cid:487)(cid:487) සස(cid:464)(cid:464)දදාා -- 22002266..0011..1122
2471/03 ஆம் இலக்கம் - 2026 ஆம் ஆண்(cid:8076) சனவாி மாதம் 12 ஆந் திகதி திங்கட்கிழைம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பிாி(cid:8107) (அ) வின் கீழான கட்டைள I. ககாாணணிி எஎ(cid:8076)(cid:8076)த்த்ததல்ல் உஉத்த்ததிிேேயயாாககத்த்ததர்ர்:: பிரேதச ெசயலாளா்,
கு(cid:8094)நாகல்.
22002255 ஆஆம்ம் ஆஆண்ண்(cid:8074)(cid:8074)ன்ன் 112288 ஆஆம்ம் இஇலலக்க்ககக்க் ககட்ட்டடைைளள
II. ககாாணணிியயிின்ன் வவிிபபரரம்ம் :: வடேமல் மாகாணத்தில் கு(cid:8094)நாகல்
என(cid:8080) குறிப்(cid:8087) இல.: 4-3/3/2023/HW/254. மாவட்டத்தில் கு(cid:8094)நாகல் பிரேதச ெசயலாளர் பிாிவில்,
பிரேதச ெசயலாளர் குறிப்(cid:8087) இல.: 4/1/1/42/A. இல. 836, கு(cid:8094)நாகல் நகரம் ெத(cid:8098)யாெகான்ன கிராம
அ(cid:8100)வலர் பிாிவில், ெத(cid:8098)யாெகான்ன கிராமத்தில் அைமந்
காணி எ(cid:8076)த்தற் சட்டத்தின் (அத்தியாயம் 460) 38 ஆம் பிாி(cid:8107) (cid:8080)ள்ள, நில அளைவயாளர் நாயகத்தினால் 2024.12.26 ஆம்
(அ) வினால் எனக்களிக்கப்பட்ட தத்(cid:8080)வங்களின் பிரகாரம் திகதி தயாாிக்கப்பட்ட (cid:8089)தற்சுவட்(cid:8076) வைரபட இலக்கம்
கமத்ெதாழில், கால்நைட வளங்கள், காணி மற்(cid:8096)ம் நீர்ப்பாசன KU/KRN/2024/63 இல் விபரமாக காட்டப்பட்ட பின்வ(cid:8094)ம்
அைமச்சர் குரகமேக ெதான் லால் காந்த ஆகிய நான், கீழ் ெபயர் மற்(cid:8096)ம் விஸ்தீரணத்ைதக் ெகாண்ட காணித் (cid:8080)ண்(cid:8074)ன்
விபாிக்கப்பட்(cid:8076)ள்ள அட்டவைணயில் I ஆம் பந்தியில் எல்ைலகள் :
குறிப்பிடப்பட்ட காணி எ(cid:8076)த்தல் உத்திேயாகத்த(cid:8094)க்கு
அல்ல(cid:8080) அவரால் அதிகாரமளிக்கப்பட்ட எவேர(cid:8084)ம் உத்தி 01. (cid:8080)(cid:8080)ண்ண்(cid:8076)(cid:8076) AA –– குகு(cid:8094)(cid:8094)ெெககெெபபட்ட்(cid:8074)(cid:8074)யயவவத்த்ைைதத வவாாிிமமததிிப்ப்பீபீட்ட்(cid:8076)(cid:8076)
இஇலல.. 447788 -- வவிிஸ்ஸ்ததீீரரணணம்ம்:: 00..00117722 ெெஹஹக்க்டடயயாார்ர்
ேயாகத்தர் ஒ(cid:8094)வ(cid:8094)க்கு அவ் அட்டவைணயின் ேநெராத்த
வடக்கு: ஏ.எம்.சி. அத்தநாயக்க உாிைமேகா(cid:8094)ம் தங்கஹ
II ஆம் பந்தியில் விபாிக்கப்பட்ட காணியின் உைடைமைய
(cid:8089)லவத்ைத மற்(cid:8096)ம் (cid:8106)தி ((cid:8106)தி அபிவி(cid:8094)த்தி அதிகார சைப);
ெபா(cid:8096)ப்ேபற்பதற்கு இத்தால் கட்டைளயி(cid:8076)கின்ேறன்.
கிழக்கு : (cid:8106)தி ((cid:8106)தி அபிவி(cid:8094)த்தி அதிகார சைப) மற்(cid:8096)ம் பசால்
ஹமீட் உாிைமேகா(cid:8094)ம் கு(cid:8094)ெகெபட்(cid:8074)யவத்ைத; ெதற்கு:
ேக.(cid:8074) லால் காந்த,
பசால் ஹமீட் உாிைமேகா(cid:8094)ம் கு(cid:8094)ெகெபட்(cid:8074)யவத்ைத மற்(cid:8096)ம்
கமத்ெதாழில், கால்நைட வளங்கள்,
எஸ்.பீ.பந்(cid:8080)ராகல உாிைமேகா(cid:8094)ம் கு(cid:8094)ெகெபட்(cid:8074)யவத்ைத
காணி மற்(cid:8096)ம் நீர்ப்பாசன அைமச்சர்.
(வாிமதிப்பீட்(cid:8076) இல. 478, கண்(cid:8074) (cid:8106)தி); ேமற்கு: எஸ்.
பீ. பந்(cid:8080)ராகல உாிைமேகா(cid:8094)ம் கு(cid:8094)ெகெபட்(cid:8074)யவத்ைத
கமத்ெதாழில், கால்நைட வளங்கள், காணி
(வாிமதிப்பீட்(cid:8076) இல. 478, கண்(cid:8074) (cid:8106)தி) மற்(cid:8096)ம் ஏ.எம்.சி.
மற்(cid:8096)ம் நீர்ப்பாசன அைமச்சு,
அத்தநாயக்க உாிைமேகா(cid:8094)ம் தங்கஹ(cid:8089)லவத்ைத.
“மிஹி கத ெம(cid:8080)ர”, காணிச் ெசயலகம்,
இல. 1200/6, இரஜமல்வத்ைத (cid:8106)தி,
EOG 01 - 0100
பத்தர(cid:8089)ல்ைல,
2025, திெசம்பா் 19.
1A - G046063 - 13(2026/01)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- 2026.01.12
பகுதி III - இலங்ைகச் சனநாயக ேசாச(cid:8098)சக் கு(cid:8074)யரசு வர்த்தமானப் பத்திாிைக - அதி விேசஷமான(cid:8080) - 2026.01.12
ககாாணணிி எஎ(cid:8076)(cid:8076)த்த்ததற்ற் சசட்ட்டடம்ம் ((அஅத்த்ததிியயாாயயம்ம் 446600)) அஅட்ட்டடவவைைணண
38 ஆம் பிாி(cid:8107) (அ) வின் கீழான கட்டைள I. ககாாணணிி எஎ(cid:8076)(cid:8076)த்த்ததல்ல் உஉத்த்ததிிேேயயாாககத்த்ததர்ர்:: பிரேதச ெசயலாளா்,
பியகம.
22002255 ஆஆம்ம் ஆஆண்ண்(cid:8074)(cid:8074)ன்ன் 113300 ஆஆம்ம் இஇலலக்க்ககக்க் ககட்ட்டடைைளள
II. ககாாணணிியயிின்ன் வவிிபபரரம்ம் :: ேமல் மாகாணத்தில் கம்பஹா
என(cid:8080) குறிப்(cid:8087) இல.: 4-3/7/2021/HW/392.
மாவட்டத்தில் பியகம பிரேதச ெசயலாளர் பிாிவில்,
பிரேதச ெசயலாளர் குறிப்(cid:8087) இல.: (cid:554)ය3/1/1/517/ඉඅ.
இல. 280/C, ெதற்கு பியகம கிராம அ(cid:8100)வலர் பிாிவில், பியகம
கிராமத்தில் அைமந்(cid:8080)ள்ள, நில அளைவயாளர் நாயகத்தினால்
காணி எ(cid:8076)த்தற் சட்டத்தின் (அத்தியாயம் 460) 38 ஆம் பிாி(cid:8107)
(அ) வினால் எனக்களிக்கப்பட்ட தத்(cid:8080)வங்களின் பிரகாரம் 2025.07.22 ஆம் திகதி தயாாிக்கப்பட்ட (cid:8089)தற்சுவட்(cid:8076) வைரபட
கமத்ெதாழில், கால்நைட வளங்கள், காணி மற்(cid:8096)ம் நீர்ப்பாசன இல. GM/BIY/2024/215 இல் விபரமாக காட்டப்பட்ட
அைமச்சர் குரகமேக ெதான் லால் காந்த ஆகிய நான், கீழ் (cid:8080)ண்(cid:8076) A என காட்டப்பட்(cid:8076)ள்ள சுமார் 0.0064 ெஹக்டயார்
விபாிக்கப்பட்(cid:8076)ள்ள அட்டவைணயில் I ஆம் பந்தியில் விஸ்தீரணத்ைதக் ெகாண்ட காணித் (cid:8080)ண்(cid:8074)ன் எல்ைலகள்:
குறிப்பிடப்பட்ட காணி எ(cid:8076)த்தல் உத்திேயாகத்த(cid:8094)க்கு
அல்ல(cid:8080) அவரால் அதிகாரமளிக்கப்பட்ட எவேர(cid:8084)ம் உத்தி 01. (cid:8080)(cid:8080)ண்ண்(cid:8076)(cid:8076) AA –– ககண்ண்டடறறிியய இஇயயலலாா(cid:8080)(cid:8080) -- வவிிஸ்ஸ்ததீீரரணணம்ம்:: 00..00006644
ேயாகத்தர் ஒ(cid:8094)வ(cid:8094)க்கு அவ் அட்டவைணயின் ேநெராத்த
ெெஹஹக்க்டடயயாார்ர்
II ஆம் பந்தியில் விபாிக்கப்பட்ட காணியின் உைடைமைய
வடக்கு: உாிைம ேகா(cid:8094)பவர் மற்(cid:8096)ம் காணியின் ெபயர்
ெபா(cid:8096)ப்ேபற்பதற்கு இத்தால் கட்டைளயி(cid:8076)கின்ேறன்.
கண்டறிய இயலாத காணி; கிழக்கு : எம். ஆர். ெகம்பல்
உாிைம ேகா(cid:8094)ம் ெபயர் கண்டறிய இயலாத காணி; ெதற்கு:
ேேகக..(cid:8074)(cid:8074) லலாால்ல் ககாாந்ந்தத,,
(cid:8106)தி; ேமற்கு: உாிைம ேகா(cid:8094)பவர் மற்(cid:8096)ம் காணியின் ெபயர்
கமத்ெதாழில், கால்நைட வளங்கள்,
காணி மற்(cid:8096)ம் நீர்ப்பாசன அைமச்சர். கண்டறிய இயலாத காணி.
கமத்ெதாழில், கால்நைட வளங்கள், காணி
மற்(cid:8096)ம் நீர்ப்பாசன அைமச்சு, EOG 01 - 0101
“மிஹி கத ெம(cid:8080)ர”, காணிச் ெசயலகம்,
இல. 1200/6, இரஜமல்வத்ைத (cid:8106)தி,
பத்தர(cid:8089)ல்ைல,
2025, திெசம்பா் 19.
இலங்ைக அரசாங்க அச்சுத் திைணக்களத்தில் அச்சிடப்பட்ட(cid:8080).</t>
  </si>
  <si>
    <t>8637c294-9a35-46c0-9d42-62bc91eef8f9</t>
  </si>
  <si>
    <t>2471_04</t>
  </si>
  <si>
    <t>2471/04</t>
  </si>
  <si>
    <t>Land Acquisition Act (Chapter 460), Section 5 — Notice of Intended Acquisition (Gazette 2471/04)</t>
  </si>
  <si>
    <t>m1/raw/2471_04.pdf</t>
  </si>
  <si>
    <t>III කො�ොටස - ශ්‍රී ලංං�ා ප්‍රජාාතාාන්ත්‍රි� සමාාජාවාාදී ජානරජාකො� අති විකො�ෂ ගැැසට් පත්‍රය - 2026.01.12 1A
பகுதி III - இலங்கைச் சனநாயகை சசாசலிசக் குடியரசு வர்ததமானப் ப்ததிாி்கை - அதி விசசஷமானது - 2026.01.12
ශ්‍රීශ්‍රී ලලංංකකාා ප්‍රප්‍රජජාාතතාාන්තන්ත්‍රි්‍රිකක සසමමාාජජවවාාදීදී ජජනනරරජජයයේේ ගගැැසසට්ට් පපත්‍රත්‍රයය
இஇலலஙங்்கைகைச்ச் சசனனநநாாயயகைகை சசசசாாசசலிலிசசக்க் குகுடிடியயரரசுசு வவரர்த்த்த்தமமாானனப்ப் பப்த்த்த்ததிதிாாதிதி்்கைகை
අඅතිති විවියයෙෙෂෂ அஅ்த்ததிதி வவதிதிசசசசஷஷமமாானனதுது
අංඅංංංකක 22447711// 0044 -- 22002266 ජජනනවාවාාාරිරි මමසස 1122 වාවාැැනිනි සසඳුඳුදාදාාා -- 22002266..0011..1122
22447711//0044 ஆஆம்ம் இஇலலக்க்கைகைம்ம் -- 22002266 ஆஆம்ம் ஆஆண்ண்டுடு சசனனவவாாதிதி மமாா்த்தம்ம் 1122 ஆஆந்ந் ்த்ததிதிகைகை்த்ததிதி ்த்ததிதிஙஙகைகைடடகைகைதிதிழழ்்மம
(அரசாஙகை்த்ததின் அ்ததிகைார்ததுடன் பதிரசுாதிக்கைப்படடது)
பபகுகு்த்ததிதி IIIIII -- கைகைாாணணதிதிகைகைள்ள்
கைகைாாணணதிதி கககைகைாாள்ள்வவனனவுவு பபறற்்திதியய அஅ்்திதிவவதிதி்த்த்த்தலலகைகைள்ள்
கைகைாாணணதிதி எஎடுடு்த்த்த்தறற சசடடடடம்ம் ((அஅ்த்த்த்ததிதியயாாயயம்ம் 446600)) அஅடடடடவவ்்ணண
38 ஆம் பதிாதிவதின் கைாப்புவாசகைம் (அ) வதின் கைீழான கைடட்ள I.. கைகைாாணணதிதி எஎடுடு்த்த்த்தலல உஉ்த்த்த்ததிதிசசயயாாகைகை்த்த்த்தரர :: பதிரச்தச கசயலாளர,
பது்ள.
22002255 ஆஆம்ம் ஆஆண்ண்டிடின்ன் 113322 ஆஆம்ம் இஇலலக்க்கைகைக்க் கைகைடடடட்்ளள
II.. கைகைாாணணதிதியயதிதின்ன் வவதிதிபபரரம்ம் :: ஊவா மாகைாண்த்ததில பது்ள
எனது கு்திப்பு இல. 4-3/7/2022/HW/38 மாவடட்த்ததில பது்ள பதிரச்தச கசயலாளர பதிாதிவதில, இல.
பதிச்தச கசயலாளாதின் கு்திப்பு இல. BD/BD/LND/3/5/18-1 78K, ஹதிந்்தககைாட கைதிராம அலுவலர பதிாதிவதில ஹஙகவலல
கைதிராம்த்ததில அ்மந்துள்ள நதில அள்வயாளர நாயகை்த்ததினால
கைாணதி எடு்த்தற சடட்த்ததின் (அ்த்ததியாயம் 460) 38 ஆம் பதிாதிவதின்
2023.08.31 ஆந் ்ததிகை்ததி ்தயாாதிக்கைப்படட மு்தறசுவடடு வ்ரபட
கைாப்பு வாசகைம் (அ) வதினால எனக்கைளதிக்கைப்படட ்த்ததுவஙகைளதின்
இல. B/BDL/2023/738 இல துண்டு A என கைாடடப்படடுள்ள
பதிரகைாரம் கைம்தக்தாழதில, கைாலந்ட வளஙகைள், கைாணதி மறறும்
சுமார 0.0003 கஹக்டயார வதிஸ்தீரணமு்டய கபயர மறறும்
நீரப்பாசன அ்மச்சர குரகைமசகை க்தான் லால கைாந்்த ஆகைதிய
நான், கைீழ் வதிபாதிக்கைப்படட அடடவ்ணயதின் I ஆம் பந்்ததியதில வதிஸ்தீரண்த்்தக் ககைாண்ட கைாணதி்த துண்டின் எல்லகைள் :
கு்திப்பதிடப்படட கைாணதி எடு்த்தல உ்த்ததிசயாகை்த்தருக்கு
அலலது அவரால அ்ததிகைாரமளதிக்கைப்படட எவசரனும் 0011.. துதுண்ண்டுடு ""AA"" -- கைகைன்ன்னனவவ்த்த்்்த்த,, வவாாதிதிமம்த்ததிதிப்ப்பீபீடடடுடு இஇலல.. 337799//11//11,,
உ்த்ததிசயாகை்த்தர ஒருவருக்கு அடடவ்ணயதின் சநகரா்த்த பபஸஸ்ஸ்ஸரர வீவீ்த்ததிதி -- வவதிதிஸஸ்த்தீீரரணணம்ம் :: 00..00000033 ககஹஹக்க்டடயயாாரர
II ஆம் பந்்ததியதில வதிபாதிக்கைப்படட கைாணதியதின் உ்ட்ம்ய வடக்கு: துண்டு இல. 13 (உ.வ 184101) ; கைதிழக்கு: துண்டு
கபாறுப்சபறப்தறகு இ்த்தால கைடட்ளயதிடுகைதின்ச்ன். இல. 13 (உ.வ 184101) ; க்தறகு: துண்டு இல. 828 மறறும்
வீ்ததி (வீ்ததி அபதிவதிரு்த்ததி அ்ததிகைாரச்ப) ; சமறகு: துண்டு இல.
சகை.டி. லால கைாந்்த,
828 மறறும் வீ்ததி (வீ்ததி அபதிவதிரு்த்ததி அ்ததிகைாரச்ப).
கைம்தக்தாழதில, கைாலந்ட வளஙகைள்,
கைாணதி மறறும் நீரப்பாசன அ்மச்சர.
EOG 01 - 0102
கைம்தக்தாழதில, கைாலந்ட வளஙகைள், கைாணதி
மறறும் நீரப்பாசன அ்மச்சு,
“மதிஹதிகை்த கமதுர”,
கைாணதிச் கசயலகைம்,
இல. 1200/6, இரஜமலவ்த்்த வீ்ததி,
ப்த்தரமுல்ல,
2025, நகவம்பர 21.
1A - G46064 - 13 (2026/01)
இவ் அ்ததிவதிச ஷட வர்த்தமானதி்ய www.documents.gov.lk எனும் இ்ணய்த்தள்த்ததிலிருந்து ப்ததிவதி்க்கைம் கசயய முடியும்.
2A III කො�ොටස - ශ්‍රී ලංං�ා ප්‍රජාාතාාන්ත්‍රි� සමාාජාවාාදී ජානරජාකො� අති විකො�ෂ ගැැසට් පත්‍රය - 2026.01.12
பகுதி III - இலங்கைச் சனநாயகை சசாசலிசக் குடியரசு வர்ததமானப் ப்ததிாி்கை - அதி விசசஷமானது - 2026.01.12
கைகைாாணணதிதி எஎடுடு்த்த்த்தறற சசடடடடம்ம் ((அஅ்த்த்த்ததிதியயாாயயம்ம் 446600)) அஅடடடடவவ்்ணண
38 ஆம் பதிாதிவதின் கைாப்புவாசகைம் (அ) வதின் கைீழான கைடட்ள I.. கைகைாாணணதிதி எஎடுடு்த்த்த்தலல உஉ்த்த்த்ததிதிசசயயாாகைகை்த்த்த்தரர :: பதிரச்தச கசயலாளர,
பதியகைம.
22002255 ஆஆம்ம் ஆஆண்ண்டிடின்ன் 113333 ஆஆம்ம் இஇலலக்க்கைகைக்க் கைகைடடடட்்ளள
II.. கைகைாாணணதிதியயதிதின்ன் வவதிதிபபரரம்ம் :: சமல மாகைாண்த்ததில கைம்பஹா
மாவடட்த்ததில பதியகைம பதிரச்தச கசயலாளர பதிாதிவதில, இல.
எனது கு்திப்பு இல. 4-3/7/2018/HW/399
277A, சமறகு சகைானவல கைதிராம அலுவலர பதிாதிவதில சகைானவல
பதிச்தச கசயலாளாதின் கு்திப்பு இல.බිය3/1/1/511/ඉඅ
கைதிராம்த்ததில அ்மந்துள்ள நதில அள்வயாளர நாயகை்த்ததினால
2019.09.03 ஆந் ்ததிகை்ததி ்தயாாதிக்கைப்படட மு்தறசுவடடு வ்ரபட
கைாணதி எடு்த்தற சடட்த்ததின் (அ்த்ததியாயம் 460) 38 ஆம் பதிாதிவதின் இல. GA/BIY/2019/296 இல துண்டு இல. B1 மறறும் B2
கைாப்பு வாசகைம் (அ) வதினால எனக்கைளதிக்கைப்படட ்த்ததுவஙகைளதின் என வதிபரமாகை கைாடடப்படடுள்ள சுமார 0.0120 கஹக்டயார
பதிரகைாரம் கைம்தக்தாழதில, கைாலந்ட வளஙகைள், கைாணதி மறறும் வதிஸ்தீரணமு்டய கபயரகைள் மறறும் வதிஸ்தீரணஙகை்ளக்
நீரப்பாசன அ்மச்சர குரகைமசகை க்தான் லால கைாந்்த ஆகைதிய ககைாண்ட கைாணதி்த துண்டுகைளதின் எல்லகைள் :
நான், கைீழ் வதிபாதிக்கைப்படட அடடவ்ணயதின் I ஆம் பந்்ததியதில
கு்திப்பதிடப்படட கைாணதி எடு்த்தல உ்த்ததிசயாகை்த்தருக்கு 0011.. துதுண்ண்டுடு இஇலல.. BB11 -- பபடடடடகக்த்தாாம்ம்பபகைகைஹஹவவ்த்த்்்த்த,, வவாாதிதி
அலலது அவரால அ்ததிகைாரமளதிக்கைப்படட எவசரனும் மம்த்ததிதிப்ப்பீபீடடடுடு இஇலல.. 331177//11 -- வவதிதிஸஸ்த்தீீரரணணம்ம் :: 00..00001155 ககஹஹக்க்டடயயாாரர
உ்த்ததிசயாகை்த்தர ஒருவருக்கு அடடவ்ணயதின் சநகரா்த்த வடக்கு: இக்கைாணதியதின் எஞசதிய பகு்ததி ; கைதிழக்கு: இக்
II ஆம் பந்்ததியதில வதிபாதிக்கைப்படட கைாணதியதின் உ்ட்ம்ய கைாணதியதின் எஞசதிய பகு்ததி, டி. பீ. கைாலலசகை உாதி்ம சகைாரும்
கபாறுப்சபறப்தறகு இ்த்தால கைடட்ளயதிடுகைதின்ச்ன். படடக்தாம்பகைஹவ்த்்த மறறும் வீ்ததி (வீ்ததி அபதிவதிரு்த்ததி
அ்ததிகைாரச்ப) ; க்தறகு: வீ்ததி (வீ்ததி அபதிவதிரு்த்ததி அ்ததிகைாரச்ப);
சகை.டி. லால கைாந்்த, சமறகு: வீ்ததி (வீ்ததி அபதிவதிரு்த்ததி அ்ததிகைாரச்ப) மறறும்
கைம்தக்தாழதில, கைாலந்ட வளஙகைள், சகைானவல வீ்ததி.
கைாணதி மறறும் நீரப்பாசன அ்மச்சர.
0022.. துதுண்ண்டுடு இஇலல.. BB22 -- ககமமாாரரகைகைஹஹவவ்த்த்்்த்த,, வவாாதிதிமம்த்ததிதிப்ப்பீபீடடடுடு
கைம்தக்தாழதில, கைாலந்ட வளஙகைள், கைாணதி இஇலல.. 113366 -- வவதிதிஸஸ்த்தீீரரணணம்ம் :: 00..00110055 ககஹஹக்க்டடயயாாரர
மறறும் நீரப்பாசன அ்மச்சு, வடக்கு: வீ்ததி (வீ்ததி அபதிவதிரு்த்ததி அ்ததிகைாரச்ப) ; கைதிழக்கு:
“மதிஹதிகை்த கமதுர”, வீ்ததி (வீ்ததி அபதிவதிரு்த்ததி அ்ததிகைாரச்ப) மறறும் பா்்த ;
கைாணதிச் கசயலகைம், க்தறகு: பா்்த மறறும் இக்கைாணதியதின் எஞசதிய பகு்ததி ; சமறகு:
இல. 1200/6, இரஜமலவ்த்்த வீ்ததி, இக்கைாணதியதின் எஞசதிய பகு்ததி, எம். சகை. சந்்ததிரசசகைர உாதி்ம
ப்த்தரமுல்ல, சகைாரும் கைாணதி மறறும் வீ்ததி (வீ்ததி அபதிவதிரு்த்ததி அ்ததிகைாரச்ப).
2025, ்ததிகசம்பர 19.
EOG 01 - 0103
இலங்கை அரசாஙகை அச்சு்த ்ததி்ணக்கைள்த்ததில அச்சதிடப்படடது.</t>
  </si>
  <si>
    <t>2ad9e178-8c07-4d49-a298-788e2bd48071</t>
  </si>
  <si>
    <t>2471_05</t>
  </si>
  <si>
    <t>2471/05</t>
  </si>
  <si>
    <t>Title Registration Act, No. 21 of 1998, Section 14 — Commissioner of Title Settlement decision (Gazette 2471/05)</t>
  </si>
  <si>
    <t>m1/raw/2471_05.pdf</t>
  </si>
  <si>
    <t>1A
IIIIII ෙෙකකාාටටසස –– ශීශී ලලංංකකාා පපජජාාතතාාන්න්තිතිකක සසමමාාජජවවාාදීදී ජජනනරරජජෙෙය්ය් අඅතිති විවිෙෙශශෂෂ ගගැැසසට්ට් පපතතයය –– 22002255..0088..2288
(cid:636)(cid:636) ලලංංකකාා (cid:541)(cid:541)ජජාාතතාා(cid:486)(cid:486)(cid:437)(cid:437)කක සසමමාාජජවවාා(cid:463)(cid:463) ජජනනරරජජෙෙ(cid:591)(cid:591) ගගැැසස(cid:376)(cid:376) පප(cid:436)(cid:436)යය
අති විෙශෂ
අඅංංකක 22447711//0055 –– 22002266 ජජනනවවාා(cid:604)(cid:604) මමසස 1122 වවැැ(cid:487)(cid:487) සස(cid:511)(cid:511)දදාා –– 22002266..0011..1122
(රජෙය් බලයපිට පසිද්ධ කරන ලදී)
IIIIII වවැැ(cid:487)(cid:487) ෙෙකකාාටටසස –– ඉඉඩඩ(cid:572)(cid:572)
ඉඩම් රජයට ගැනීම පිළිබඳ දැන්වීම්
ඉඩම් අත්කර ගැනීෙම් පනත (460 වැනි පරිච්ෙඡ්දය) උපෙ(cid:610)ඛනය
38 වැ(cid:487) වග(cid:486)(cid:431)ය (අ) අ(cid:433)(cid:606) (cid:618)ධානය යටෙ(cid:430) ආඥාව
II.. ඉඉඩඩ(cid:572)(cid:572) අඅ(cid:430)(cid:430)කකරර ගගැැ(cid:488)(cid:488)ෙෙ(cid:572)(cid:572) (cid:487)(cid:487)ලලධධාා(cid:604)(cid:604)..– (cid:541)ාෙ(cid:458)(cid:629)ය ෙ(cid:610)ක(cid:572),
ප(cid:316)චෙල(cid:592)පෙල(cid:592).
2025 අංක 134 දරන ආඥාව
ම ෙ(cid:280) ෙයා(cid:575) අංකය: 4-3/7/2015/HW/174. IIII.. ඉඉඩඩෙෙ(cid:572)(cid:572) (cid:618)(cid:618)සස්ත්තරරයය..– උ(cid:433)(cid:606) පළාෙ(cid:430), (cid:251)(cid:664)ෙනා(cid:316)(cid:317)
(cid:541)ාෙ(cid:458)(cid:629)ය ෙ(cid:610)ක(cid:572)ෙ(cid:280) ෙයා(cid:575) අංකය: DS/PP/LA/ACQ/IYA. (cid:462)ස්(cid:437)(cid:250)කෙ(cid:591), ප(cid:316)චෙල(cid:592)පෙල(cid:592) (cid:541)ාෙ(cid:458)(cid:629)ය ෙ(cid:610)ක(cid:572) ෙකා(cid:376)ඨාසෙ(cid:591),
BE/01.
අංක ෙ(cid:250). එ(cid:486). 79, ඉයක(cid:316)(cid:317) (cid:286)ාම (cid:487)ලධා(cid:604) ෙකා(cid:376)ඨාසෙ(cid:591),
ඉයක(cid:316)(cid:317) ගෙ(cid:572) (cid:536)(cid:655)(cid:377) ස(cid:601)ෙ(cid:617)ය(cid:601) ජනරා(cid:610) (cid:618)(cid:646)(cid:486) (cid:536)(cid:664)ෙයල කරන
ඉඩ(cid:572) අ(cid:430)කර ගැ(cid:488)ෙ(cid:572) පනෙ(cid:430) (460 වැ(cid:487) ප(cid:604)(cid:316)ෙ(cid:326)දය)
38 වැ(cid:487) වග(cid:486)(cid:431) ෙ(cid:591) (අ) අ(cid:433)(cid:606) (cid:618)ධානෙය(cid:486) මා ෙවත පවරා ලද අංක Ki/PCH/2015/187 හා 2016.05.17 (cid:462)නැ(cid:431) (cid:541)ගමන
ඇ(cid:431) බලතල අ(cid:489)ව කෘ(cid:639)ක(cid:601)ම, ප(cid:630) ස(cid:572)ප(cid:430), ඉඩ(cid:572) සහ වා(cid:604)මා(cid:601)ග අ(cid:489)ෙ(cid:601)ඛනෙ(cid:591) ස(cid:618)ස්තරව දැ(cid:250)ෙවන කැබ(cid:611) අ(cid:250)ෂර A වශෙය(cid:486)
අමාත(cid:597), (cid:253)රගමෙ(cid:280) ෙදා(cid:486) ලා(cid:610) කා(cid:486)ත වන මම පහත සඳහ(cid:486) ෙප(cid:486)(cid:489)(cid:572) කර ඇ(cid:431) (cid:541)මාණෙය(cid:486) ෙහ(cid:250)ටයා(cid:601) 0.2434(cid:250) පමණ
උප ෙ(cid:610)ඛන ෙ(cid:591) I වැ(cid:487) ෙ(cid:334)දෙ(cid:591) සඳහ(cid:486) ඉඩ(cid:572) අ(cid:430)කර ගැ(cid:488)ෙ(cid:572)
වන පහත සඳහ(cid:486) න(cid:572)ව(cid:611)(cid:486) හා (cid:541)මාණය(cid:486)ෙග(cid:486) (cid:594)(cid:250)ත ඉඩ(cid:572)
(cid:487)ලධා(cid:604)යාට නැතෙහා(cid:430), එ(cid:252) (cid:487)ලධා(cid:604)යා (cid:618)(cid:646)(cid:486) ඒ සඳහා
කැබ(cid:610)ලට මා(cid:592)(cid:572).:
බලය ෙදන ලද ෙවන(cid:430) (cid:487)ලධා(cid:604)ය(cid:253)ට, එම උපෙ(cid:610)ඛනෙ(cid:591)
II වැ(cid:487) ෙ(cid:334)දෙ(cid:591) දැ(cid:250)ෙවන (cid:487)ය(cid:573)ත ඉඩම ස්වා(cid:573)(cid:430)වයට ගැ(cid:488)මට
ෙම(cid:592)(cid:486) (cid:487)යම කර(cid:573). 0011.. කකැැබබ(cid:611)(cid:611) අඅ(cid:250)(cid:250)ෂෂරර ‘‘AA’’ -- (cid:536)(cid:536)(cid:655)(cid:655)(cid:487)(cid:487)කකාා(cid:397)(cid:397) -- (cid:541)(cid:541)මමාාණණයය:: ෙෙහහ(cid:250)(cid:250).. 00..22443344
උ(cid:433)රට: මා(cid:601)ගය (මා(cid:601)ග සංව(cid:601)ධන අ(cid:477)කා(cid:604)ය); නැෙගන(cid:655)රට:
ෙක්. ඩී. ලාල් කාන්ත,
මා(cid:601)ගය (මා(cid:601)ග සංව(cid:601)ධන අ(cid:477)කා(cid:604)ය); ද(cid:253)ණට: (cid:536)(cid:655)(cid:487)කා(cid:397)
කෘ(cid:639)ක(cid:601)ම, ප(cid:630) ස(cid:572)ප(cid:430), ඉඩ(cid:572) සහ
වා(cid:604)මා(cid:601)ග අමාත(cid:597). ත(cid:572)ෛපයා ව(cid:610)(cid:611)(cid:538)ර(cid:572) සහ ව(cid:610)(cid:611)(cid:538)ර(cid:572) ෙයා්හ(cid:572)මා; බට(cid:655)රට:
(cid:536)(cid:655)(cid:487)කා(cid:397) ත(cid:572)ෛපයා ව(cid:610)(cid:611)(cid:538)ර(cid:572) සහ ව(cid:610)(cid:611)(cid:538)ර(cid:572) ෙයා්හ(cid:572)මා.
2025 ෙනාවැ(cid:572)බ(cid:601) මස 21 වැ(cid:487) (cid:462)න,
කෘ(cid:639)ක(cid:601)ම, ප(cid:630) ස(cid:572)ප(cid:430), ඉඩ(cid:572) සහ වා(cid:604)මා(cid:601)ග අමාත(cid:597)ාංශය,
“(cid:573)(cid:655)කත මැ(cid:464)ර”, අංක 1200/6, EOG 01 – 0104
රජම(cid:610)ව(cid:430)ත පාර,
බ(cid:430)තර(cid:575)(cid:610)ල.
1A – G 046065– 13 (2026/01)
ෙමම අ(cid:431) (cid:618)ෙශෂ ගැස(cid:376) ප(cid:436)ය www.documents.gov.lk ෙව(cid:553) අඩ(cid:618)ෙය(cid:486) බාගත කළ හැක.
2A
IIIIII ෙෙකකාාටටසස –– ශීශී ලලංංකකාා පපජජාාතතාාන්න්තිතිකක සසමමාාජජවවාාදීදී ජජනනරරජජෙෙය්ය් අඅතිති විවිෙෙශශෂෂ ගගැැසසට්ට් පපතතයය –– 22002266..0011..1122
ඉඩම් අත්කර ගැනීෙම් පනත (460 වැනි පරිච්ෙඡ්දය) IIII.. ඉඉඩඩෙෙ(cid:572)(cid:572) (cid:618)(cid:618)සස්ත්තරරයය..– මධ(cid:597)ම පළාෙ(cid:430), මහ(cid:489)වර (cid:462)ස්(cid:437)(cid:250)කෙ(cid:591),
හා(cid:604)ස්ප(cid:430)(cid:433)ව (cid:541)ාෙ(cid:458)(cid:629)ය ආදාය(cid:572) (cid:487)ලධා(cid:604) ෙකා(cid:376)ඨාසෙ(cid:591), මැද(cid:646)ය
38 වැ(cid:487) වග(cid:486)(cid:431)ය (අ) යටෙ(cid:430) ආඥාව
ප(cid:430)(cid:433)ව (cid:648)(cid:666) ෙකා(cid:376)ඨාසෙ(cid:591), ඉහගම ගෙ(cid:572) (cid:536)(cid:655)(cid:377) ස(cid:601)ෙ(cid:617)ය(cid:601) ජනරා(cid:610)
(cid:618)(cid:646)(cid:486) (cid:536)(cid:664)ෙයල කරන ලද අංක මහ 616 හා 1971.06.03 (cid:462)නැ(cid:431)
2025 අංක 135 දරන ආඥාව
(cid:536)(cid:585)ෙ(cid:601) පහත සඳහ(cid:486) ඉඩ(cid:572) කැබ(cid:611)වලට මා(cid:592)(cid:572).:
ම ෙ(cid:280) ෙයා(cid:575) අංකය: ෙ(cid:334)69/70 එ(cid:486)එස්94.
(cid:541)ාෙ(cid:458)(cid:629)ය ෙ(cid:610)ක(cid:572)ෙ(cid:280) ෙයා(cid:575) අංකය: ඇ(cid:610)(cid:396)/ඊ/166. 0011.. කකැැබබ(cid:611)(cid:611) අඅංංකක 11 -- අඅසස්ව්වැැ(cid:458)(cid:458)(cid:464)(cid:464)මම (cid:253)(cid:253)(cid:585)(cid:585)රර -- (cid:541)(cid:541)මමාාණණයය::
අඅ(cid:250)(cid:250).. 00 (cid:607)(cid:607).. 00 පප(cid:601)(cid:601).. 2211..77
ඉඩ(cid:572) අ(cid:430)කර ගැ(cid:488)ෙ(cid:572) පනෙ(cid:430) (460 වැ(cid:487) ප(cid:604)(cid:316)ෙ(cid:326)දය)
උ(cid:433)රට: (cid:536)ඟා ඔය සහ (cid:537). (cid:555). ග(cid:610)ෙපා(cid:430)ෙ(cid:430)වල සහ තව(cid:430)
38 වැ(cid:487) වග(cid:486)(cid:431) ෙ(cid:591) (අ) ආඥාෙව(cid:486) මා ෙවත පවරා ඇ(cid:431)
අය (cid:655)(cid:573)ක(cid:572) (cid:251)යන අස්වැ(cid:458)(cid:464)ම (cid:253)(cid:585)ර; නැෙගන(cid:655)රට: (cid:537). (cid:555).
බලතල අ(cid:489)ව කෘ(cid:639)ක(cid:601)ම, ප(cid:630) ස(cid:572)ප(cid:430), ඉඩ(cid:572) සහ වා(cid:604)මා(cid:601)ග
ග(cid:610)ෙපා(cid:430)ෙ(cid:430)වල සහ තව(cid:430) අය (cid:655)(cid:573)ක(cid:572) (cid:251)යන අස්වැ(cid:458)(cid:464)ම (cid:253)(cid:585)ර
අමාත(cid:597), (cid:253)රගමෙ(cid:280) ෙදා(cid:486) ලා(cid:610) කා(cid:486)ත වන මම පහත සඳහ(cid:486)
උප ෙ(cid:610)ඛන ෙ(cid:591) I වැ(cid:487) ෙ(cid:326)දෙ(cid:591) සඳහ(cid:486) ඉඩ(cid:572) අ(cid:430)කර ගැ(cid:488)ෙ(cid:572) සහ (cid:538)ං(cid:317) (cid:253)මා(cid:604)හා(cid:574) අ(cid:613)ෙද(cid:413)ය (cid:655)(cid:573)ක(cid:572) (cid:251)යන අලෙකාළෙද(cid:487)ය
(cid:487)ලධා(cid:604)යාට නැතෙහා(cid:430), එ(cid:252) (cid:487)ලධා(cid:604)යා (cid:618)(cid:646)(cid:486) ඒ සඳහා ව(cid:430)ත; ද(cid:253)ණට: කැබ(cid:611) අංක 2 සහ (cid:538)ං(cid:317) (cid:253)මා(cid:604)හා(cid:574) අ(cid:613)ෙද(cid:413)ය
බලය ෙදන ලද ෙවන(cid:430) (cid:487)ලධා(cid:604)ය(cid:253)ට, එම උපෙ(cid:610)ඛනෙ(cid:591) (cid:655)(cid:573)ක(cid:572) (cid:251)යන අලෙකාළෙද(cid:487)ය ව(cid:430)ත; බට(cid:655)රට: (cid:536)ඟා ඔය.
II වැ(cid:487) ෙ(cid:326)දෙ(cid:591) දැ(cid:250)ෙවන (cid:487)ය(cid:573)ත ඉඩම (cid:566)(cid:250)(cid:431)යට ගැ(cid:488)මට
ෙම(cid:592)(cid:486) (cid:487)යම කර(cid:573).
0022.. කකැැබබ(cid:611)(cid:611) අඅංංකක 22 -- අඅලලෙෙකකාාළළෙෙදද(cid:487)(cid:487)යය වව(cid:430)(cid:430)තත -- (cid:541)(cid:541)මමාාණණයය::
ෙක්. ඩී. ලාල් කාන්ත, අඅ(cid:250)(cid:250).. 00 (cid:607)(cid:607).. 11 පප(cid:601)(cid:601).. 1144..55
කෘ(cid:639)ක(cid:601)ම, ප(cid:630) ස(cid:572)ප(cid:430), ඉඩ(cid:572) සහ උ(cid:433)රට: කැබ(cid:611) අංක 1, (cid:537). (cid:555). ග(cid:610)ෙපා(cid:430)ෙ(cid:430)වල සහ තව(cid:430) අය
වා(cid:604)මා(cid:601)ග අමාත(cid:597). (cid:655)(cid:573)ක(cid:572) (cid:251)යන අස්වැ(cid:458)(cid:464)ම (cid:253)(cid:585)ර සහ (cid:538)ං(cid:317) (cid:253)මා(cid:604)හා(cid:574) අ(cid:613)ෙද(cid:413)ය
2025 ෙනාවැ(cid:572)බ(cid:601) මස 18 වැ(cid:487) (cid:462)න, (cid:655)(cid:573)ක(cid:572) (cid:251)යන අලෙකාලෙද(cid:487)ය ව(cid:430)ත; නැෙගන(cid:655)රට: (cid:538)ං(cid:317)
කෘ(cid:639)ක(cid:601)ම, ප(cid:630) ස(cid:572)ප(cid:430), ඉඩ(cid:572) සහ වා(cid:604)මා(cid:601)ග අමාත(cid:597)ාංශය, (cid:253)මා(cid:604)හා(cid:574) අ(cid:613)ෙද(cid:413)ය (cid:655)(cid:573)ක(cid:572) (cid:251)යන අලෙකාළෙද(cid:487)ය ව(cid:430)ත
“(cid:573)(cid:655)කත මැ(cid:464)ර”, අංක 1200/6, සහ (cid:538)ං(cid:317) (cid:253)මා(cid:604)හා(cid:574) අ(cid:613)ෙද(cid:413)ය (cid:655)(cid:573)ක(cid:572) (cid:251)යන අලෙකාළෙද(cid:487)ය
රජම(cid:610)ව(cid:430)ත පාර, (cid:253)(cid:585)ර; ද(cid:253)ණට: ඩ(cid:553)(cid:611)(cid:617). ෙ(cid:334). (cid:336). (cid:646)(cid:604)ෙස්න (cid:655)(cid:573)ක(cid:572) (cid:251)යන
බ(cid:430)තර(cid:575)(cid:610)ල.
ෙගාඩෙපාල ව(cid:430)ත; බට(cid:655)රට: (cid:538)ං(cid:317) (cid:253)මා(cid:604)හා(cid:574) අ(cid:613)ෙද(cid:413)ය (cid:655)(cid:573)ක(cid:572)
උපෙ(cid:610)ඛනය
(cid:251)යන අලෙකාළෙද(cid:487)ය (cid:253)(cid:585)ර.
II.. ඉඉඩඩ(cid:572)(cid:572) අඅ(cid:430)(cid:430)කකරර ගගැැ(cid:488)(cid:488)ෙෙ(cid:572)(cid:572) (cid:487)(cid:487)ලලධධාා(cid:604)(cid:604)..– (cid:541)ාෙ(cid:458)(cid:629)ය ෙ(cid:610)ක(cid:572), EOG 01 – 0105
(cid:539)ජා(cid:536)(cid:377)ය.
(cid:636) ලංකා රජෙ(cid:591) (cid:575)(cid:470)ණ ෙදපා(cid:601)තෙ(cid:572)(cid:486)(cid:433)ෙ(cid:617) (cid:575)(cid:470)ණය කරන ල(cid:463).</t>
  </si>
  <si>
    <t>56587f18-68e6-4d77-84ee-f39e1be568e5</t>
  </si>
  <si>
    <t>2471_06</t>
  </si>
  <si>
    <t>2471/06</t>
  </si>
  <si>
    <t>Land Acquisition Act (Chapter 460), Section 5/7 — Land Acquisition Notice (Gazette 2471/06)</t>
  </si>
  <si>
    <t>ඉඩම් අත්පත් කරගැනීමේ පනත (460 අධිකාරය), 5/7 වැනි වගන්තිය යටතේ දැන්වීම</t>
  </si>
  <si>
    <t>காணி எடுத்தற் சட்டம் (460 ஆம் அத்தியாயம்), 5/7 ஆம் பிரிவின் கீழ் காணி கொள்வனவு பற்றிய அறிவித்தல்</t>
  </si>
  <si>
    <t>Land acquisition notice under the Land Acquisition Act (Chapter 460). Part III — Lands.</t>
  </si>
  <si>
    <t>m1/raw/2471_06.pdf</t>
  </si>
  <si>
    <t>III කො�ොටස - ශ්‍රී ලංං�ා ප්‍රජාාතාාන්ත්‍රි� සමාාජාවාාදී ජානරජාකො� අති විකො�ෂ ගැැසට් පත්‍රය - 2026.01.12 1A
பகுதி III - இலங்கைச் சனநாயகை சசாசலிசக் குடியரசு வர்ததமானப் ப்ததிாி்கை - அதி விசசஷமானது - 2026.01.12
ශ්‍රීශ්‍රී ලලංංකකාා ප්‍රප්‍රජජාාතතාාන්තන්ත්‍රි්‍රිකක සසමමාාජජවවාාදීදී ජජනනරරජජයයේේ ගගැැසසට්ට් පපත්‍රත්‍රයය
இஇலலஙங்்கைகைச்ச் சசனனநநாாயயகைகை சசசசாாசசலிலிசசக்க் குகுடிடியயரரசுசு வவரர்த்த்த்தமமாானனப்ப் பப்த்த்த்ததிதிாாதிதி்்கைகை
අඅතිති විවියයෙෙෂෂ அஅ்த்ததிதி வவதிதிசசசசஷஷமமாானனதுது
අංඅංංංකක 22447711// 0066 -- 22002266 ජජනනවාවාාාරිරි මමසස 1122 වාවාැැනිනි සසඳුඳුදාදාාා -- 22002266..0011..1122
22447711//0066 ஆஆம்ம் இஇலலக்க்கைகைம்ம் -- 22002266 ஆஆம்ம் ஆஆண்ண்டுடு சசனனவவாாதிதி மமாா்த்தம்ம் 1122 ஆஆந்ந் ்த்ததிதிகைகை்த்ததிதி ்த்ததிதிஙஙகைகைடடகைகைதிதிழழ்்மம
(அரசாஙகை்த்ததின் அ்ததிகைார்ததுடன் பதிரசுாதிக்கைப்படடது)
பபகுகு்த்ததிதி IIIIII -- கைகைாாணணதிதிகைகைள்ள்
கைகைாாணணதிதி கககைகைாாள்ள்வவனனவுவு பபறற்்திதியய அஅ்்திதிவவதிதி்த்த்த்தலலகைகைள்ள்
கைகைாாணணதிதி எஎடுடு்த்த்த்தறற சசடடடடம்ம் ((அஅ்த்த்த்ததிதியயாாயயம்ம் 446600)) அஅடடடடவவ்்ணண
38 ஆம் பதிாதிவு (அ) வதின் கைீழான கைடட்ள I.. கைகைாாணணதிதி எஎடுடு்த்த்த்தலல உஉ்த்த்த்ததிதிசசயயாாகைகை்த்த்த்தரர :: பதிரச்தச கசயலாளர,
நாவுல.
22002255 ஆஆம்ம் ஆஆண்ண்டிடின்ன் 113366 ஆஆம்ம் இஇலலக்க்கைகைக்க் கைகைடடடட்்ளள
II.. கைகைாாணணதிதியயதிதின்ன் வவதிதிபபரரம்ம் :: ம்த்ததிய மாகைாண்த்ததில மா்த்த்ள
மாவடட்த்ததில நாவுல பதிரச்தச கசயலாளர பதிாதிவதில, இல.
எனது கு்திப்பு இல. 4-3/2/2021/IR/235
E413C, உஸ்ஸ்த்தாவ கைதிராம அலுவலர பதிாதிவதில உஸ்ஸ்த்தாவ
பதிச்தச கசயலாளாதின் கு்திப்பு இல. DMS/NUL/LND/7/23-V
கைதிராம்த்ததில அ்மந்துள்ள நதில அள்வயாளர நாயகை்த்ததினால
்தயாாதிக்கைப்படட கை.வ.இ. 310193 க்தாகு்ததி இல. 01, ்தாள்
கைாணதி எடு்த்தற சடட்த்ததின் (அ்த்ததியாயம் 460) 38 ஆம்
இல. 02, 2023.01.11 ஆந் ்ததிகை்ததிய இறு்ததி பதிரச்தசவதியல
பதிாதிவு (அ) வதினால எனக்கைளதிக்கைப்படட ்த்ததுவஙகைளதின்
வ்ரபட்த்ததில வதிபரமாகை கைாடடப்படட பதின்வரும் கபயரகைள்
பதிரகைாரம் கைம்தக்தாழதில, கைாலந்ட வளஙகைள், கைாணதி மறறும்
மறறும் வதிஸ்தீரணஙகை்ளக் ககைாண்ட கைாணதி்த துண்டுகைளதின்
நீரப்பாசன அ்மச்சர குரகைமசகை க்தான் லால கைாந்்த ஆகைதிய
எல்லகைள் பதின்வருமாறு :
நான், கைீழ்க் கைானும் அடடவ்ணயதின் I ஆம் பந்்ததியதில
கு்திப்பதிடப்படட கைாணதி எடு்த்தல உ்த்ததிசயாகை்த்தருக்கு
0011.. துதுண்ண்டுடு இஇலல.. 66 -- ககநநலலலிலிகைகைஸஸயயாாசசயய மூமூகைகைலலாானன --
அலலது அவரால அ்ததிகைாரமளதிக்கைப்படட எவசரனும்
வவதிதிஸஸ்த்தீீரரணணம்ம் :: 00..00778877 ககஹஹக்க்டடயயாாரர
உ்த்ததிசயாகை்த்தர ஒருவருக்கு அவ்அடடவ்ணயதின் சநகரா்த்த
வடக்கு: துண்டு இல. 3, 4, 5 மறறும் 7 ; கைதிழக்கு: துண்டு
II ஆம் பந்்ததியதில வதிபாதிக்கைப்படட கைாணதியதின் இருப்பாடசதி்ய
இல. 7, 10 மறறும் 13 ; க்தறகு: துண்டு இல. 14 மறறும் 15;
கபாறுப்சபறப்தறகு இ்த்தால கைடட்ளயதிடுகைதின்ச்ன்.
சமறகு: துண்டு இல. 16, ்தாள் 01 இல துண்டு இல. 40 மறறும்
இந்்த வ்ரபட்த்ததில துண்டு இல. 3.
சகை.டி. லால கைாந்்த,
கைம்தக்தாழதில, கைாலந்ட வளஙகைள், 0022.. துதுண்ண்டுடு இஇலல.. 99 -- ககநநலலலிலிகைகைஸஸயயாாசசயய மூமூகைகைலலாானன -- வவதிதிஸஸ்த்தீீரரணணம்ம்
கைாணதி மறறும் நீரப்பாசன அ்மச்சர. :: 00..00001111 ககஹஹக்க்டடயயாாரர
வடக்கு: துண்டு இல. 8 ; கைதிழக்கு: துண்டு இல. 25 மறறும்
கைம்தக்தாழதில, கைாலந்ட வளஙகைள், கைாணதி 10 ; க்தறகு: துண்டு இல. 10 ; சமறகு: துண்டு இல. 10 மறறும் 7.
மறறும் நீரப்பாசன அ்மச்சு,
“மதிஹதிகை்த கமதுர”,
கைாணதிச் கசயலகைம்,
இல. 1200/6, இரஜமலவ்த்்த வீ்ததி,
ப்த்தரமுல்ல,
2025, ்ததிகசம்பர 19.
1A - G46066 - 13 (2026/01)
இவ் அ்ததிவதிச ஷட வர்த்தமானதி்ய www.documents.gov.lk எனும் இ்ணய்த்தள்த்ததிலிருந்து ப்ததிவதி்க்கைம் கசயய முடியும்.
2A III කො�ොටස - ශ්‍රී ලංං�ා ප්‍රජාාතාාන්ත්‍රි� සමාාජාවාාදී ජානරජාකො� අති විකො�ෂ ගැැසට් පත්‍රය - 2026.01.12
பகுதி III - இலங்கைச் சனநாயகை சசாசலிசக் குடியரசு வர்ததமானப் ப்ததிாி்கை - அதி விசசஷமானது - 2026.01.12
0033.. துதுண்ண்டுடு இஇலல.. 1100 -- ககநநலலலிலிகைகைஸஸயயாாசசயய மூமூகைகைலலாானன -- 1133.. துதுண்ண்டுடு இஇலல.. 2233 -- ககநநலலலிலிகைகைஸஸயயாாசசயய மூமூகைகைலலாானன --
வவதிதிஸஸ்த்தீீரரணணம்ம் :: 00..00336600 ககஹஹக்க்டடயயாாரர வவதிதிஸஸ்த்தீீரரணணம்ம் :: 00..00118822 ககஹஹக்க்டடயயாாரர
வடக்கு: துண்டு இல. 7, 8, 9 மறறும் 25 ; கைதிழக்கு: துண்டு வடக்கு: துண்டு இல. 10 மறறும் 24 ; கைதிழக்கு: துண்டு இல.
இல. 25, 24 மறறும் 23 ; க்தறகு: துண்டு இல. 23, 11, 12 29 மறறும் 30 ; க்தறகு: துண்டு இல. 22 ; சமறகு: துண்டு இல.
மறறும் 21 ; சமறகு: துண்டு இல. 13, 14 மறறும் 6. 21, 12 மறறும் 11.
0044.. துதுண்ண்டுடு இஇலல.. 1111 -- ககநநலலலிலிகைகைஸஸயயாாசசயய மூமூகைகைலலாானன -- 1144.. துதுண்ண்டுடு இஇலல.. 2244 -- ககநநலலலிலிகைகைஸஸயயாாசசயய மூமூகைகைலலாானன --
வவதிதிஸஸ்த்தீீரரணணம்ம் :: 00..00000022 ககஹஹக்க்டடயயாாரர வவதிதிஸஸ்த்தீீரரணணம்ம் :: 00..00330077 ககஹஹக்க்டடயயாாரர
வடக்கு: துண்டு இல. 10 மறறும் 24 ; கைதிழக்கு: துண்டு இல.
வடக்கு: துண்டு இல. 25 ; கைதிழக்கு: துண்டு இல. 25, 29
23 மறறும் 22 ; க்தறகு: துண்டு இல. 22 மறறும் 21 ; சமறகு:
மறறும் 30 ; க்தறகு: துண்டு இல. 23 ; சமறகு: துண்டு இல. 21,
துண்டு இல. 12.
11 மறறும் 10.
0055.. துதுண்ண்டுடு இஇலல.. 1122 -- ககநநலலலிலிகைகைஸஸயயாாசசயய மூமூகைகைலலாானன --
1155.. துதுண்ண்டுடு இஇலல.. 2255 -- குகு்்திதிப்ப்பபதிதிடடப்ப்பபடடவவதிதிலல்்லல -- வவதிதிஸஸ்த்தீீரரணணம்ம்
வவதிதிஸஸ்த்தீீரரணணம்ம் :: 00..00005511 ககஹஹக்க்டடயயாாரர
:: 00..00448800 ககஹஹக்க்டடயயாாரர
வடக்கு: துண்டு இல. 10 ; கைதிழக்கு: துண்டு இல. 11, 23
வடக்கு: துண்டு இல. 8, 5, 26, 27 மறறும் 28 ; கைதிழக்கு:
மறறும் 22 ; க்தறகு: துண்டு இல. 22 மறறும் 21 ; சமறகு:
துண்டு இல. 28, 8 மறறும் 36 ; க்தறகு: துண்டு இல. 37, 29
துண்டு இல. 21 மறறும் 13.
மறறும் 24 ; சமறகு: துண்டு இல. 10 மறறும் 9.
0066.. துதுண்ண்டுடு இஇலல.. 1144 -- ககநநலலலிலிகைகைஸஸயயாாசசயய மூமூகைகைலலாானன --
1166.. துதுண்ண்டுடு இஇலல.. 2266 -- குகு்்திதிப்ப்பபதிதிடடப்ப்பபடடவவதிதிலல்்லல -- வவதிதிஸஸ்த்தீீரரணணம்ம்
வவதிதிஸஸ்த்தீீரரணணம்ம் :: 00..00113366 ககஹஹக்க்டடயயாாரர
வடக்கு: துண்டு இல. 6 ; கைதிழக்கு: துண்டு இல. 10 மறறும் :: 00..00000066 ககஹஹக்க்டடயயாாரர
13 ; க்தறகு: துண்டு இல. 13, 21 மறறும் 20 ; சமறகு: துண்டு வடக்கு: துண்டு இல. 5 ; கைதிழக்கு: துண்டு இல. 27 மறறும்
இல. 20, 15, 16 மறறும் 6. 28 ; க்தறகு: துண்டு இல. 25 ; சமறகு: துண்டு இல. 25.
0077.. துதுண்ண்டுடு இஇலல.. 1155-- ககநநலலலிலிகைகைஸஸயயாாசசயய மூமூகைகைலலாானன -- 1177.. துதுண்ண்டுடு இஇலல.. 2277 -- ககநநலலலிலிகைகைஸஸயயாாசசயய மூமூகைகைலலாானன --
வவதிதிஸஸ்த்தீீரரணணம்ம் :: 00..00002266 ககஹஹக்க்டடயயாாரர வவதிதிஸஸ்த்தீீரரணணம்ம் :: 00..00005588 ககஹஹக்க்டடயயாாரர
வடக்கு: துண்டு இல. 6 மறறும் 14 ; கைதிழக்கு: துண்டு இல. 20 வடக்கு: துண்டு இல. 5 ; கைதிழக்கு: துண்டு இல. 5 ; க்தறகு:
மறறும் 18 ; க்தறகு: துண்டு இல. 16 ; சமறகு: துண்டு இல. 16. துண்டு இல. 28, 25 மறறும் 26 ; சமறகு: துண்டு இல. 26
மறறும் 5.
0088.. துதுண்ண்டுடு இஇலல.. 1166 -- ககநநலலலிலிகைகைஸஸயயாாசசயய மூமூகைகைலலாானன --
வவதிதிஸஸ்த்தீீரரணணம்ம் :: 00..00669966 ககஹஹக்க்டடயயாாரர 1188.. துதுண்ண்டுடு இஇலல.. 2288 -- ககநநலலலிலிகைகைஸஸயயாாசசயய மூமூகைகைலலாானன --
வடக்கு: துண்டு இல. 3 மறறும் 6 ; கைதிழக்கு: துண்டு இல. வவதிதிஸஸ்த்தீீரரணணம்ம் :: 00..00112255 ககஹஹக்க்டடயயாாரர
14, 15, 20 மறறும் 18 ; க்தறகு: துண்டு இல. 18 மறறும் 17 ; வடக்கு: துண்டு இல. 27 மறறும் 5 ; கைதிழக்கு: துண்டு இல.
சமறகு: ்தாள் 01 இல துண்டு இல. 39 மறறும் 40. 5 ; க்தறகு: துண்டு இல. 25 ; சமறகு: துண்டு இல. 25, 26
மறறும் 27.
0099.. துதுண்ண்டுடு இஇலல.. 1177 -- ககநநலலலிலிகைகைஸஸயயாாசசயய மூமூகைகைலலாானன --
வவதிதிஸஸ்த்தீீரரணணம்ம் :: 00..00332244 ககஹஹக்க்டடயயாாரர
1199.. துதுண்ண்டுடு இஇலல.. 2299 -- ககநநலலலிலிகைகைஸஸயயாாசசயய மூமூகைகைலலாானன --
வடக்கு: ்தாள் 01 இல துண்டு இல. 40 மறறும் துண்டி
வவதிதிஸஸ்த்தீீரரணணம்ம் :: 00..00115533 ககஹஹக்க்டடயயாாரர
இல. 16 ; கைதிழக்கு: துண்டு இல. 18 மறறும் ்தாள் 01 இல துண்டு
வடக்கு: துண்டு இல. 25 ; கைதிழக்கு: துண்டு இல. 25, 35
இல. 44 ; க்தறகு: ்தாள் 01 இல துண்டு இல. 39 ; சமறகு: ்தாள்
மறறும் 37 ; க்தறகு: துண்டு இல. 37, 34, 31 மறறும் 30 ;
01 இல துண்டு இல. 39.
சமறகு: துண்டு இல. 23 மறறும் 24.
1100.. துதுண்ண்டுடு இஇலல.. 1188 -- ககநநலலலிலிகைகைஸஸயயாாசசயய மூமூகைகைலலாானன --
2200.. துதுண்ண்டுடு இஇலல.. 3300 -- ககநநலலலிலிகைகைஸஸயயாாசசயய மூமூகைகைலலாானன --
வவதிதிஸஸ்த்தீீரரணணம்ம் :: 00..00004455 ககஹஹக்க்டடயயாாரர
வவதிதிஸஸ்த்தீீரரணணம்ம் :: 00..00000066 ககஹஹக்க்டடயயாாரர
வடக்கு: துண்டு இல. 15 மறறும் 20 ; கைதிழக்கு: துண்டு இல.
வடக்கு: துண்டு இல. 24 மறறும் 29 ; கைதிழக்கு: துண்டு இல.
20, 21 மறறும் 19 ; க்தறகு: துண்டு இல. 19 மறறும் ்தாள் 01
31 மறறும் 32 ; க்தறகு: துண்டு இல. 32 மறறும் 22 ; சமறகு:
இல துண்டு இல. 44 ; சமறகு: ்தாள் 01 இல துண்டு இல. 39,
துண்டு இல. 22 மறறும் 23.
இந்்த வ்ரபட்த்ததில துண்டு இல. 17 மறறும் 16.
1111.. துதுண்ண்டுடு இஇலல.. 1199 -- ககநநலலலிலிகைகைஸஸயயாாசசயய மூமூகைகைலலாானன -- 2211.. துதுண்ண்டுடு இஇலல.. 3311 -- ககநநலலலிலிகைகைஸஸயயாாசசயய மூமூகைகைலலாானன --
வவதிதிஸஸ்த்தீீரரணணம்ம் :: 00..00001100 ககஹஹக்க்டடயயாாரர வவதிதிஸஸ்த்தீீரரணணம்ம் :: 00..00114411 ககஹஹக்க்டடயயாாரர
வடக்கு: துண்டு இல. 20 மறறும் 21 ; கைதிழக்கு: துண்டு இல. வடக்கு: துண்டு இல. 29 ; கைதிழக்கு: துண்டு இல. 34 மறறும்
21 ; க்தறகு: ்தாள் 01 இல துண்டு இல. 54 மறறும் 44 ; சமறகு: 33 ; க்தறகு: துண்டு இல. 32 ; சமறகு: துண்டு இல. 22 மறறும்
துண்டு இல. 18. 30.
1122.. துதுண்ண்டுடு இஇலல.. 2200 -- ககநநலலலிலிகைகைஸஸயயாாசசயய மூமூகைகைலலாானன -- 2222.. துதுண்ண்டுடு இஇலல.. 3344 -- ககநநலலலிலிகைகைஸஸயயாாசசயய மூமூகைகைலலாானன --
வவதிதிஸஸ்த்தீீரரணணம்ம் :: 00..00006688 ககஹஹக்க்டடயயாாரர வவதிதிஸஸ்த்தீீரரணணம்ம் :: 00..00003399 ககஹஹக்க்டடயயாாரர
வடக்கு: துண்டு இல. 14 ; கைதிழக்கு: துண்டு இல. 21 ; வடக்கு: துண்டு இல. 29 ; கைதிழக்கு: துண்டு இல. 29 மறறும்
க்தறகு: துண்டு இல. 19 மறறும் 18 ; சமறகு: துண்டு இல. 16 37 ; க்தறகு: துண்டு இல. 33 ; சமறகு: துண்டு இல. 32 மறறும்
மறறும் 15. 31.
III කො�ොටස - ශ්‍රී ලංං�ා ප්‍රජාාතාාන්ත්‍රි� සමාාජාවාාදී ජානරජාකො� අති විකො�ෂ ගැැසට් පත්‍රය - 2026.01.12 3A
பகுதி III - இலங்கைச் சனநாயகை சசாசலிசக் குடியரசு வர்ததமானப் ப்ததிாி்கை - அதி விசசஷமானது - 2026.01.12
2233.. துதுண்ண்டுடு இஇலல.. 3355 -- ககநநலலலிலிகைகைஸஸயயாாசசயய மூமூகைகைலலாானன -- அலலது அவரால அ்ததிகைாரமளதிக்கைப்படட எவசரனும்
வவதிதிஸஸ்த்தீீரரணணம்ம் :: 00..00113333 ககஹஹக்க்டடயயாாரர உ்த்ததிசயாகை்த்தர ஒருவருக்கு அவ்அடடவ்ணயதின் சநகரா்த்த
வடக்கு: துண்டு இல. 25 ; கைதிழக்கு: துண்டு இல. 37 ; II ஆம் பந்்ததியதில வதிபாதிக்கைப்படட கைாணதியதின் இருப்பாடசதி்ய
க்தறகு: துண்டு இல. 37 ; சமறகு: துண்டு இல. 37 மறறும் 29. கபாறுப்சபறப்தறகு இ்த்தால கைடட்ளயதிடுகைதின்ச்ன்.
சகை.டி. லால கைாந்்த,
2244.. துதுண்ண்டுடு இஇலல.. 3366 -- குகு்்திதிப்ப்பபதிதிடடப்ப்பபடடவவதிதிலல்்லல -- வவதிதிஸஸ்த்தீீரரணணம்ம் ::
கைம்தக்தாழதில, கைாலந்ட வளஙகைள்,
00..00004400 ககஹஹக்க்டடயயாாரர
கைாணதி மறறும் நீரப்பாசன அ்மச்சர.
வடக்கு: துண்டு இல. 5 மறறும் 40 ; கைதிழக்கு: துண்டு இல.
59 மறறும் 38 ; க்தறகு: துண்டு இல. 38 மறறும் 37 ; சமறகு:
கைம்தக்தாழதில, கைாலந்ட வளஙகைள், கைாணதி
துண்டு இல. 37 மறறும் 25.
மறறும் நீரப்பாசன அ்மச்சு,
“மதிஹதிகை்த கமதுர”,
2255.. துதுண்ண்டுடு இஇலல.. 4400 -- குகு்்திதிப்ப்பபதிதிடடப்ப்பபடடவவதிதிலல்்லல -- வவதிதிஸஸ்த்தீீரரணணம்ம் ::
கைாணதிச் கசயலகைம்,
00..00114444 ககஹஹக்க்டடயயாாரர
இல. 1200/6, இரஜமலவ்த்்த வீ்ததி,
வடக்கு: துண்டு இல. 41 மறறும் க்தாகு்ததி 3 ; கைதிழக்கு:
ப்த்தரமுல்ல,
க்தாகு்ததி 3 மறறும் துண்டு இல. 39 ; க்தறகு: துண்டு இல. 39 ;
2025, ்ததிகசம்பர 05.
சமறகு: துண்டு இல. 38, 36, 5 மறறும் 41.
அஅடடடடவவ்்ணண
2266.. துதுண்ண்டுடு இஇலல.. 4411 -- வவம்ம்பபடடடுடுயயாாசசயய சசஹஹனன,, கைகைலலககஹஹாாடடடுடுவவ
சசஹஹனன,, மமதிதிாாதிதிஸஸககவவலலசசஹஹசசனன மூமூகைகைலலாானன -- வவதிதிஸஸ்த்தீீரரணணம்ம் :: 00..00330000 I.. கைகைாாணணதிதி எஎடுடு்த்த்த்தலல உஉ்த்த்த்ததிதிசசயயாாகைகை்த்த்த்தரர :: பதிரச்தச கசயலாளர,
ககஹஹக்க்டடயயாாரர உடதும்பர.
வடக்கு: துண்டு இல. 1, உஸ்ஸ்த்தாவ (ஒரு பகு்ததி) மறறும்
க்தாகு்ததி 3 ; கைதிழக்கு: க்தாகு்ததி 3 மறறும் துண்டு இல. 40 ; II.. கைகைாாணணதிதியயதிதின்ன் வவதிதிபபரரம்ம் :: ம்த்ததிய மாகைாண்த்ததில கைண்டி
க்தறகு: துண்டு இல. 40 ; சமறகு: துண்டு இல. 5 மறறும் 1. மாவடட்த்ததில உடதும்பர பதிரச்தச கசயலாளர பதிாதிவதில,
கைந்க்தகை சகைாரசள சதிறு பதிாதிவதில, மீமுசர (893) கைதிராம அலுவலர
EOG 01 - 0106 பதிாதிவதில மீமுசர கைதிராம்த்ததில அ்மந்துள்ள நதில அள்வயாளர
நாயகை்த்ததினால ்தயாாதிக்கைப்படட இல. மஹ 6644 மறறும்
2017.03.29 ஆந் ்ததிகை்ததி ஆரம்ப வ்ரபட்த்ததில வதிபரமாகை
கைகைாாணணதிதி எஎடுடு்த்த்த்தறற சசடடடடம்ம் ((அஅ்த்த்த்ததிதியயாாயயம்ம் 446600)) கைாடடப்படட பதின்வரும் கபயர் மறறும் வதிஸ்தீரண்த்்தக்
ககைாண்ட கைாணதி்த துண்டின் எல்லகைள் பதின்வருமாறு :
38 ஆம் பதிாதிவு (அ) வதின் கைீழான கைடட்ள
0011.. துதுண்ண்டுடு இஇலல.. 11 -- கைகைரரவ்வ்கைகைஹஹமமடிடி்த்த்த்த -- வவதிதிஸஸ்த்தீீரரணணம்ம் :: 1166..22443300
22002255 ஆஆம்ம் ஆஆண்ண்டிடின்ன் 113399 ஆஆம்ம் இஇலலக்க்கைகைக்க் கைகைடடடட்்ளள ககஹஹக்க்டடயயாாரர
வடக்கு: ஹீன் கைங்கை மறறும் சஜ. எப். ஹலஙககைாட
உாதி்மசகைாரும் கைரவ்கைஹமடி்த்த (உ.வ. 63443) ; கைதிழக்கு: சஜ.
எனது கு்திப்பு இல. 13/2000/FR/34
எப். ஹலஙககைாட உாதி்மசகைாரும் கைரவ்கைஹமடி்த்த (உ.வ.
பதிச்தச கசயலாளாதின் கு்திப்பு இல. KDS/UDB/4/1/1/135
63443) மறறும் ஆ. வ. மஹ. 2040 இல துண்டு இல. 1 ; க்தறகு:
ஜீ. பீ. கசகனவதிர்தன உாதி்மசகைாரும் கைரவ்கைஹமடி்த்த (உ.
கைாணதி எடு்த்தற சடட்த்ததின் (அ்த்ததியாயம் 460) 38 ஆம்
வ. 63443) ; சமறகு: கைாலவாய, நலசலககை்தரபுஞசதிபண்டா
பதிாதிவு (அ) வதினால எனக்கைளதிக்கைப்படட ்த்ததுவஙகைளதின்
மறறும் இன்னும் சதிலர உாதி்மசகைாரும் கைரவ்கைஹமடி்த்த
பதிரகைாரம் கைம்தக்தாழதில, கைாலந்ட வளஙகைள், கைாணதி மறறும்
(உ.வ. 63443), கைாலவாய, ஹீன் கைங்கை.
நீரப்பாசன அ்மச்சர குரகைமசகை க்தான் லால கைாந்்த ஆகைதிய
நான், கைீழ்க் கைாணும் அடடவ்ணயதின் I ஆம் பந்்ததியதில
EOG 01 - 0107
கு்திப்பதிடப்படட கைாணதி எடு்த்தல உ்த்ததிசயாகை்த்தருக்கு
இலங்கை அரசாஙகை அச்சு்த ்ததி்ணக்கைள்த்ததில அச்சதிடப்படடது.</t>
  </si>
  <si>
    <t>82cbca04-6c41-40e1-8595-d27192221f56</t>
  </si>
  <si>
    <t>2471_07</t>
  </si>
  <si>
    <t>2471/07</t>
  </si>
  <si>
    <t>Land Acquisition Act (Chapter 460), Section 5 — Notice of Intended Acquisition (Gazette 2471/07)</t>
  </si>
  <si>
    <t>m1/raw/2471_07.pdf</t>
  </si>
  <si>
    <t>III කො�ොටස - ශ්‍රී ලංං�ා ප්‍රජාාතාාන්ත්‍රි� සමාාජාවාාදී ජානරජාකො� අති විකො�ෂ ගැැසට් පත්‍රය - 2026.01.12 1A
பகுதி III - இலங்கைச் சனநாயகை சசாசலிசக் குடியரசு வர்ததமானப் ப்ததிாி்கை - அதி விசசஷமானது - 2026.01.12
ශ්‍රීශ්‍රී ලලංංකකාා ප්‍රප්‍රජජාාතතාාන්තන්ත්‍රි්‍රිකක සසමමාාජජවවාාදීදී ජජනනරරජජයයේේ ගගැැසසට්ට් පපත්‍රත්‍රයය
இஇலலஙங்்கைகைச்ச் சசனனநநாாயயகைகை சசசசாாசசலிலிசசக்க் குகுடிடியயரரசுசு வவரர்த்த்த்தமமாானனப்ப் பப்த்த்த்ததிதிாாதிதி்்கைகை
අඅතිති විවියයෙෙෂෂ அஅ்த்ததிதி வவதிதிசசசசஷஷமமாானனதுது
අංඅංංංකක 22447711// 0077 -- 22002266 ජජනනවාවාාාරිරි මමසස 1122 වාවාැැනිනි සසඳුඳුදාදාාා -- 22002266..0011..1122
22447711//0077 ஆஆம்ம் இஇலலக்க்கைகைம்ம் -- 22002266 ஆஆம்ம் ஆஆண்ண்டுடு சசனனவவாாதிதி மமாா்த்தம்ம் 1122 ஆஆந்ந் ்த்ததிதிகைகை்த்ததிதி ்த்ததிதிஙஙகைகைடடகைகைதிதிழழ்்மம
(அரசாஙகை்த்ததின் அ்ததிகைார்ததுடன் பதிரசுாதிக்கைப்படடது)
பபகுகு்த்ததிதி IIIIII -- கைகைாாணணதிதிகைகைள்ள்
கைகைாாணணதிதி கககைகைாாள்ள்வவனனவுவு பபறற்்திதியய அஅ்்திதிவவதிதி்த்த்த்தலலகைகைள்ள்
கைகைாாணணதிதி எஎடுடு்த்த்த்தறற சசடடடடம்ம் ((அஅ்த்த்த்ததிதியயாாயயம்ம் 446600)) அஅடடடடவவ்்ணண
38 ஆம் பதிாதிவதின் கைாப்புவாசகைம் (அ) வதின் கைீழான கைடட்ள I.. கைகைாாணணதிதி எஎடுடு்த்த்த்தலல உஉ்த்த்த்ததிதிசசயயாாகைகை்த்த்த்தரர :: பதிரச்தச கசயலாளர,
குண்டசா்ல.
22002255 ஆஆம்ம் ஆஆண்ண்டிடின்ன் 114400 ஆஆம்ம் இஇலலக்க்கைகைக்க் கைகைடடடட்்ளள
II.. கைகைாாணணதிதியயதிதின்ன் வவதிதிபபரரம்ம் :: ம்த்ததிய மாகைாண்த்ததில கைண்டி
மாவடட்த்ததில குண்டசா்ல பதிரச்தச கசயலாளர பதிாதிவதில,
எனது கு்திப்பு இல. 4-3/18/2019/WS/257
இல. 646, கைலபதிஹதிலல கைதிராம அலுவலர பதிாதிவதில கைலபதிஹதிலல
பதிரச்தச கசயலாளாதின் கு்திப்பு இல :: KDS/KUN/4/7/16/4/97.
கைதிராம்த்ததில அ்மந்துள்ள நதில அள்வயாளர நாயகை்த்ததினால
்தயாாதிக்கைப்படட 2024.11.01 ஆந் ்ததிகை்ததி MAHA/KND/2023/506
கைாணதி எடு்த்தற சடட்த்ததின் (அ்த்ததியாயம் 460) 38 ஆம் பதிாதிவதின்
ஆம் இலக்கை மு்தற சுவடடு வ்ரபட்த்ததில வதிபரமாகை
கைாப்பு வாசகைம் (அ) வதினால எனக்கைளதிக்கைப்படட ்த்ததுவஙகைளதின்
கைாடடப்படட பதின்வரும் கபயர் மறறும் வதிஸ்தீரண்த்்தக்
பதிரகைாரம் கைம்தக்தாழதில, கைாலந்ட வளஙகைள், கைாணதி மறறும்
ககைாண்ட கைாணதி்த துண்டின் எல்லகைள் பதின்வருமாறு :
நீரப்பாசன அ்மச்சர குரகைமசகை க்தான் லால கைாந்்த ஆகைதிய
நான், கைீழ் வதிபாதிக்கைப்படட அடடவ்ணயதின் I ஆம் பந்்ததியதில
0011.. துதுண்ண்டுடு ''''AA'''' -- கைகைலலபபதிதிஹஹதிதிலலலல அஅரரசச ககபபருருந்ந்சச்த்தாாடடடடம்ம் --
கு்திப்பதிடப்படட கைாணதி எடு்த்தல உ்த்ததிசயாகை்த்தருக்கு
வவதிதிஸஸ்த்தீீரரணணம்ம் :: 00..00113344 ககஹஹக்க்டடயயாாரர
அலலது அவரால அ்ததிகைாரமளதிக்கைப்படட எவசரனும்
வடக்கு: வீ்ததி மறறும் அரச கபருந்ச்தாடடக் கூடடு்த்தாபனம்
உ்த்ததிசயாகை்த்தர ஒருவருக்கு அவ் அடடவ்ணயதின் சநகரா்த்த
II ஆம் பந்்ததியதில வதிபாதிக்கைப்படட கைாணதியதின் உ்ட்ம்ய உாதி்மசகைாரும் கைலபதிஹதிலல அரச கபருந்ச்தாடடம் ;
கைதிழக்கு: வீ்ததி (வீ்ததி அபதிவதிரு்த்ததி அ்ததிகைாரச்ப) ; க்தறகு:
கபாறுப்சபறப்தறகு இ்த்தால கைடட்ளயதிடுகைதின்ச்ன்.
அரச கபருந்ச்தாடடக் கூடடு்த்தாபனம் உாதி்மசகைாரும்
சகை.டி. லால கைாந்்த, கைலபதிஹதிலல அரச கபருந்ச்தாடடம் ; சமறகு: வீ்ததி.
கைம்தக்தாழதில, கைாலந்ட வளஙகைள்,
கைாணதி மறறும் நீரப்பாசன அ்மச்சர.
EOG 01 - 0108
கைம்தக்தாழதில, கைாலந்ட வளஙகைள், கைாணதி
மறறும் நீரப்பாசன அ்மச்சு,
“மதிஹதிகை்த கமதுர”,
கைாணதிச் கசயலகைம்,
இல. 1200/6, இரஜமலவ்த்்த வீ்ததி,
ப்த்தரமுல்ல,
2025, ்ததிகசம்பர 19.
1A - G46067 - 18 (2026/01)
இவ் அ்ததிவதிச ஷட வர்த்தமானதி்ய www.documents.gov.lk எனும் இ்ணய்த்தள்த்ததிலிருந்து ப்ததிவதி்க்கைம் கசயய முடியும்.
2A III කො�ොටස - ශ්‍රී ලංං�ා ප්‍රජාාතාාන්ත්‍රි� සමාාජාවාාදී ජානරජාකො� අති විකො�ෂ ගැැසට් පත්‍රය - 2026.01.12
பகுதி III - இலங்கைச் சனநாயகை சசாசலிசக் குடியரசு வர்ததமானப் ப்ததிாி்கை - அதி விசசஷமானது - 2026.01.12
கைகைாாணணதிதி எஎடுடு்த்த்த்தறற சசடடடடம்ம் ((அஅ்த்த்த்ததிதியயாாயயம்ம் 446600)) 0011.. துதுண்ண்டுடு ''''AA'''' -- பீபீடடடடரரஹஹதிதிலலவவ்த்த்்்த்த -- வவதிதிஸஸ்த்தீீரரணணம்ம் :: 00..00002288
ககஹஹக்க்டடயயாாரர
38 ஆம் பதிாதிவதின் கைாப்புவாசகைம் (ஆ) வதின் கைீழான கைடட்ள வடக்கு: வீ்ததி (பதிரச்தச ச்ப) ; கைதிழக்கு: எம். அசபர்தன
மறறும் ஆர. எம். சதிாதில உாதி்மசகைாரும் பீடடரஹதிலவ்த்்த ;
க்தறகு: வீ்ததி ; சமறகு: வீ்ததி.
22002255 ஆஆம்ம் ஆஆண்ண்டிடின்ன் 114411 ஆஆம்ம் இஇலலக்க்கைகைக்க் கைகைடடடட்்ளள
EOG 01 - 0109
எனது கு்திப்பு இல. 4-3/18/2021/WS/377
பதிரச்தச கசயலாளாதின் கு்திப்பு இல:: RUW/LAN/ACQTN/A2/271.
்ததிரு்த்தம்
கைாணதி எடு்த்தற சடட்த்ததின் (அ்த்ததியாயம் 460) 38 ஆம்
பதிாதிவதின் கைாப்புவாசகைம் (ஆ) வதினால எனக்கைளதிக்கைப்படட கைகைாாணணதிதி எஎடுடு்த்த்த்தறற சசடடடடம்ம் ((அஅ்த்த்த்ததிதியயாாயயம்ம் 446600))
்த்ததுவஙகைளதின் பதிரகைாரம் கைம்தக்தாழதில, கைாலந்ட வளஙகைள்,
கைாணதி மறறும் நீரப்பாசன அ்மச்சர குரகைமசகை க்தான் லால 38 ஆம் பதிாதிவதின் கைாப்புவாசகைம் (அ) வதின் கைீழான கைடட்ள
கைாந்்த ஆகைதிய நான், கைீழ் வதிபாதிக்கைப்படட அடடவ்ணயதின் I ஆம்
பந்்ததியதில கு்திப்பதிடட கைாணதிகைள் அடடவ்ணயதின் சநகரா்த்த
22002233 ஆஆம்ம் ஆஆண்ண்டிடின்ன் 2255 ஆஆம்ம் இஇலலக்க்கைகைக்க் கைகைடடடட்்ளள
II ஆம் பந்்ததியதில க்தாடரபு்டய கு்திப்பதில வதிபாதிக்கைப்படடுள்ள
சசவகை உாதி்த்ததிறகு உடபடு்த்தப்படுவ்தாகை வதிபாதிக்கைப்படட
கைாணதி அ்மச்சதின் கு்திப்பு இல. 4-3/5/2020/HW/305
கைாணதியதின் உ்ட்ம்ய கபாறுப்சபறப்தறகு இ்த்தால
பதிரச்தச கசயலாளாதின் கு்திப்பு இல. පා/ඉ/2/අත්49
கைடட்ளயதிடுகைதின்ச்ன்.
சகை.டி. லால கைாந்்த, 2023.03.13 ஆம் ்ததிகை்ததிய 2323/05 ஆம் இலக்கை
கைம்தக்தாழதில, கைாலந்ட வளஙகைள், இலங்கைச் சனநாயகை சசாசலிசக் குடியரசதின் அ்ததிவதிசசட
கைாணதி மறறும் நீரப்பாசன அ்மச்சர. வர்த்தமானதியதில மும்கமாழதிகைளதில பதிரசுாதிக்கைப்படட 1A ஆம்
பக்கை்த்ததில கைாணதி எடு்த்தற சடடம் (அ்த்ததியாயம் 460) 38
கைம்தக்தாழதில, கைாலந்ட வளஙகைள், கைாணதி ஆம் பதிாதிவதின் கைாப்புவாசகைம் (அ) வதின் கைீழான அ்திவதி்த்தலில
மறறும் நீரப்பாசன அ்மச்சு, கைாணதி வதிபர்த்ததில நதிலஅள்வயாளர நாயகை்த்ததின் இல
“மதிஹதிகை்த கமதுர”, சதிஙகைள கமாழதியல ''සීඕ/එෆ්ඩීයේ/2021/363'' என ்தவறு்தலாகைப்
கைாணதிச் கசயலகைம், ப்ததிவு கசயயப்படடுள்ள்த்ன ''සීඕ/පීඩීයේ/2021/363'' எனவும்,
இல. 1200/6, இரஜமலவ்த்்த வீ்ததி, ்தமதிழ் கமாழதியதில நதிலஅள்வயாளர நாயகை்த்ததின் இல ''CO/
ப்த்தரமுல்ல, FDK/2021/363'' என்ப்தறகு ப்ததிலாகை ''CO/PDK/2021/363''
2025, ்ததிகசம்பர 19. எனவும் ஆஙகைதில கமாழதியதில நதில அள்வயாளர நாயகை்த்ததின்
இல. ''CO/DFK/2021/363'' என்ப்தறகு ப்ததிலாகை ''CO/
அஅடடடடவவ்்ணண PDK/2021/363'' எனவும் இ்த்தால ்ததிரு்த்தப்படுகைதி்து என்ப்்த
அ்திய்த்தருகைதிச்ன்.
II.. கைகைாாணணதிதியயதிதின்ன் வவதிதிபபரரம்ம் :: சப்பதிரகைமுவ மாகைாண்த்ததில சகைகைா்ல
மாவடட்த்ததில ருவன்கவலல பதிரச்தச கசயலாளர பதிாதிவதில, சகை.டி. லால கைாந்்த,
இல. 105A, ருவன்கவலல கைதிராம அலுவலர பதிாதிவதில கைம்தக்தாழதில, கைாலந்ட வளஙகைள்,
சதியம்பலாவல கைதிராம்த்ததில அ்மந்துள்ள நதில அள்வயாளர கைாணதி மறறும் நீரப்பாசன அ்மச்சர.
நாயகை்த்ததினால ்தயாாதிக்கைப்படட 2025.03.19 ஆந் ்ததிகை்ததி
KE/RWN/2024/160 ஆம் இலக்கை மு்தற சுவடடு வ்ரபட்த்ததில கைம்தக்தாழதில, கைாலந்ட வளஙகைள், கைாணதி
வதிபரமாகை கைாடடப்படட பதின்வரும் கபயர் மறறும் மறறும் நீரப்பாசன அ்மச்சு,
வதிஸ்தீரணஙகை்ளக் ககைாண்ட கைாணதி்த துண்டின் எல்லகைள் “மதிஹதிகை்த கமதுர”,
பதின்வருமாறு : கைாணதிச் கசயலகைம்,
இல. 1200/6, இரஜமலவ்த்்த வீ்ததி,
IIII.. சசசசவவகைகை்த்த்த்ததிதின்ன் வவதிதிபபரரம்ம் :: ருவன்கவலல நீர வழஙகைல ப்த்தரமுல்ல,
்ததிடட்த்ததின் கைீழ் சசமதிப்பு க்தாடடிக்கு கசலலும் வீ்ததி 2025, ்ததிகசம்பர 19.
அ்மப்ப்தறகு ச்த்வயான ்தனதியார வீ்ததியதின் ஒரு பகு்ததி
சசவகை உாதி்ம்ய எடு்ததுக்ககைாள்ளல.
EOG 01 - 0110
இலங்கை அரசாஙகை அச்சு்த ்ததி்ணக்கைள்த்ததில அச்சதிடப்படடது.</t>
  </si>
  <si>
    <t>957aeff9-a97a-402a-a0d5-c85427033891</t>
  </si>
  <si>
    <t>2471_08</t>
  </si>
  <si>
    <t>2471/08</t>
  </si>
  <si>
    <t>Land Acquisition Act (Chapter 460), Section 5 — Notice of Intended Acquisition (Gazette 2471/08)</t>
  </si>
  <si>
    <t>m1/raw/2471_08.pdf</t>
  </si>
  <si>
    <t>b69a7fe1-5c81-4ec3-a744-a9e38e86c4df</t>
  </si>
  <si>
    <t>2471_09</t>
  </si>
  <si>
    <t>2471/09</t>
  </si>
  <si>
    <t>Land Acquisition Act (Chapter 460), Section 5 — Notice of Intended Acquisition (Gazette 2471/09)</t>
  </si>
  <si>
    <t>m1/raw/2471_09.pdf</t>
  </si>
  <si>
    <t>(cid:636)(cid:636)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22447711//0099 -- 22002266 ජ ජනනවවාා(cid:604)(cid:604) මමසස 1122 වවැැ(cid:487)(cid:487) සස(cid:511)(cid:511)දදාා -- 22002266..0011..1122
2471/09 ஆம் இலக்கம் - 2026 ஆம் ஆண்(cid:8076) சனவாி மாதம் 12 ஆந் திகதி திங்கட்கிழைம
(அரசாங்கத்தின் அதிகாரத்(cid:8080)டன் பிரசுாிக்கப்பட்ட(cid:8080))
பபகுகுததிி IIIIII -- ககாாணணிிககள்ள்
ககாாணணிி மமீீட்ட்டடல்ல் பபற்ற்றறிியய அஅறறிிவவிித்த்ததல்ல்ககள்ள்
ககாாணணிி எஎ(cid:8076)(cid:8076)த்த்ததற்ற் சசட்ட்டடம்ம் ((அஅத்த்ததிியயாாயயம்ம் 446600)) விபாிக்கப்பட்ட காணித்(cid:8080)ண்(cid:8074)ைன இக்கட்டைள (cid:8090)லம்
உாித்(cid:8080) நீக்குகின்ேறன்.
39 (அ) (1) ஆம் பிாிவின் கீழான கட்டைள
ேக. (cid:8074). லால் காந்த,
கமத்ெதாழில், கால்நைட வளங்கள்,
2013, ேம மாதம் 14 ஆந் திகதிய 1810/24 ஆம் இலக்க
காணி மற்(cid:8096)ம் நீர்ப்பாசன அைமச்சர்.
இலங்ைகச் சனநாயக ேசாச(cid:8098)சக் கு(cid:8074)யரசின் அதிவிேசட
வர்த்தமானியில் (அத்தியாயம் 460) காணி எ(cid:8076)த்தற்
என(cid:8080) இல. : LD/05/2008/HW/97-II.
சட்டத்தின் 38 ஆம் பிாிவின் காப்(cid:8087)வாசகம் (அ) வின் கீழ்
காணி எ(cid:8076)த்தல் உத்திேயாகத்தர் இல.: DSM/YT/LAND/මා/ 1612/18.
பிரசுாிக்கப்பட்ட 2013 ஆம் ஆண்(cid:8074)ன் 141 ஆம் இலக்கக்
கமத்ெதாழில், கால்நைட வளங்கள், காணி மற்(cid:8096)ம்
கட்டைளயில் குறிப்பிட்ட காணித் (cid:8080)ண்(cid:8074)ைன (cid:8089)(cid:8104)ைமயாக நீர்ப்பாசன அைமச்சு,
அரசுாித்தாக்கப்பட்(cid:8076)ள்ளேதா(cid:8076), அரசின் சார்பில் அச் ''மிஹிகத ெம(cid:8080)ர",
சட்டத்தின் 40 ஆம் பிாிவின் (அ) பந்தியின் கீழ் இக்காணித் இல. 1200/6, காணிச் ெசயலகம்,
(cid:8080)ண்(cid:8074)ன் உைடைம(cid:8092)ம் ெபா(cid:8096)ப்ேபற்கப்பட்(cid:8076)ள்ளன. ரஜமல்வத்ைத (cid:8106)தி,
எனி(cid:8084)ம், அச்சட்டத்தின் (1979 ஆம் ஆண்(cid:8074)ன் 8 ஆம் இலக்கச் பத்தர(cid:8089)ல்ைல,
2025, திெசம்பர் 19.
சட்டத்தினால் உட்(cid:8087)குத்தப்பட்ட) 39 (அ) ஆம் பிாிவின் (1)
ஆம் உட்பிாிவினால் எனக்களிக்கப்பட்ட தத்(cid:8080)வங்களின்
அஅட்ட்டடவவைைணண
பிரகாரம் கமத்ெதாழில், கால்நைட வளங்கள், காணி மற்(cid:8096)ம்
நீர்ப்பாசன அைமச்சர் குரகமேக ெதான் லால் காந்த ஆகிய
மத்திய மாகாணம், மாத்தைள மாவட்டம், யட்டவத்த
நான், குறித்த காணித்(cid:8080)ண்(cid:8076)களில் கீழ்வ(cid:8094)ம் அட்டவைணயில் பிரேதச ெசயலாளர் பிாிவில், இல. E337B - டன்கன்
1A - G46069- 08(2026/01)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- 2026.01.12
பகுதி III - இலங்ைகச் சனநாயக ேசாச(cid:8098)சக் கு(cid:8074)யரசு வர்த்தமானப் பத்திாிைக - அதி விேசஷமான(cid:8080) - 2026.01.12
பிேளஸ் கிராம அ(cid:8100)வலர் பிாிவில், டன்கன் பிேளஸ் 24 ; ெதற்கு : (cid:8080)ண்(cid:8076) இல. 19, 24, 17 மற்(cid:8096)ம் (cid:8106)தி அபிவி(cid:8094)த்தி
கிராமத்தில் அைமந்(cid:8080)ள்ள, நில அளைவயாளர் நாயகத்தினால் அதிகார சைப ; ேமற்கு : சீ. ேக. கம்லத் உாிைம ேகா(cid:8094)ம்
தயாாிக்கப்பட்ட ஆ. வ. மா. 1612 இல் (cid:8080)ண்(cid:8076) இல. 23 டன்கன் வத்ைத மற்(cid:8096)ம் ஆ. வ. மா. 314 இல் (cid:8080)ண்(cid:8076) இல. 1.
(9.2 ேபர்ச்) விஸ்தீரணத்ைதக் ெகாண்ட காணித்(cid:8080)ண்(cid:8074)ன்
எல்ைலகள் :
0011.. (cid:8080)(cid:8080)ண்ண்(cid:8076)(cid:8076) இஇலல.. 2233 –– டடன்ன்ககன்ன் வவத்த்ைைதத -- வவிிஸ்ஸ்ததீீரரணணம்ம் ::
99..22 ேேபபர்ர்ச்ச்
வடக்கு : ஆ. வ. மா. 314 இல் (cid:8080)ண்(cid:8076) இல. 1 ; கிழக்கு :
(cid:8106)தி அபிவி(cid:8094)த்தி அதிகார சைப, (cid:8080)ண்(cid:8076) இல. 19 மற்(cid:8096)ம் EOG 01 - 0112
இலங்ைக அரசாங்க அச்சுத் திைணக்களத்தில் அச்சிடப்பட்ட(cid:8080).</t>
  </si>
  <si>
    <t>f0869f2e-a610-424b-9887-86730b237d26</t>
  </si>
  <si>
    <t>2471_10</t>
  </si>
  <si>
    <t>2471/10</t>
  </si>
  <si>
    <t>Land Acquisition Act (Chapter 460), Section 5 — Notice of Intended Acquisition (Gazette 2471/10)</t>
  </si>
  <si>
    <t>Notice under Section 5 of the Land Acquisition Act (Chapter 460) declaring intended acquisition of identified land parcels. Part III — Lands. Reference 4-3/18/2019/WS/480 (AQUIS/33), Survey ref 1200/6.</t>
  </si>
  <si>
    <t>m1/raw/2471_10.pdf</t>
  </si>
  <si>
    <t>III කො�ොටස - ශ්‍රී ලංං�ො ප්‍රජාොතාොන්ත්‍රි� සමාොජාවාොදී ජානරජාකො� අති විකො�ෂ ගැැසට් පත්‍රය - 2025.01.08 1A
பகுதி III - இலங்்ககைச் சனநாயகை சசாசலிசக் குடியரசு வர்்த்தமானப் ப்த்திாி்ககை - அதி விசசஷமானது - 2025.01.08
ශ්‍රීශ්‍රී ලංලංංංකාකාාා ප්‍රප්‍රජාජාාාතාතාාාන්න්ත්‍රිත්‍රිකාකා සසමාමාාාජාජාවාවාාාදීදී ජාජානනරරජාජායේයේ�� ගැගැැැසසට්ට් පපත්‍රත්‍රයය
இஇலலங்ங்்க்ககைகைச்ச் சசனனநநாாயயகைகை சசசசாாசசலிலிசசக்க் குகுடிடியயரரசுசு வவர்ர்்த்்த்்த்தமமாானனப்ப் பப்த்்த்்த்ததிதிாாதிதி்க்ககைகை
අඅතිති විවියේයේ��ෂෂ அஅ்த்ததிதி வவதிதிசசசசஷஷமமாானனதுது
අඅංංකාකා 22447711//1100 -- 22002266 ජාජානනවාවාාාරිරි මාමාසස 1122 වාවාැැනිනි සසඳුඳුදාදාාා -- 22002255..0011..1122
22447711//1100 ஆஆம்ம் இஇலலக்க்கைகைம்ம் -- 22002266 ஆஆம்ம் ஆஆண்ண்டுடு சசனனவவாாதிதி மமாா்த்தம்ம் 1122 ஆஆந்ந் ்த்ததிதிகைகை்த்ததிதி ்த்ததிதிஙஙகைகைட்ட்கைகைதிதிழழ்க்கமம
(அரசாங்கை்த்்ததின் அ்ததிகைார்த்துடன் பதிரசுாதிக்கைப்பட்டது)
பபகுகு்த்ததிதி IIIIII -- கைகைாாணணதிதிகைகைள்ள்
கைகைாாணணதிதி கககைகைாாள்ள்வவனனவுவு பபற்ற்்ற்றதிதியய அஅ்ற்றதிதிவவதிதி்த்்த்்த்தல்ல்கைகைள்ள்
கைகைாாணணதிதி எஎடுடு்த்்த்்த்தற்ற் சசட்ட்டடம்ம் ((அஅ்த்்த்்த்ததிதியயாாயயம்ம் 446600)) பக்கை்த்்ததில் மும்கமாழதிகைளதில் பதிரசுாதிக்கைப்பட்ட 5 ஆம் பதிாதிவதின்
பதிரகைடன்த்்க்த இ்த்்தால் இர்த்துச் கசய்கைதிச்றன்.
5 ஆம் பதிாதிவதின் படியான பதிரகைடனம்
சகை. டி. லால் கைாந்்த,
கைம்த்க்தாழதில், கைால்ந்கட வளங்கைள், கைாணதி மற்றும்
எனது இல. : 4-3/18/2019/WS/480. நீர்ப்பாசன அ்கமச்சர்.
கைாணதி அ்கமச்சதின் கு்றதிப்பு இல. : BD/WM/LND/11/
கைம்த்க்தாழதில், கைால்ந்கட வளங்கைள் கைாணதி மற்றும்
AQUIS/33.
நீர்ப்பாசன அ்கமச்சு,
“மதிகைதிகை்த்்தகமதுர”,இல, 1200/6
கைாணதி எடு்த்்தற் சட்ட்த்்ததின் 18 ஆம் பதிாதிவதின் பதிரகைாரம் இரஜமல்வ்த்்க்த வீ்ததி,
கைம்த்க்தாழதில், கைால்ந்கட வளங்கைள், கைாணதி மற்றும் நீர்ப்பாசன ப்த்்தரமுல்்கல,
2025, ்ததிகசம்பா� 19.
அ்கமச்சர் குரகைமசகை க்தான் லால் கைாந்்த ஆகைதிய நான், 2342/57
ஆம் இலக்கை, 2023.07.29 ஆம் ்ததிகை்ததிய இலங்்ககைச் சனநாயகை
EOG 01 - 0113
சசாசலிசக் குடியரசதின் அ்ததிவதிசசட வர்்த்்தமானதியதில் 1A
1A - G46070 - 09 (2026/01) இலங்்ககை அரசாங்கை அச்சு்த் ்ததி்கணக்கைள்த்்ததில் அச்சதிடப்பட்டது.
இவ் அ்ததிவதிச ஷட வர்்த்்தமானதி்கய www.documents.gov.lk எனும் இ்கணய்த்்தள்த்்ததிலிருந்து ப்ததிவதி்றக்கைம் கசய்ய முடியும்.</t>
  </si>
  <si>
    <t>1bb152c4-721c-45b5-8e75-6b1e7c681723</t>
  </si>
  <si>
    <t>2471_11</t>
  </si>
  <si>
    <t>2471/11</t>
  </si>
  <si>
    <t>Title Registration Act, No. 21 of 1998, Section 14 — Commissioner of Title Settlement's decision under Section 14 (Gazette 2471/11)</t>
  </si>
  <si>
    <t>m1/raw/2471_11.pdf</t>
  </si>
  <si>
    <t>8c68a001-2703-48a3-9874-ffed8e3ff30f</t>
  </si>
  <si>
    <t>2471_13</t>
  </si>
  <si>
    <t>2471/13</t>
  </si>
  <si>
    <t>Industrial Disputes Act (Chapter 131), Section 4(1) — Industrial Award (Gazette 2471/13)</t>
  </si>
  <si>
    <t>කාර්මික ආරාවුල් පනත (131 වන අධිකාරිය) - 4(1) වගන්තිය යටතේ ආරාවුල් ප්‍රදානය</t>
  </si>
  <si>
    <t>தொழில் முரண்பாடுகள் சட்டம் (அதிகாரம் 131) - 4(1) பிரிவின் கீழ் தொழில் தீர்ப்பு</t>
  </si>
  <si>
    <t>Industrial Award published under Section 4(1) of the Industrial Disputes Act (Chapter 131), delivered by an Industrial Court arbitrator resolving an industrial dispute between an employer and employee(s). Part I — General.</t>
  </si>
  <si>
    <t>Industrial Disputes Act (Chapter 131)</t>
  </si>
  <si>
    <t>labour</t>
  </si>
  <si>
    <t>m1/raw/2471_13.pdf</t>
  </si>
  <si>
    <t>07b9657e-9d1f-4654-a0d7-2b485c47bf30</t>
  </si>
  <si>
    <t>2471_14</t>
  </si>
  <si>
    <t>2471/14</t>
  </si>
  <si>
    <t>Title Registration Act, No. 21 of 1998, Section 14 — Commissioner of Title Settlement decision (Gazette 2471/14)</t>
  </si>
  <si>
    <t>m1/raw/2471_14.pdf</t>
  </si>
  <si>
    <t>ශ්‍රී ඼ංකා ප්‍රජාාාා්ත්‍රික වමාජාලාදී ජානරජායේ ගැවට් ඳත්‍රය
අති විශ඾඿
අංක 2471/14 - 2026 ජනලාරි මව 13 ලැනි අඟශරුලාදා - 2026.01.13
(රජශේ බ඼යපිට ප්‍රසිද්ධ කරන ඼ී)
III ලැනි ශකොටව - ඉඩම්
ඉඩම් රජයට ගැනීම පිළිබඳ දැන්වීම්
ඉඩම් අත්කර ගැනීශම් පනත (460 ලැනි පරිච්ශේදය) 01. කැබලි අංකය 55
ඉඩයම් නම: ඉශෂයල඼ පිගහ඼ෑල; විව්ාරය: යගලේා;
හිමිකම් කියන අය: එව්. පී. මා඼නී සුනිගහලතී; මුගහ හිමිකම්
7 ලැනි ලග්තතිය යටයේ දැ්තවීම
කියන අය:-; ප්‍රමාණය: යශක්. 0.0159.
ඉශා ව඲ශ්ත ඉඩමට ඳරල඾ාාලයට හිමිකම්, අයිතිලාසිකම්
මයේ අංකය : DIVPG/LND/LA/AQURE/6/26.
යශෝ යලනේ වම්බ්තධකම් කියා සිටින සියලු යදනාම ාම
ඉඩම් අමාා‍ාං඾ යග නු අංකය : 4-3/7/2019/HW/160.
ාම්ත යශෝ ඔවු්තයග්ත ලියවිලිලලි්ත බ඼ය඼ේ අයලලු්ත යශෝ
2026.01.29 දින යඳ. ල. 10.00ට යඳ ගහගශයල඼ ප්‍රායීය ය
මශජාන කටයුේාක් ව඲ශා අල඾‍ ඳශා දැක්යලන ඉඩම
යගහකම් කාර්යා඼යේ දී මා වම්මුඛ විය යුතුයි.
ඳරල඾ාාල ඼බාගැනීමට රජාය අදශව් කරන බැව්, 1964 අංක
28 දරන ඉඩම් අේකර ගැනීයම් (වංය඾ෝධන) ඳනති්ත ාලද, 2026.01.14 දිනට මේයා්ත ඒ ඉඩම වම්බ්තධයය්ත
වංය඾ෝධිා ඳරිදි ඉඩම් අේකර ගැනීයම් ඳනයේ 7 ලැනි ඔවු්තයේ අයිතිලාසිකම්ල඼ ව්ලභාලයේ එකී ඉඩම ඳරල඾ාාලය
ලග්තතියේ (1) ලැනි උඳලග්තතිය යටයේ යමයි්ත දැනුම් දී ඼බා ගැනීම ගැන ල්තදි ඉගහලීමට ඇති කරුණු පිළිබ඲ විව්ාරේ
සිටිමි. ල්තදි මුද඼ ශා ඒ මුද඼ ගණ්ත බැල෕ ශැටිේ මා යලා පිටඳේ
යදකක් වහිා ව෕ ලියවිගහ඼කි්ත දැනුම් දිය යුතුයි.
඼බා ගැනීමට බ඼ායඳ යර ේතු ලන ඉඩයම් විව්ාරය :
ආර්. එම්. එව.් එන්. රාජපක්඿,
ප්‍රායීය ය යගහකම්,
ලයඹ ඳෂායේ, කුරුණෑග඼ දිව්්‍රික්කයේ, යඳ ගහගශයල඼
යඳ ගහගශයල඼.
ප්‍රායීය ය යගහකම් යක ට්සාවයේ, අංක 891, මැද඼ව්ව
කළුගමුල ග්‍රාම නි඼ධාරි යක ට්සාවයේ යඳ ගහලේයේයගදර 2026 ජානලාරි මව 06 ලැනි දින,
ගයමහි පිහිටි වර්යව්යර් ජානරාගහයේ මූලික පිඹුරු අංක 2380 යඳ ගහගශයල඼ ප්‍රායීය ය යගහකම් කාර්යා඼යේ දී ය.
දරන වැ඼ැව්යම් යඳ්තනුම් කර ඇති ඳශා විව්ාර ව඲ශ්ත ඉඩම්
EOG 01 - 0117
කැබගහ඼ :
1A - G 46073 – 13 (2026/01) ශ්‍රී ඼ංකා රජායේ මු‍රණ යදඳාර්ායම්්තතුයව් මු‍රණය කරන ඼දී.
යමම අති විය඾඿ ගැවට් ඳත්‍රය www.documents.gov.lk යලබ් අඩවියය්ත බාගා කෂ ශැක.</t>
  </si>
  <si>
    <t>d7ee50a9-6f23-4e38-9522-6ffd7d93f5f4</t>
  </si>
  <si>
    <t>2471_15</t>
  </si>
  <si>
    <t>2471/15</t>
  </si>
  <si>
    <t>Title Registration Act, No. 21 of 1998, Section 14 — Commissioner of Title Settlement's decision under Section 14 (Gazette 2471/15)</t>
  </si>
  <si>
    <t>m1/raw/2471_15.pdf</t>
  </si>
  <si>
    <t>c166b5d0-5ca2-4726-944a-3a6cc8a528a5</t>
  </si>
  <si>
    <t>2471_16</t>
  </si>
  <si>
    <t>2471/16</t>
  </si>
  <si>
    <t>Land Acquisition Act (Chapter 460), Section 5 - Notice of Intended Acquisition of Land</t>
  </si>
  <si>
    <t>ඉඩම් අත්පත් කරගැනීමේ පනත (460 අධිකාරය), 5 වැනි වගන්තිය යටතේ ඉඩම් අත්පත් කරගැනීමේ අරමුණේ දැන්වීම</t>
  </si>
  <si>
    <t>Notice under Section 5 of the Land Acquisition Act (Chapter 460) declaring intended acquisition of identified land parcels. Gazette Part III - Lands. Reference 4/3/7/2023/HW/82. Published 13 January 2026.</t>
  </si>
  <si>
    <t>m1/raw/2471_16.pdf</t>
  </si>
  <si>
    <t>III ෙකාටස - (cid:636) ලංකා (cid:541)ජාතා(cid:486)(cid:437)ක සමාජවා(cid:463) ජනරජෙ(cid:591) අ(cid:431) (cid:618)ෙශෂ ගැස(cid:376) ප(cid:436)ය - 2025.08.01 1A
பகுதி III - இலங்ைகச் சனநாயக ேசாச(cid:8098)சக் கு(cid:8074)யரசு வர்த்தமானப் பத்திாிைக - அதி விேசஷமான(cid:8080) - 2025.08.01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22447711// 1166 -- 22002266 ජජනනවවාා(cid:604)(cid:604) මමසස 1133 වවැැ(cid:487)(cid:487) අඅඟඟහහ(cid:606)(cid:606)වවාාදදාා -- 22002266..0011..1133
2471/16 ஆம் இலக்கம் - 2026 ஆம் ஆண்(cid:8076) சனவாி மாதம் 13 ஆந் திகதி ெசவ்வாய்க்கிழைம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01. (cid:8080)(cid:8080)ண்ண்(cid:8076)(cid:8076) ‘‘AA’’ –– மமாாரரககஹஹ(cid:8089)(cid:8089)ல்ல்லலேேஹஹனன ததற்ற்ேேபபாாைைததயய
ேேநநாாேேஹஹாான்ன் மமாாரரககஹஹ(cid:8089)(cid:8089)ல்ல்லலேேஹஹனன ேேநநாாேேஹஹாான்ன் அஅப்ப்(cid:8087)(cid:8087)வவாாேேகக
5 ஆம் பிாிவின் ப(cid:8074)யான பிரகடனம் வவத்த்தத -- வவிிஸ்ஸ்ததீீரரணணம்ம்:: 00..00116600 ெெஹஹக்க்டடயயாார்ர்
வடக்கு: கா.சு.ப. 129 இன் (cid:8080)ண்(cid:8076) இல. 203, 30 மற்(cid:8096)ம்
இங்கு கீழ் விபாிக்கப்பட்ட காணியின் பரப்பளவான(cid:8080) 24; கிழக்கு: கா.சு.ப. 129 இன் (cid:8080)ண்(cid:8076) இல. 24, 209 மற்(cid:8096)ம்
ெபா(cid:8080) மக்களின் ேவைலக்காக ேதைவப்ப(cid:8076)கின்ற(cid:8080) என்(cid:8096)ம், 208; ெதற்கு: கா.சு.ப. 129 இன் (cid:8080)ண்(cid:8076) இல. 208 மற்(cid:8096)ம் 204;
ேமற்கு: கா.சு.ப. 129 இன் (cid:8080)ண்(cid:8076) இல. 204 மற்(cid:8096)ம் 203.
அதைன காணி எ(cid:8076)த்தற் சட்டத்தின் நியதிக(cid:8102)க்கு இணங்க
எ(cid:8076)த்(cid:8080)க் ெகாள்ளப்ப(cid:8076)கின்ற(cid:8080) என்(cid:8096)ம், காணி எ(cid:8076)த்தற்
ேக. (cid:8074). லால் காந்த,
சட்டத்தின் 5 ஆம் பிாிவின் கீழ் (1) ஆம் உப பிாிவின் பிரகாரம்
கமத்ெதாழில், கால்நைட வளங்கள்,
கமத்ெதாழில், கால்நைட வளங்கள், காணி மற்(cid:8096)ம் நீா்ப்பாசன
காணி மற்(cid:8096)ம் நீர்ப்பாசன அைமச்சர்.
அைமச்சா் குரகமேக ெதான் லால் காந்த ஆகிய நான், இத்தால்
அறிவிக்கின்ேறன்.
என(cid:8080) இல. : 4-3/7/2023/HW/82.
கமத்ெதாழில், கால்நைட வளங்கள்,
சப்பிரக(cid:8089)வ மாகாணத்தின், ேககாைல மாவட்டத்தில்
காணி மற்(cid:8096)ம் நீர்ப்பாசன அைமச்சு,
ரம்(cid:8087)க்கைன பிரேதச ெசயலாளர் பிாிவில், இல. 3,
“மிஹிகத ெம(cid:8080)ர”, காணிச் ெசயலகம்,
நத்தம்(cid:8087)ர கிராம அ(cid:8100)வலர் பிாிவில் அைமந்(cid:8080)ள்ள நத்தம்(cid:8087)ர
1200/6, இரஜமல்வத்ைத (cid:8106)தி,
கிராமத்தி(cid:8100)ள்ள நில அளைவயாளா் நாயகத்தினால்
பத்தர(cid:8089)ல்ைல,
தயாாிக்கப்பட்ட சுவட்(cid:8076) இல. KE/RMB/2023/427 மற்(cid:8096)ம்
2025, ெசத்ெதம்பர் 11.
2024.09.27 ஆந் திகதி விபாிக்கப்பட்(cid:8076)ள்ள 0.0160 ெஹக்டயார்
விஸ்தீரண(cid:8089)ைடய கானித்(cid:8080)ண்(cid:8076) ‘ஏ’ ஐ விஸ்தாிப்பதற்காக
வைரபடத்தின் எல்ைலகள் பின்வ(cid:8094)மா(cid:8096): EOG 01-0118
1A - G46074 - 08 (2026/01)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</si>
  <si>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c61815d8-ae97-4fcc-ada3-78dd7e703948</t>
  </si>
  <si>
    <t>2471_17</t>
  </si>
  <si>
    <t>2471/17</t>
  </si>
  <si>
    <t>Title Registration Act, No. 21 of 1998, Section 14 — Commissioner of Title Settlement's decision under Section 14 (Gazette 2471/17)</t>
  </si>
  <si>
    <t>m1/raw/2471_17.pdf</t>
  </si>
  <si>
    <t>45e146b4-57d3-4237-a327-4470591950f2</t>
  </si>
  <si>
    <t>2471_18</t>
  </si>
  <si>
    <t>2471/18</t>
  </si>
  <si>
    <t>Title Registration Act, No. 21 of 1998, Section 14 — Commissioner of Title Settlement's decision under Section 14 (Gazette 2471/18)</t>
  </si>
  <si>
    <t>m1/raw/2471_18.pdf</t>
  </si>
  <si>
    <t>3a8720d8-8121-43da-83dd-7a921ab900f4</t>
  </si>
  <si>
    <t>2471_19</t>
  </si>
  <si>
    <t>2471/19</t>
  </si>
  <si>
    <t>Title Registration Act, No. 21 of 1998, Section 14 — Commissioner of Title Settlement decision (Gazette 2471/19)</t>
  </si>
  <si>
    <t>Commissioner of Title Settlement's decision under Section 14 of the Title Registration Act No. 21 of 1998. Part III — Lands. Land Parcel No. 1 of Block 6 in Cadastral Map No. 620344 at Damkawa village, Rathnapura District, Sabaragamuwa Province. References Gazette 2187/06 of 04 August 2020.</t>
  </si>
  <si>
    <t>m1/raw/2471_19.pdf</t>
  </si>
  <si>
    <t>ශ්‍රී ඼ංකා ප්‍රජාාාා්ත්‍රික වමාජාලාදී ජානරජායේ ගැවට් පත්‍රය
The Gazette of the Democratic Socialist Republic of Sri Lanka
අති විශෙෂ EXTRAORDINARY
අංක 2471/19 - 2026 ජනවාරි මස 13 වැනි අඟහරුවාදා - 2026.01.13
No. 2471/19 – TUESDAY, JANUARY 13,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 : 28 of Block 9,
contained in the Cadastral Map No. 620344, situated in the Village of Delgamuwa within the Grama Niladhari Division of No. 155B -
Delgamuwa in the Divisional Secretary's Division of Kuruvita, in the District of Rathnapura, in the Province of Sabaragamuwa, referred
to in Notice No. 62/0605 calling for claims to land parcels which was duly published in the Gazette No. 2187/06 of 04th August, 2020
in terms of Section 12 of the Registration of Title Act, No.21 of 1998.
P.C.D.Sigera,
Commissioner General of Land Title Settlement.
Land Title Settlement Department,
No. 1200/6, “Mihikatha Medura”,
Rajamalwatta Road,
Battaramulla.
24th November, 2025
1A - G 046078 - 03 (01/2026)
N.B.– This Gazette Extraordinary can be downloaded from www.documents.gov.lk
2 A III යකොටව - ශ්‍රී ඼ංකා ප්‍රජාාාා්ත්‍රික වමාජාලාදී ජානරජායේ ි ව ශෙය඾඿ ගැවට් පත්‍රය - 2026.01.13
Part III – GAZETTE EXTRA ORDINARY OF THE DEMOCRATIC SOCIALIST REPUBLIC OF SRI LANKA – 13.01.2026
SCHEDULE
Particulars Particulars
Sheet Class and regarding if
No.and National Extent Nature Mortgages subject
Parcel Extent Full Name/s of Owner/s Identity Owned of Encumbrances to any
No. and Address Card No. Title pending form of
Adjudication special or
and personal
Injunction law
(Hectare)
1:28 0.0267 Delgamuva Village Suhada Sansadaya Full 1st Class With the right ලි.ප.ිං
Dalada Mawatha, Delgamuva, Kuruvita to access with වබර/කුරු/
servitude of ව්.වං/2011/03
parcel No. 27
EOG 01 - 0122
PRINTED AT THE DEPARTMENT OF GOVERNMENT PRINTING, SRI LANKA.</t>
  </si>
  <si>
    <t>7894ea8b-7d9e-4955-a16c-3d3d855291bd</t>
  </si>
  <si>
    <t>2471_20</t>
  </si>
  <si>
    <t>2471/20</t>
  </si>
  <si>
    <t>Title Registration Act, No. 21 of 1998, Section 14 — Commissioner of Title Settlement's decision under Section 14 (Gazette 2471/20)</t>
  </si>
  <si>
    <t>m1/raw/2471_20.pdf</t>
  </si>
  <si>
    <t>996d9adc-7372-4515-b1e5-9eb5360ea75e</t>
  </si>
  <si>
    <t>2471_21</t>
  </si>
  <si>
    <t>2471/21</t>
  </si>
  <si>
    <t>Title Registration Act, No. 21 of 1998, Section 14 — Commissioner of Title Settlement's decision under Section 14 (Gazette 2471/21)</t>
  </si>
  <si>
    <t>m1/raw/2471_21.pdf</t>
  </si>
  <si>
    <t>69903462-b122-4f33-9f16-fa743370adfa</t>
  </si>
  <si>
    <t>2471_22</t>
  </si>
  <si>
    <t>2471/22</t>
  </si>
  <si>
    <t>Title Registration Act, No. 21 of 1998, Section 14 — Commissioner of Title Settlement's decision under Section 14 (Gazette 2471/22)</t>
  </si>
  <si>
    <t>m1/raw/2471_22.pdf</t>
  </si>
  <si>
    <t>9e6f643c-8b55-44cb-b140-5bbef70fbf94</t>
  </si>
  <si>
    <t>2471_23</t>
  </si>
  <si>
    <t>2471/23</t>
  </si>
  <si>
    <t>Provincial Councils Act, No. 42 of 1987 — Appointment under Section 32(1) (Gazette 2471/23)</t>
  </si>
  <si>
    <t>Appointment notice published under Section 32(1) of the Provincial Councils Act No. 42 of 1987. Part IV(A) — Provincial Councils.</t>
  </si>
  <si>
    <t>m1/raw/2471_23.pdf</t>
  </si>
  <si>
    <t>Y%S ,xld m%cd;dka;%sl iudcjd§ ckrcfha .eiÜ m;%h
w;s úfYI
,yq;ifr; rdehaf Nrhryprf; FbauR th;j;jkhdg; gj;jphpif
mjp tpNr\khdJ
අංඅංංංකක 22447711//2233 -- 22002266 ජජනනවාවාාාරිරි මමසස 1133 වාවාැැනිනි අංඅංඟඟහහරුරුවාවාාාදාදාාා -- 22002266..0011..1133
2471/23 ஆம் இலக்கம் - 2026 ஆம் ஆண்டு சனவரிி மாரிதம் 13 ஆந் திகதி செசவ்வரிய்க்கிழமைமா
(murhq;fj;jpd; mjpfhuj;Jld; gpuRupf;fg;gl;lJ)
gFjp IV(M) - cs;~uhl;rp
உஉள்ள்ளூளூர்ர் அஅததிிககரிரிரர சசமைமைைைககள்ள் தேதேததர்ர்ததல்ல்ககள்ள் ககட்ட்டடமைமைைைச்ச் சசட்ட்டட அஅறிறிிிவவிித்த்ததல்ல்ககள்ள்
((226622 ஆஆம்ம் அஅத்த்ததிியாயாரிரியாயாம்ம்)) உஉள்ள்ளூளூர்ர் அஅததிிககரிரிரர சசமைமைைைககள்ள் தேதேததர்ர்ததல்ல்ககள்ள் ககட்ட்டடமைமைைைச்ச் சசட்ட்டடத்த்ததிின்ன் 6666அஅ((11))((அஅ)) எஎன்ன்னுனும்ம்
ைைிிரிரிிிவவிின்ன் ககீீழ்ழ் ைைண்ண்டுடுவவஸ்ஸ்நுநுவவரர ைைிிரரதேதேததசச சசமைமைைை உஉறுறுப்ப்ைைிினனர்ர் ஒஒருருவவரிரிிின்ன் ைைததவவிியாயாிிலலரிரினன செசெவவற்ற்றிறிிிடடத்த்மைமைதத நிநிிிரரப்ப்புபுததல்ல்
ைைண்ண்டுடுவவஸ்ஸ்நுநுவவரர ைைிிரரதேதேததசச சசமைமைைையாயாிின்ன் உஉறுறுப்ப்ைைிினனர்ர் ஒஒருருவவரிரிிின்ன் ைைததவவிி தேதேககட்ட்டுடு வவிிலலககிியாயாமைமைமாமா ககரிரிரரணணமாமாரிரிகக செசெவவற்ற்றிறிிிடடமாமாரிரியாயாிிருருக்க்ககிின்ன்றிறிததரிரிததலலரிரிலுலும்ம்;;
தேதேமாமாற்ற்குகுறிறிிித்த்தத ககட்ட்டடமைமைைைச்ச் சசட்ட்டடத்த்ததிின்ன் 6666அஅ((11))((அஅ)) ஆஆம்ம் ைைிிரிரிிிவவிின்ன் ககீீழ்ழ்,, ைைண்ண்டுடுவவஸ்ஸ்நுநுவவரர ைைிிரரதேதேததசச சசமைமைைையாயாிின்ன் இஇலல.. 0099 --
ைைண்ண்டடரிரிரரசெசெககரிரிஸ்ஸ்வவத்த்தத வவட்ட்டடரிரிரரத்த்ததிிற்ற்குகு செசெததரிரிிிவுவு செசெசசய்ய்யாயாப்ப்ைைட்ட்டட சசிிட்ட்டடரிரி தூதூரரயாயாலலரிரிதேதேகக செசெைைதுதும்ம் மாமாதுதுசசங்ங்கக தேதேசசரிரிமாமாசசிிரிரிிி எஎன்ன்ைைவவர்ர் அஅங்ங்ககம்ம்
வவககிிக்க்ககிின்ன்றிறி தேதேததசசிியாயா மாமாக்க்ககள்ள் சசக்க்ததிி எஎன்ன்றிறி அஅங்ங்ககீீககரிரிிிக்க்ககப்ப்ைைட்ட்டட அஅரரசசிியாயால்ல் ககட்ட்சசிியாயாிின்ன் செசெசசயாயாலலரிரிைைர்ர் முமுப்ப்ைைதுது ((3300)) நிநிரிரிட்ட் ககரிரிலலக்க்செசெககடுடுவுவுக்க்குகுள்ள்
உஉள்ள்ளூளூர்ர் அஅததிிககரிரிரர சசமைமைைைககள்ள் தேதேததர்ர்ததல்ல்ககள்ள் ககட்ட்டடமைமைைைச்ச் சசட்ட்டடத்த்ததிின்ன் ((226622 ஆஆம்ம் அஅத்த்ததிியாயாரிரியாயாம்ம்)) 99 ஆஆம்ம் ைைிிரிரிிிவவிின்ன் ககீீழ்ழ் ததமைமைககமைமைமாமாயுயுமைமைடடயாயா
தேதேவவட்ட்ைைரிரிைைசெசெரரரிரிருருவவரரரிரிகக,, உஉறுறுப்ப்ைைிினனசெசெரரரிரிருருவவரரரிரிகக தேதேததர்ர்ந்ந்செசெததடுடுக்க்ககப்ப்ைைட்ட்டடவவசெசெரரனன செசெவவைைிிப்ப்ைைடுடுத்த்ததப்ப்ைைடட தேதேவவண்ண்டிடியாயாவவருரும்ம் அஅக்க்ககட்ட்சசிிமைமையாயாச்ச்
தேதேசசர்ர்ந்ந்ததவவருருமாமாரிரினன ைைண்ண்டுடுவவஸ்ஸ்நுநுவவரர ைைிிரரதேதேததசச சசமைமைைை இஇலல.. 0099 -- ைைண்ண்டடரிரிரரசெசெககரிரிஸ்ஸ்வவத்த்தத வவட்ட்டடரிரிரரத்த்ததிின்ன் உஉறுறுப்ப்ைைிினனர்ர் செசெததரிரிடடர்ர்ைைரிரிகக
ததீீர்ர்மாமாரிரினனிிக்க்குகுமாமாரிரிறுறு எஎன்ன்னனரிரில்ல் ைைணணிிக்க்ககப்ப்ைைட்ட்டுடுள்ள்ைைரிரிரரரிரிததலலரிரிலுலும்ம் ;;
தேதேமாமாதேதேலல கூகூறிறிப்ப்ைைட்ட்டட அஅங்ங்ககீீககரிரிிிக்க்ககப்ப்ைைட்ட்டட அஅரரசசிியாயால்ல் ககட்ட்சசிியாயாிின்ன் செசெசசயாயாலலரிரிைைரிரிிினனரிரில்ல் அஅவ்வ்செசெவவற்ற்றிறிிிடடத்த்மைமைதத நிநிிிரரப்ப்புபுவவததற்ற்ககரிரிகக
மாமால்ல்லலவவ ஆஆரரச்ச்சசிிலலரிரிதேதேகக மாமாஞ்ஞ்ஜுஜுுுலல ைைிிரரசசன்ன்னன மாமால்ல்லலவவ ஆஆரரச்ச்சசிி எஎன்ன்ைைவவமைமைரரப்ப் செசெைையாயார்ர் குகுறிறிிித்த்துது நிநிிியாயாமாமாிிக்க்குகும்ம் ததமாமாதுது முமுடிடிவவிிமைமைனன
அஅறிறிிிவவிித்த்துதுள்ள்ைைரிரிரரரிரிததலலரிரிலுலும்ம் ;;
ைை ண்ண்டுடுவவஸ்ஸ்நுநுவவரர ைைிிரரதேதேததசச சசமைமைைையாயாிின்ன் செசெததரிரிிிவவத்த்ததரிரிட்ட்சசிி அஅலுலுவவலலரரரிரினன ரரத்த்நிநிரிரியாயாக்க்கக முமுததிியாயான்ன்தேதேசசலலரிரிகக ஹஹதேதேரரந்ந்ததிிரர ைைண்ண்டடரிரிரர ரரத்த்நிநிரிரியாயாக்க்கக
ஆஆககிியாயா நிநிரிரின்ன்,, உஉள்ள்ளூளூர்ர் அஅததிிககரிரிரர சசமைமைைைககள்ள் தேதேததர்ர்ததல்ல்ககள்ள் ககட்ட்டடமைமைைைச்ச் சசட்ட்டடத்த்ததிின்ன் ((226622 ஆஆம்ம் அஅத்த்ததிியாயாரிரியாயாமாமாரிரினன)) 6666அஅ((11))((அஅ)) எஎன்ன்னுனும்ம்
ைைிிரிரிிிவவிின்ன் நிநிிியாயாததிிககைைிின்ன்ைைடிடி செசெசசயாயாற்ற்ைைட்ட்டுடு மாமால்ல்லலவவ ஆஆரரச்ச்சசிிலலரிரிதேதேகக மாமாஞ்ஞ்ஜுஜுுுலல ைைிிரரசசன்ன்னன மாமால்ல்லலவவ ஆஆரரச்ச்சசிி எஎன்ன்ைைவவர்ர் ைைண்ண்டுடுவவஸ்ஸ்நுநுவவரர
ைைிிரரதேதேததசச சசமைமைைை இஇலல.. 0099 -- ைைண்ண்டடரிரிரரசெசெககரிரிஸ்ஸ்வவத்த்தத வவட்ட்டடரிரிரரத்த்ததிின்ன் உஉறுறுப்ப்ைைிினனர்ர் ஒஒருருவவரரரிரிககத்த் தேதேததர்ர்ந்ந்செசெததடுடுக்க்ககப்ப்ைைட்ட்டுடுள்ள்ைைததரிரிகக இஇத்த்ததரிரில்ல்
செசெவவைைிிப்ப்ைைடுடுத்த்துதுககிின்ன்தேதேறிறின்ன்..
ஆஆர்ர்.. எஎம்ம்.. எஎச்ச்.. பீபீ.. ரரத்த்நிநிரிரியாயாக்க்கக,,
செசெததரிரிிிவவத்த்ததரிரிட்ட்சசிி அஅலுலுவவலலர்ர் ,,
ைைண்ண்டுடுவவஸ்ஸ்நுநுவவரர ைைிிரரதேதேததசச சசமைமைைை..
மாமாரிரிவவட்ட்டடத்த் தேதேததர்ர்ததல்ல்ககள்ள் அஅலுலுவவலலககம்ம்,,
குகுருருநிநிரிரிககல்ல்,,
22002266,, சசனனவவரிரிிி 1122 ஆஆம்ம் ததிிககததிி..
EEOOGG 0011 -- 00112266
1A - PG 7467 — 08 (2025/12) ,yq;if murhq;f mr;Rj; jpizf;fsj;jpw; gjpg;gpf;fg;ngw;wJ.
,t; mjptpNrl tu;j;jkhdpia www.documents.gov.lk vDk; ,izaj;jsj;jpypUe;J gjptpwf;fk; nra;a KbAk;.</t>
  </si>
  <si>
    <t>247e61a6-50d9-4de6-a6aa-f9b9ed51536d</t>
  </si>
  <si>
    <t>2471_24</t>
  </si>
  <si>
    <t>2471/24</t>
  </si>
  <si>
    <t>Elections notice (Gazette 2471/24)</t>
  </si>
  <si>
    <t>මැතිවරණ කොමිෂන් සභා දැන්වීම</t>
  </si>
  <si>
    <t>தேர்தல்கள் ஆணைக்குழு அறிவித்தல்</t>
  </si>
  <si>
    <t>Notice published by the Election Commission of Sri Lanka under elections legislation (Parliamentary Elections Act, Provincial Councils Elections Act or related).</t>
  </si>
  <si>
    <t>m1/raw/2471_24.pdf</t>
  </si>
  <si>
    <t>0d6680c3-b306-4f75-ae48-e30d4eeb8eb9</t>
  </si>
  <si>
    <t>2471_25</t>
  </si>
  <si>
    <t>2471/25</t>
  </si>
  <si>
    <t>Land Acquisition Act (Chapter 460), Section 5/7 — Land Acquisition Notice (Gazette 2471/25)</t>
  </si>
  <si>
    <t>m1/raw/2471_25.pdf</t>
  </si>
  <si>
    <t>(cid:636)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2471/25 - 2026 ජනවා(cid:604) මස 13 වැ(cid:487) අඟහ(cid:606)වාදා - 2026.01.13
2471/25 ஆ(cid:8123) இல(cid:8112)க(cid:8123) - 2026 ஆ(cid:8123) ஆ(cid:8118)(cid:8076) சனவாி மாத(cid:8123) 13 ஆ(cid:8120) திகதி ெச(cid:8130)வா(cid:8124)(cid:8112)கிழைம
(அரசா(cid:8113)க(cid:8119)தி(cid:8121) அதிகார(cid:8119)(cid:8080)ட(cid:8121) பிர(cid:8070)ாி(cid:8112)க(cid:8122)ப(cid:8117)ட(cid:8080))
ப(cid:8065)தி III - காணிக(cid:8128)
ேமேல(cid:8092)(cid:8128)ள ச(cid:8117)ட(cid:8119)தி(cid:8121) 14ஆ(cid:8123) பிாிவி(cid:8121) நியதிகளி(cid:8121) ப(cid:8074) அரசா(cid:8113)க
உாி(cid:8119)(cid:8080)(cid:8122) பதி(cid:8107) ெச(cid:8124)த(cid:8127)
வ(cid:8125)(cid:8119)தமானியி(cid:8127) அ(cid:8119)தைகய தீ(cid:8125)மான(cid:8119)ைத ெவளியி(cid:8076)வத(cid:8126)(cid:8065)(cid:8123)
நடவ(cid:8074)(cid:8112)ைக எ(cid:8076)(cid:8112)க(cid:8122)ப(cid:8076)(cid:8123).
காணி(cid:8119)(cid:8080)(cid:8118)(cid:8076)க(cid:8102)(cid:8112)கான உாிைம(cid:8112) ேகாாி(cid:8112)ைககைள(cid:8112)
ேகா(cid:8094)கி(cid:8121)ற அறிவி(cid:8119)த(cid:8127) ேமேல (cid:8065)றி(cid:8122)(cid:8086)(cid:8076) ெச(cid:8124)ய(cid:8122)ப(cid:8117)ட 320392 ஆ(cid:8123) இல(cid:8112)க நில அள(cid:8106)(cid:8076)
சா(cid:8125)(cid:8120)த பட(cid:8123) இையபான கிராம அ(cid:8100)வலாி(cid:8121) அ(cid:8100)வலக(cid:8119)தி(cid:8127),
1998 ஆ(cid:8123) ஆ(cid:8118)(cid:8074)(cid:8121) 21 ஆ(cid:8123) இல(cid:8112)க உாி(cid:8119)(cid:8080)(cid:8122) பதி(cid:8107)(cid:8114) ச(cid:8117)ட(cid:8123) பிரேதச ெசயலக(cid:8119)தி(cid:8127), மாவ(cid:8117)ட நில அளைவ அ(cid:8100)வலக(cid:8119)தி(cid:8127),
உாி(cid:8119)(cid:8080) நி(cid:8094)ணய ஆைணயாள(cid:8125) அ(cid:8100)வலக(cid:8119)தி(cid:8127), அ(cid:8127)ல(cid:8080) நில
(பிாி(cid:8107) 12)
அளைவயாள(cid:8125) தைலைமயதிபதியி(cid:8121) அ(cid:8100)வலக(cid:8119)தி(cid:8127) (cid:8082)னி(cid:8119)தாராய(cid:8122)
அறிவி(cid:8119)த(cid:8127) இல.: 32/1112 க(cid:8118)(cid:8074) மாவ(cid:8117)ட(cid:8123)
படலா(cid:8123).
ம(cid:8119)திய மாகாண(cid:8119)தி(cid:8121) க(cid:8118)(cid:8074) மாவ(cid:8117)ட(cid:8119)தி(cid:8127), க(cid:8118)(cid:8074) கடவ(cid:8119) சதர ேமலதிக தகவ(cid:8127), கிராம அ(cid:8100)வலாிடமி(cid:8094)(cid:8120)(cid:8080), அ(cid:8127)ல(cid:8080) காணி உாி(cid:8119)(cid:8080)
ம(cid:8126)(cid:8096)(cid:8123) க(cid:8113)கவட ேகாரேல பிரேதச ெசயலாள(cid:8125) பிாிவி(cid:8127), இல. 275 -
நி(cid:8094)ணய ஆைணயாளாிடமி(cid:8094)(cid:8120)(cid:8080) ெப(cid:8126)(cid:8096)(cid:8112)ெகா(cid:8128)ள(cid:8122)படலா(cid:8123).
ெத(cid:8121)ேன(cid:8065)(cid:8123)ர கிராம அ(cid:8100)வல(cid:8125) பிாிவி(cid:8127) அைம(cid:8120)(cid:8080)(cid:8128)ள(cid:8080)(cid:8123),
ெத(cid:8121)ேன(cid:8065)(cid:8123)ர அ(cid:8127)ல(cid:8080) அத(cid:8121) ஏேத(cid:8084)(cid:8123) பாக(cid:8123) (பிாி(cid:8107) 03) தா(cid:8128) இல.
02 ெதாட(cid:8125)பான(cid:8080)(cid:8123), 1998ஆ(cid:8123) ஆ(cid:8118)(cid:8074)(cid:8121) 21ஆ(cid:8123) இல(cid:8112)க உாி(cid:8119)(cid:8080)(cid:8122)
(cid:8086). சீ. (cid:8075). சிேகரா,
பதி(cid:8107)(cid:8114) ச(cid:8117)ட(cid:8119)தி(cid:8121) 11ஆ(cid:8123) பிாிவி(cid:8121) கீ(cid:8129) நில அளைவயாள(cid:8125)
காணி உாி(cid:8119)(cid:8080) நி(cid:8125)ணய ஆைணயாள(cid:8125)
தைலைமயதிபதியினா(cid:8127) தயாாி(cid:8112)க(cid:8122)ப(cid:8117)ட 320392 ஆ(cid:8123) இல(cid:8112)க நில
நாயக(cid:8123).
அள(cid:8106)(cid:8076) சா(cid:8125)(cid:8120)த பட(cid:8119)தி(cid:8127) பிரதிப(cid:8098)(cid:8112)க(cid:8122)ப(cid:8117)ட(cid:8080)மான ஒ(cid:8094) காணி(cid:8119)
(cid:8080)(cid:8118)(cid:8076)(cid:8112)கான அ(cid:8127)ல(cid:8080) அத(cid:8126)(cid:8065) ேம(cid:8126)ப(cid:8117)ட காணி(cid:8119)(cid:8080)(cid:8118)(cid:8076)க(cid:8102)(cid:8112)கான
ெசா(cid:8119)தா(cid:8118)ைம(cid:8112)(cid:8065) அ(cid:8127)ல(cid:8080) உைடைம(cid:8112)(cid:8065) உாிைம(cid:8112) ேகாாி(cid:8112)ைக
(cid:8092)(cid:8128)ள அ(cid:8127)ல(cid:8080) அ(cid:8112)கைற(cid:8092)(cid:8128)ள எவேர(cid:8084)மா(cid:8128) 2026.01.02 ஆ(cid:8120) காணி உாி(cid:8119)(cid:8080) நி(cid:8125)ணய(cid:8119) திைண(cid:8112)கள(cid:8123),
திகதி(cid:8112)(cid:8065) (cid:8089)(cid:8121)ன(cid:8125) கீேழ ைகெயா(cid:8122)பமி(cid:8117)(cid:8076)(cid:8128)ளவ(cid:8094)(cid:8112)(cid:8065)(cid:8119) தம(cid:8080) இல. 1200/6, “மிஹிகத ெம(cid:8080)ர”,
உாிைம(cid:8112)ேகாாி(cid:8112)ைகைய(cid:8114) சம(cid:8125)(cid:8122)பி(cid:8119)த(cid:8127) ேவ(cid:8118)(cid:8076)ெம(cid:8121)(cid:8096) இ(cid:8119)தா(cid:8127) இரஜம(cid:8127)வ(cid:8119)த (cid:8106)தி,
அறிவி(cid:8112)க(cid:8122)ப(cid:8076)கி(cid:8121)ற(cid:8080). ேம(cid:8126)(cid:8066)ற(cid:8122)ப(cid:8117)ட திகதி(cid:8112)(cid:8065) (cid:8089)(cid:8121)ன(cid:8125) ஏேத(cid:8084)(cid:8123) ப(cid:8119)தர(cid:8089)(cid:8127)ைல
உாிைம(cid:8112) ேகாாி(cid:8112)ைகைய(cid:8114) சம(cid:8125)(cid:8122)பி(cid:8112)க(cid:8119) தவ(cid:8096)கி(cid:8121)ற ஏேத(cid:8084)(cid:8123) 2025 ஆ(cid:8123) ஆ(cid:8118)(cid:8076) திெச(cid:8123)ப(cid:8125) மாத(cid:8123) 02 ஆ(cid:8123) திகதி.
ச(cid:8120)த(cid:8125)(cid:8122)ப(cid:8119)தி(cid:8127), காணி(cid:8112)கான உாி(cid:8119)ைத(cid:8119) தீ(cid:8125)மானி(cid:8122)பத(cid:8126)(cid:8065)
ம(cid:8096)க(cid:8117)சியி(cid:8127)லாத விசாரைணைய நடா(cid:8119)(cid:8080)வத(cid:8126)(cid:8065)(cid:8123), அத(cid:8126)கிண(cid:8113)க EOG 01 - 0128/ 1
1A - G 46083 - 03 (2026 / 01)
(cid:8089). (cid:8065). - இ(cid:8130) அதிவிேஷட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2026.01.13
ப(cid:8065)தி III – இல(cid:8113)ைக(cid:8114) சனநாயக ேசாச(cid:8098)ச(cid:8112) (cid:8065)(cid:8074)யர(cid:8070) வ(cid:8125)(cid:8119)தமான(cid:8122) ப(cid:8119)திாிைக - அதி விேசஷமான(cid:8080) – 2026.01.13
காணி(cid:8119)(cid:8080)(cid:8118)(cid:8076)க(cid:8102)(cid:8112)கான உாிைம(cid:8112) ேகாாி(cid:8112)ைககைள(cid:8112) காணி(cid:8119)(cid:8080)(cid:8118)(cid:8076)க(cid:8102)(cid:8112)கான உாிைம(cid:8112) ேகாாி(cid:8112)ைககைள(cid:8112)
ேகா(cid:8094)கி(cid:8121)ற அறிவி(cid:8119)த(cid:8127) ேகா(cid:8094)கி(cid:8121)ற அறிவி(cid:8119)த(cid:8127)
1998 ஆ(cid:8123) ஆ(cid:8118)(cid:8074)(cid:8121) 21 ஆ(cid:8123) இல(cid:8112)க உாி(cid:8119)(cid:8080)(cid:8122) பதி(cid:8107)(cid:8114) ச(cid:8117)ட(cid:8123) 1998 ஆ(cid:8123) ஆ(cid:8118)(cid:8074)(cid:8121) 21 ஆ(cid:8123) இல(cid:8112)க உாி(cid:8119)(cid:8080)(cid:8122) பதி(cid:8107)(cid:8114) ச(cid:8117)ட(cid:8123)
(பிாி(cid:8107) 12) (பிாி(cid:8107) 12)
அறிவி(cid:8119)த(cid:8127) இல.: 42/1224 (cid:8065)(cid:8094)நாக(cid:8127) மாவ(cid:8117)ட(cid:8123) அறிவி(cid:8119)த(cid:8127) இல.: 42/1225 (cid:8065)(cid:8094)நாக(cid:8127) மாவ(cid:8117)ட(cid:8123)
வட ேம(cid:8127) மாகாண(cid:8119)தி(cid:8121) (cid:8065)(cid:8094)நாக(cid:8127) மாவ(cid:8117)ட(cid:8119)தி(cid:8127), ப(cid:8121)னல வட ேம(cid:8127) மாகாண(cid:8119)தி(cid:8121) (cid:8065)(cid:8094)நாக(cid:8127) மாவ(cid:8117)ட(cid:8119)தி(cid:8127), ப(cid:8121)னல
பிரேதச ெசயலாள(cid:8125) பிாிவி(cid:8127), இல. 1550 - படெப(cid:8119)த கிராம பிரேதச ெசயலாள(cid:8125) பிாிவி(cid:8127), இல. 1581 - பலவல கிராம அ(cid:8100)வல(cid:8125)
அ(cid:8100)வல(cid:8125) பிாிவி(cid:8127) அைம(cid:8120)(cid:8080)(cid:8128)ள(cid:8080)(cid:8123), படெப(cid:8119)த அ(cid:8127)ல(cid:8080) அத(cid:8121) பிாிவி(cid:8127) அைம(cid:8120)(cid:8080)(cid:8128)ள(cid:8080)(cid:8123), பலவல அ(cid:8127)ல(cid:8080) அத(cid:8121) ஏேத(cid:8084)(cid:8123) பாக(cid:8123)
ஏேத(cid:8084)(cid:8123) பாக(cid:8123) (பிாி(cid:8107) 08) தா(cid:8128) இல. 01 ெதாட(cid:8125)பான(cid:8080)(cid:8123), (பிாி(cid:8107) 05) தா(cid:8128) இல. 01 ெதாட(cid:8125)பான(cid:8080)(cid:8123), 1998ஆ(cid:8123) ஆ(cid:8118)(cid:8074)(cid:8121)
1998ஆ(cid:8123) ஆ(cid:8118)(cid:8074)(cid:8121) 21ஆ(cid:8123) இல(cid:8112)க உாி(cid:8119)(cid:8080)(cid:8122) பதி(cid:8107)(cid:8114) ச(cid:8117)ட(cid:8119)தி(cid:8121) 21ஆ(cid:8123) இல(cid:8112)க உாி(cid:8119)(cid:8080)(cid:8122) பதி(cid:8107)(cid:8114) ச(cid:8117)ட(cid:8119)தி(cid:8121) 11ஆ(cid:8123) பிாிவி(cid:8121) கீ(cid:8129)
11ஆ(cid:8123) பிாிவி(cid:8121) கீ(cid:8129) நில அளைவயாள(cid:8125) தைலைமயதிபதியினா(cid:8127) நில அளைவயாள(cid:8125) தைலைமயதிபதியினா(cid:8127) தயாாி(cid:8112)க(cid:8122)ப(cid:8117)ட
தயாாி(cid:8112)க(cid:8122)ப(cid:8117)ட 420585 ஆ(cid:8123) இல(cid:8112)க நில அள(cid:8106)(cid:8076) சா(cid:8125)(cid:8120)த 420590 ஆ(cid:8123) இல(cid:8112)க நில அள(cid:8106)(cid:8076) சா(cid:8125)(cid:8120)த பட(cid:8119)தி(cid:8127)
பட(cid:8119)தி(cid:8127) பிரதிப(cid:8098)(cid:8112)க(cid:8122)ப(cid:8117)ட(cid:8080)மான ஒ(cid:8094) காணி(cid:8119)(cid:8080)(cid:8118)(cid:8076)(cid:8112)கான பிரதிப(cid:8098)(cid:8112)க(cid:8122)ப(cid:8117)ட(cid:8080)மான ஒ(cid:8094) காணி(cid:8119)(cid:8080)(cid:8118)(cid:8076)(cid:8112)கான அ(cid:8127)ல(cid:8080)
அ(cid:8127)ல(cid:8080) அத(cid:8126)(cid:8065) ேம(cid:8126)ப(cid:8117)ட காணி(cid:8119)(cid:8080)(cid:8118)(cid:8076)க(cid:8102)(cid:8112)கான ெசா(cid:8119)தா(cid:8118) அத(cid:8126)(cid:8065) ேம(cid:8126)ப(cid:8117)ட காணி(cid:8119)(cid:8080)(cid:8118)(cid:8076)க(cid:8102)(cid:8112)கான ெசா(cid:8119)தா(cid:8118)ைம(cid:8112)(cid:8065)
ைம(cid:8112)(cid:8065) அ(cid:8127)ல(cid:8080) உைடைம(cid:8112)(cid:8065) உாிைம(cid:8112) ேகாாி(cid:8112)ைக(cid:8092)(cid:8128)ள அ(cid:8127)ல(cid:8080) அ(cid:8127)ல(cid:8080) உைடைம(cid:8112)(cid:8065) உாிைம(cid:8112) ேகாாி(cid:8112)ைக(cid:8092)(cid:8128)ள அ(cid:8127)ல(cid:8080)
அ(cid:8112)கைற(cid:8092)(cid:8128)ள எவேர(cid:8084)மா(cid:8128) 2026.01.02 ஆ(cid:8120) திகதி(cid:8112)(cid:8065) (cid:8089)(cid:8121)ன(cid:8125) அ(cid:8112)கைற(cid:8092)(cid:8128)ள எவேர(cid:8084)மா(cid:8128) 2026.01.02 ஆ(cid:8120) திகதி(cid:8112)(cid:8065) (cid:8089)(cid:8121)ன(cid:8125)
கீேழ ைகெயா(cid:8122)பமி(cid:8117)(cid:8076)(cid:8128)ளவ(cid:8094)(cid:8112)(cid:8065)(cid:8119) தம(cid:8080) உாிைம(cid:8112)ேகாாி(cid:8112) கீேழ ைகெயா(cid:8122)பமி(cid:8117)(cid:8076)(cid:8128)ளவ(cid:8094)(cid:8112)(cid:8065)(cid:8119) தம(cid:8080) உாிைம(cid:8112)ேகாாி(cid:8112)
ைகைய(cid:8114) சம(cid:8125)(cid:8122)பி(cid:8119)த(cid:8127) ேவ(cid:8118)(cid:8076)ெம(cid:8121)(cid:8096) இ(cid:8119)தா(cid:8127) அறிவி(cid:8112)க(cid:8122)ப(cid:8076) ைகைய(cid:8114) சம(cid:8125)(cid:8122)பி(cid:8119)த(cid:8127) ேவ(cid:8118)(cid:8076)ெம(cid:8121)(cid:8096) இ(cid:8119)தா(cid:8127) அறிவி(cid:8112)க(cid:8122)ப(cid:8076)
கி(cid:8121)ற(cid:8080). ேம(cid:8126)(cid:8066)ற(cid:8122)ப(cid:8117)ட திகதி(cid:8112)(cid:8065) (cid:8089)(cid:8121)ன(cid:8125) ஏேத(cid:8084)(cid:8123) உாிைம(cid:8112) கி(cid:8121)ற(cid:8080). ேம(cid:8126)(cid:8066)ற(cid:8122)ப(cid:8117)ட திகதி(cid:8112)(cid:8065) (cid:8089)(cid:8121)ன(cid:8125) ஏேத(cid:8084)(cid:8123) உாிைம(cid:8112)
ேகாாி(cid:8112)ைகைய(cid:8114) சம(cid:8125)(cid:8122)பி(cid:8112)க(cid:8119) தவ(cid:8096)கி(cid:8121)ற ஏேத(cid:8084)(cid:8123) ச(cid:8120)த(cid:8125)(cid:8122)ப(cid:8119)தி(cid:8127), ேகாாி(cid:8112)ைகைய(cid:8114) சம(cid:8125)(cid:8122)பி(cid:8112)க(cid:8119) தவ(cid:8096)கி(cid:8121)ற ஏேத(cid:8084)(cid:8123) ச(cid:8120)த(cid:8125)(cid:8122)ப(cid:8119)தி(cid:8127),
காணி(cid:8112)கான உாி(cid:8119)ைத(cid:8119) தீ(cid:8125)மானி(cid:8122)பத(cid:8126)(cid:8065) ம(cid:8096)க(cid:8117)சியி(cid:8127)லாத காணி(cid:8112)கான உாி(cid:8119)ைத(cid:8119) தீ(cid:8125)மானி(cid:8122)பத(cid:8126)(cid:8065) ம(cid:8096)க(cid:8117)சியி(cid:8127)லாத
விசாரைணைய நடா(cid:8119)(cid:8080)வத(cid:8126)(cid:8065)(cid:8123), அத(cid:8126)கிண(cid:8113)க ேமேல(cid:8092)(cid:8128)ள விசாரைணைய நடா(cid:8119)(cid:8080)வத(cid:8126)(cid:8065)(cid:8123), அத(cid:8126)கிண(cid:8113)க ேமேல(cid:8092)(cid:8128)ள
ச(cid:8117)ட(cid:8119)தி(cid:8121) 14ஆ(cid:8123) பிாிவி(cid:8121) நியதிகளி(cid:8121) ப(cid:8074) அரசா(cid:8113)க ச(cid:8117)ட(cid:8119)தி(cid:8121) 14ஆ(cid:8123) பிாிவி(cid:8121) நியதிகளி(cid:8121) ப(cid:8074) அரசா(cid:8113)க
வ(cid:8125)(cid:8119)தமானியி(cid:8127) அ(cid:8119)தைகய தீ(cid:8125)மான(cid:8119)ைத ெவளியி(cid:8076)வத(cid:8126)(cid:8065)(cid:8123) வ(cid:8125)(cid:8119)தமானியி(cid:8127) அ(cid:8119)தைகய தீ(cid:8125)மான(cid:8119)ைத ெவளியி(cid:8076)வத(cid:8126)(cid:8065)(cid:8123)
நடவ(cid:8074)(cid:8112)ைக எ(cid:8076)(cid:8112)க(cid:8122)ப(cid:8076)(cid:8123). நடவ(cid:8074)(cid:8112)ைக எ(cid:8076)(cid:8112)க(cid:8122)ப(cid:8076)(cid:8123).
ேமேல (cid:8065)றி(cid:8122)(cid:8086)(cid:8076) ெச(cid:8124)ய(cid:8122)ப(cid:8117)ட 420585 ஆ(cid:8123) இல(cid:8112)க நில அள(cid:8106)(cid:8076) ேமேல (cid:8065)றி(cid:8122)(cid:8086)(cid:8076) ெச(cid:8124)ய(cid:8122)ப(cid:8117)ட 420590 ஆ(cid:8123) இல(cid:8112)க நில அள(cid:8106)(cid:8076)
சா(cid:8125)(cid:8120)த பட(cid:8123) இையபான கிராம அ(cid:8100)வலாி(cid:8121) அ(cid:8100)வலக(cid:8119)தி(cid:8127), சா(cid:8125)(cid:8120)த பட(cid:8123) இையபான கிராம அ(cid:8100)வலாி(cid:8121) அ(cid:8100)வலக(cid:8119)தி(cid:8127),
பிரேதச ெசயலக(cid:8119)தி(cid:8127), மாவ(cid:8117)ட நில அளைவ அ(cid:8100)வலக(cid:8119)தி(cid:8127), பிரேதச ெசயலக(cid:8119)தி(cid:8127), மாவ(cid:8117)ட நில அளைவ அ(cid:8100)வலக(cid:8119)தி(cid:8127),
உாி(cid:8119)(cid:8080) நி(cid:8094)ணய ஆைணயாள(cid:8125) அ(cid:8100)வலக(cid:8119)தி(cid:8127), அ(cid:8127)ல(cid:8080) நில உாி(cid:8119)(cid:8080) நி(cid:8094)ணய ஆைணயாள(cid:8125) அ(cid:8100)வலக(cid:8119)தி(cid:8127), அ(cid:8127)ல(cid:8080) நில
அளைவயாள(cid:8125) தைலைமயதிபதியி(cid:8121) அ(cid:8100)வலக(cid:8119)தி(cid:8127) (cid:8082)னி(cid:8119) அளைவயாள(cid:8125) தைலைமயதிபதியி(cid:8121) அ(cid:8100)வலக(cid:8119)தி(cid:8127)
தாராய(cid:8122)படலா(cid:8123). (cid:8082)னி(cid:8119)தாராய(cid:8122) படலா(cid:8123).
ேமலதிக தகவ(cid:8127), கிராம அ(cid:8100)வலாிடமி(cid:8094)(cid:8120)(cid:8080), அ(cid:8127)ல(cid:8080) காணி ேமலதிக தகவ(cid:8127), கிராம அ(cid:8100)வலாிடமி(cid:8094)(cid:8120)(cid:8080), அ(cid:8127)ல(cid:8080) காணி
உாி(cid:8119)(cid:8080) நி(cid:8094)ணய ஆைணயாளாிடமி(cid:8094)(cid:8120)(cid:8080) ெப(cid:8126)(cid:8096)(cid:8112)ெகா(cid:8128)ள(cid:8122) உாி(cid:8119)(cid:8080) நி(cid:8094)ணய ஆைணயாளாிடமி(cid:8094)(cid:8120)(cid:8080) ெப(cid:8126)(cid:8096)(cid:8112)ெகா(cid:8128)ள(cid:8122)
படலா(cid:8123). படலா(cid:8123).
(cid:8086). சீ. (cid:8075). சிேகரா,
(cid:8086). சீ. (cid:8075). சிேகரா, காணி உாி(cid:8119)(cid:8080) நி(cid:8125)ண ஆைணயாள(cid:8125)
காணி உாி(cid:8119)(cid:8080) நி(cid:8125)ண ஆைணயாள(cid:8125) நாயக(cid:8123).
நாயக(cid:8123).
காணி உாி(cid:8119)(cid:8080) நி(cid:8125)ணய(cid:8119) திைண(cid:8112)கள(cid:8123), காணி உாி(cid:8119)(cid:8080) நி(cid:8125)ணய(cid:8119) திைண(cid:8112)கள(cid:8123),
இல. 1200/6, “மிஹிகத ெம(cid:8080)ர”, இல. 1200/6, “மிஹிகத ெம(cid:8080)ர”,
இரஜம(cid:8127)வ(cid:8119)த (cid:8106)தி, இரஜம(cid:8127)வ(cid:8119)த (cid:8106)தி,
ப(cid:8119)தர(cid:8089)(cid:8127)ைல ப(cid:8119)தர(cid:8089)(cid:8127)ைல
2025 ஆ(cid:8123) ஆ(cid:8118)(cid:8076) திெச(cid:8123)ப(cid:8125) மாத(cid:8123) 02 ஆ(cid:8123) திகதி. 2025 ஆ(cid:8123) ஆ(cid:8118)(cid:8076) திெச(cid:8123)ப(cid:8125) மாத(cid:8123) 02 ஆ(cid:8123) திகதி.
EOG 01 - 0128/ 2 EOG 01 - 0128/ 3
III ෙක(cid:675)ටස – (cid:636) ලංකා (cid:541)ජාතා(cid:486)(cid:437)ක සමාජවා(cid:463) ජනරජෙ(cid:591) අ(cid:431) (cid:618)ෙශෂ ගැස(cid:376) ප(cid:436)ය – 2026.01.13 3A
ப(cid:8065)தி III – இல(cid:8113)ைக(cid:8114) சனநாயக ேசாச(cid:8098)ச(cid:8112) (cid:8065)(cid:8074)யர(cid:8070) வ(cid:8125)(cid:8119)தமான(cid:8122) ப(cid:8119)திாிைக - அதி விேசஷமான(cid:8080) – 2026.01.13
காணி(cid:8119)(cid:8080)(cid:8118)(cid:8076)க(cid:8102)(cid:8112)கான உாிைம(cid:8112) ேகாாி(cid:8112)ைககைள(cid:8112) காணி(cid:8119)(cid:8080)(cid:8118)(cid:8076)க(cid:8102)(cid:8112)கான உாிைம(cid:8112) ேகாாி(cid:8112)ைககைள(cid:8112)
ேகா(cid:8094)கி(cid:8121)ற அறிவி(cid:8119)த(cid:8127) ேகா(cid:8094)கி(cid:8121)ற அறிவி(cid:8119)த(cid:8127)
1998 ஆ(cid:8123) ஆ(cid:8118)(cid:8074)(cid:8121) 21 ஆ(cid:8123) இல(cid:8112)க உாி(cid:8119)(cid:8080)(cid:8122) பதி(cid:8107)(cid:8114) ச(cid:8117)ட(cid:8123) 1998 ஆ(cid:8123) ஆ(cid:8118)(cid:8074)(cid:8121) 21 ஆ(cid:8123) இல(cid:8112)க உாி(cid:8119)(cid:8080)(cid:8122) பதி(cid:8107)(cid:8114) ச(cid:8117)ட(cid:8123)
(பிாி(cid:8107) 12) (பிாி(cid:8107) 12)
அறிவி(cid:8119)த(cid:8127) இல.: 42/1223 (cid:8065)(cid:8094)நாக(cid:8127) மாவ(cid:8117)ட(cid:8123) அறிவி(cid:8119)த(cid:8127) இல.: 51/1514 க(cid:8123)பஹா மாவ(cid:8117)ட(cid:8123)
வட ேம(cid:8127) மாகாண(cid:8119)தி(cid:8121) (cid:8065)(cid:8094)நாக(cid:8127) மாவ(cid:8117)ட(cid:8119)தி(cid:8127), (cid:8065)ளியா(cid:8122)பி(cid:8074)ய ேம(cid:8127) மாகாண(cid:8119)தி(cid:8121) க(cid:8123)பஹா மாவ(cid:8117)ட(cid:8119)தி(cid:8127), ெதா(cid:8123)ேப பிரேதச
பிரேதச ெசயலாள(cid:8125) பிாிவி(cid:8127), இல. 1127 - த(cid:8127)(cid:8098)ய(cid:8119)த கிராம ெசயலாள(cid:8125) பிாிவி(cid:8127), இல. 389 சீ - எட(cid:8123)பகஹவ(cid:8119)த கிராம
அ(cid:8100)வல(cid:8125) பிாிவி(cid:8127) அைம(cid:8120)(cid:8080)(cid:8128)ள(cid:8080)(cid:8123), மானாவ (cid:8065)(cid:8122)பாயம அ(cid:8127)ல(cid:8080) அ(cid:8100)வல(cid:8125) பிாிவி(cid:8127) அைம(cid:8120)(cid:8080)(cid:8128)ள(cid:8080)(cid:8123), க(cid:8121)னிமஹர அ(cid:8127)ல(cid:8080) அத(cid:8121)
அத(cid:8121) ஏேத(cid:8084)(cid:8123) பாக(cid:8123) (பிாி(cid:8107) 01) தா(cid:8128) இல. 01 ெதாட(cid:8125)பான(cid:8080)(cid:8123), ஏேத(cid:8084)(cid:8123) பாக(cid:8123) (பிாி(cid:8107) 06) தா(cid:8128) இல. 01 ெதாட(cid:8125)பான(cid:8080)(cid:8123),
1998ஆ(cid:8123) ஆ(cid:8118)(cid:8074)(cid:8121) 21ஆ(cid:8123) இல(cid:8112)க உாி(cid:8119)(cid:8080)(cid:8122) பதி(cid:8107)(cid:8114) ச(cid:8117)ட(cid:8119)தி(cid:8121) 1998ஆ(cid:8123) ஆ(cid:8118)(cid:8074)(cid:8121) 21ஆ(cid:8123) இல(cid:8112)க உாி(cid:8119)(cid:8080)(cid:8122) பதி(cid:8107)(cid:8114) ச(cid:8117)ட(cid:8119)தி(cid:8121)
11ஆ(cid:8123) பிாிவி(cid:8121) கீ(cid:8129) நில அளைவயாள(cid:8125) தைலைமயதிபதியினா(cid:8127) 11ஆ(cid:8123) பிாிவி(cid:8121) கீ(cid:8129) நில அளைவயாள(cid:8125) தைலைமயதிபதியினா(cid:8127)
தயாாி(cid:8112)க(cid:8122)ப(cid:8117)ட 421118 ஆ(cid:8123) இல(cid:8112)க நில அள(cid:8106)(cid:8076) சா(cid:8125)(cid:8120)த பட(cid:8119)தி(cid:8127) தயாாி(cid:8112)க(cid:8122)ப(cid:8117)ட 511044 ஆ(cid:8123) இல(cid:8112)க நில அள(cid:8106)(cid:8076) சா(cid:8125)(cid:8120)த பட(cid:8119)தி(cid:8127)
பிரதிப(cid:8098)(cid:8112)க(cid:8122)ப(cid:8117)ட(cid:8080)மான ஒ(cid:8094) காணி(cid:8119)(cid:8080)(cid:8118)(cid:8076)(cid:8112)கான அ(cid:8127)ல(cid:8080) பிரதிப(cid:8098)(cid:8112)க(cid:8122)ப(cid:8117)ட(cid:8080)மான ஒ(cid:8094) காணி(cid:8119)(cid:8080)(cid:8118)(cid:8076)(cid:8112)கான அ(cid:8127)ல(cid:8080)
அத(cid:8126)(cid:8065) ேம(cid:8126)ப(cid:8117)ட காணி(cid:8119)(cid:8080)(cid:8118)(cid:8076)க(cid:8102)(cid:8112)கான ெசா(cid:8119)தா(cid:8118)ைம(cid:8112)(cid:8065) அத(cid:8126)(cid:8065) ேம(cid:8126)ப(cid:8117)ட காணி(cid:8119)(cid:8080)(cid:8118)(cid:8076)க(cid:8102)(cid:8112)கான ெசா(cid:8119)தா(cid:8118)ைம(cid:8112)(cid:8065)
அ(cid:8127)ல(cid:8080) உைடைம(cid:8112)(cid:8065) உாிைம(cid:8112) ேகாாி(cid:8112)ைக(cid:8092)(cid:8128)ள அ(cid:8127)ல(cid:8080) அ(cid:8127)ல(cid:8080) உைடைம(cid:8112)(cid:8065) உாிைம(cid:8112) ேகாாி(cid:8112)ைக(cid:8092)(cid:8128)ள அ(cid:8127)ல(cid:8080)
அ(cid:8112)கைற(cid:8092)(cid:8128)ள எவேர(cid:8084)மா(cid:8128) 2026.01.02 ஆ(cid:8120) திகதி(cid:8112)(cid:8065) (cid:8089)(cid:8121)ன(cid:8125) அ(cid:8112)கைற(cid:8092)(cid:8128)ள எவேர(cid:8084)மா(cid:8128) 2026.01.02 ஆ(cid:8120) திகதி(cid:8112)(cid:8065) (cid:8089)(cid:8121)ன(cid:8125)
கீேழ ைகெயா(cid:8122)பமி(cid:8117)(cid:8076)(cid:8128)ளவ(cid:8094)(cid:8112)(cid:8065)(cid:8119) தம(cid:8080) உாிைம(cid:8112)ேகாாி(cid:8112) கீேழ ைகெயா(cid:8122)பமி(cid:8117)(cid:8076)(cid:8128)ளவ(cid:8094)(cid:8112)(cid:8065)(cid:8119) தம(cid:8080) உாிைம(cid:8112)ேகாாி(cid:8112)
ைகைய(cid:8114) சம(cid:8125)(cid:8122)பி(cid:8119)த(cid:8127) ேவ(cid:8118)(cid:8076)ெம(cid:8121)(cid:8096) இ(cid:8119)தா(cid:8127) அறிவி(cid:8112)க(cid:8122)ப(cid:8076) ைகைய(cid:8114) சம(cid:8125)(cid:8122)பி(cid:8119)த(cid:8127) ேவ(cid:8118)(cid:8076)ெம(cid:8121)(cid:8096) இ(cid:8119)தா(cid:8127) அறிவி(cid:8112)க(cid:8122)ப(cid:8076)
கி(cid:8121)ற(cid:8080). ேம(cid:8126)(cid:8066)ற(cid:8122)ப(cid:8117)ட திகதி(cid:8112)(cid:8065) (cid:8089)(cid:8121)ன(cid:8125) ஏேத(cid:8084)(cid:8123) உாிைம(cid:8112) கி(cid:8121)ற(cid:8080). ேம(cid:8126)(cid:8066)ற(cid:8122)ப(cid:8117)ட திகதி(cid:8112)(cid:8065) (cid:8089)(cid:8121)ன(cid:8125) ஏேத(cid:8084)(cid:8123) உாிைம(cid:8112)
ேகாாி(cid:8112)ைகைய(cid:8114) சம(cid:8125)(cid:8122)பி(cid:8112)க(cid:8119) தவ(cid:8096)கி(cid:8121)ற ஏேத(cid:8084)(cid:8123) ச(cid:8120)த(cid:8125)(cid:8122)ப(cid:8119)தி(cid:8127), ேகாாி(cid:8112)ைகைய(cid:8114) சம(cid:8125)(cid:8122)பி(cid:8112)க(cid:8119) தவ(cid:8096)கி(cid:8121)ற ஏேத(cid:8084)(cid:8123) ச(cid:8120)த(cid:8125)(cid:8122)ப(cid:8119)தி(cid:8127),
காணி(cid:8112)கான உாி(cid:8119)ைத(cid:8119) தீ(cid:8125)மானி(cid:8122)பத(cid:8126)(cid:8065) ம(cid:8096)க(cid:8117)சியி(cid:8127)லாத காணி(cid:8112)கான உாி(cid:8119)ைத(cid:8119) தீ(cid:8125)மானி(cid:8122)பத(cid:8126)(cid:8065) ம(cid:8096)க(cid:8117)சியி(cid:8127)லாத
விசாரைணைய நடா(cid:8119)(cid:8080)வத(cid:8126)(cid:8065)(cid:8123), அத(cid:8126)கிண(cid:8113)க ேமேல(cid:8092)(cid:8128)ள விசாரைணைய நடா(cid:8119)(cid:8080)வத(cid:8126)(cid:8065)(cid:8123), அத(cid:8126)கிண(cid:8113)க ேமேல(cid:8092)(cid:8128)ள
ச(cid:8117)ட(cid:8119)தி(cid:8121) 14ஆ(cid:8123) பிாிவி(cid:8121) நியதிகளி(cid:8121) ப(cid:8074) அரசா(cid:8113)க ச(cid:8117)ட(cid:8119)தி(cid:8121) 14ஆ(cid:8123) பிாிவி(cid:8121) நியதிகளி(cid:8121) ப(cid:8074) அரசா(cid:8113)க
வ(cid:8125)(cid:8119)தமானியி(cid:8127) அ(cid:8119)தைகய தீ(cid:8125)மான(cid:8119)ைத ெவளியி(cid:8076)வத(cid:8126)(cid:8065)(cid:8123) வ(cid:8125)(cid:8119)தமானியி(cid:8127) அ(cid:8119)தைகய தீ(cid:8125)மான(cid:8119)ைத ெவளியி(cid:8076)வத(cid:8126)(cid:8065)(cid:8123)
நடவ(cid:8074)(cid:8112)ைக எ(cid:8076)(cid:8112)க(cid:8122)ப(cid:8076)(cid:8123). நடவ(cid:8074)(cid:8112)ைக எ(cid:8076)(cid:8112)க(cid:8122)ப(cid:8076)(cid:8123).
ேமேல (cid:8065)றி(cid:8122)(cid:8086)(cid:8076) ெச(cid:8124)ய(cid:8122)ப(cid:8117)ட 421118 ஆ(cid:8123) இல(cid:8112)க நில அள(cid:8106)(cid:8076) ேமேல (cid:8065)றி(cid:8122)(cid:8086)(cid:8076) ெச(cid:8124)ய(cid:8122)ப(cid:8117)ட 511044 ஆ(cid:8123) இல(cid:8112)க நில அள(cid:8106)(cid:8076)
சா(cid:8125)(cid:8120)த பட(cid:8123) இையபான கிராம அ(cid:8100)வலாி(cid:8121) அ(cid:8100)வலக(cid:8119)தி(cid:8127), சா(cid:8125)(cid:8120)த பட(cid:8123) இையபான கிராம அ(cid:8100)வலாி(cid:8121) அ(cid:8100)வலக(cid:8119)தி(cid:8127),
பிரேதச ெசயலக(cid:8119)தி(cid:8127), மாவ(cid:8117)ட நில அளைவ அ(cid:8100)வலக(cid:8119)தி(cid:8127), பிரேதச ெசயலக(cid:8119)தி(cid:8127), மாவ(cid:8117)ட நில அளைவ அ(cid:8100)வலக(cid:8119)தி(cid:8127),
உாி(cid:8119)(cid:8080) நி(cid:8094)ணய ஆைணயாள(cid:8125) அ(cid:8100)வலக(cid:8119)தி(cid:8127), அ(cid:8127)ல(cid:8080) நில உாி(cid:8119)(cid:8080) நி(cid:8094)ணய ஆைணயாள(cid:8125) அ(cid:8100)வலக(cid:8119)தி(cid:8127), அ(cid:8127)ல(cid:8080) நில
அளைவயாள(cid:8125) தைலைமயதிபதியி(cid:8121) அ(cid:8100)வலக(cid:8119)தி(cid:8127) (cid:8082)னி(cid:8119) அளைவயாள(cid:8125) தைலைமயதிபதியி(cid:8121) அ(cid:8100)வலக(cid:8119)தி(cid:8127) (cid:8082)னி(cid:8119)
தாராய(cid:8122)படலா(cid:8123). தாராய(cid:8122)படலா(cid:8123).
ேமலதிக தகவ(cid:8127), கிராம அ(cid:8100)வலாிடமி(cid:8094)(cid:8120)(cid:8080), அ(cid:8127)ல(cid:8080) காணி ேமலதிக தகவ(cid:8127), கிராம அ(cid:8100)வலாிடமி(cid:8094)(cid:8120)(cid:8080), அ(cid:8127)ல(cid:8080) காணி
உாி(cid:8119)(cid:8080) நி(cid:8094)ணய ஆைணயாளாிடமி(cid:8094)(cid:8120)(cid:8080) ெப(cid:8126)(cid:8096)(cid:8112)ெகா(cid:8128)ள(cid:8122) உாி(cid:8119)(cid:8080) நி(cid:8094)ணய ஆைணயாளாிடமி(cid:8094)(cid:8120)(cid:8080) ெப(cid:8126)(cid:8096)(cid:8112)ெகா(cid:8128)ள(cid:8122)
படலா(cid:8123). படலா(cid:8123).
(cid:8086). சீ. (cid:8075). சிேகரா, (cid:8086). சீ. (cid:8075). சிேகரா,
காணி உாி(cid:8119)(cid:8080) நி(cid:8125)ண ஆைணயாள(cid:8125) காணி உாி(cid:8119)(cid:8080) நி(cid:8125)ண ஆைணயாள(cid:8125)
நாயக(cid:8123). நாயக(cid:8123).
காணி உாி(cid:8119)(cid:8080) நி(cid:8125)ணய(cid:8119) திைண(cid:8112)கள(cid:8123), காணி உாி(cid:8119)(cid:8080) நி(cid:8125)ணய(cid:8119) திைண(cid:8112)கள(cid:8123),
இல. 1200/6, “மிஹிகத ெம(cid:8080)ர”, இல. 1200/6, “மிஹிகத ெம(cid:8080)ர”,
இரஜம(cid:8127)வ(cid:8119)த (cid:8106)தி, இரஜம(cid:8127)வ(cid:8119)த (cid:8106)தி,
ப(cid:8119)தர(cid:8089)(cid:8127)ைல ப(cid:8119)தர(cid:8089)(cid:8127)ைல
2025 ஆ(cid:8123) ஆ(cid:8118)(cid:8076) திெச(cid:8123)ப(cid:8125) மாத(cid:8123) 02 ஆ(cid:8123) திகதி. 2025 ஆ(cid:8123) ஆ(cid:8118)(cid:8076) திெச(cid:8123)ப(cid:8125) மாத(cid:8123) 02 ஆ(cid:8123) திகதி.
EOG 01 - 0128/ 4 EOG 01 - 0128/ 5
4A III ෙක(cid:675)ටස – (cid:636) ලංකා (cid:541)ජාතා(cid:486)(cid:437)ක සමාජවා(cid:463) ජනරජෙ(cid:591) අ(cid:431) (cid:618)ෙශෂ ගැස(cid:376) ප(cid:436)ය – 2026.01.13
ப(cid:8065)தி III – இல(cid:8113)ைக(cid:8114) சனநாயக ேசாச(cid:8098)ச(cid:8112) (cid:8065)(cid:8074)யர(cid:8070) வ(cid:8125)(cid:8119)தமான(cid:8122) ப(cid:8119)திாிைக - அதி விேசஷமான(cid:8080) – 2026.01.13
காணி(cid:8119)(cid:8080)(cid:8118)(cid:8076)க(cid:8102)(cid:8112)கான உாிைம(cid:8112) ேகாாி(cid:8112)ைககைள(cid:8112) வ(cid:8125)(cid:8119)தமானியி(cid:8127) அ(cid:8119)தைகய தீ(cid:8125)மான(cid:8119)ைத ெவளியி(cid:8076)வத(cid:8126)(cid:8065)(cid:8123)
நடவ(cid:8074)(cid:8112)ைக எ(cid:8076)(cid:8112)க(cid:8122)ப(cid:8076)(cid:8123).
ேகா(cid:8094)கி(cid:8121)ற அறிவி(cid:8119)த(cid:8127)
ேமேல (cid:8065)றி(cid:8122)(cid:8086)(cid:8076) ெச(cid:8124)ய(cid:8122)ப(cid:8117)ட 810083 ஆ(cid:8123) இல(cid:8112)க நில அள(cid:8106)(cid:8076)
1998 ஆ(cid:8123) ஆ(cid:8118)(cid:8074)(cid:8121) 21 ஆ(cid:8123) இல(cid:8112)க உாி(cid:8119)(cid:8080)(cid:8122) பதி(cid:8107)(cid:8114) ச(cid:8117)ட(cid:8123)
சா(cid:8125)(cid:8120)த பட(cid:8123) இையபான கிராம அ(cid:8100)வலாி(cid:8121) அ(cid:8100)வலக(cid:8119)தி(cid:8127),
(பிாி(cid:8107) 12) பிரேதச ெசயலக(cid:8119)தி(cid:8127), மாவ(cid:8117)ட நில அளைவ அ(cid:8100)வலக(cid:8119)தி(cid:8127),
அறிவி(cid:8119)த(cid:8127) இல.: 81/0534 கா(cid:8098) மாவ(cid:8117)ட(cid:8123) உாி(cid:8119)(cid:8080) நி(cid:8094)ணய ஆைணயாள(cid:8125) அ(cid:8100)வலக(cid:8119)தி(cid:8127), அ(cid:8127)ல(cid:8080) நில
அளைவயாள(cid:8125) தைலைமயதிபதியி(cid:8121) அ(cid:8100)வலக(cid:8119)தி(cid:8127) (cid:8082)னி(cid:8119)
ெத(cid:8121) மாகாண(cid:8119)தி(cid:8121) கா(cid:8098) மாவ(cid:8117)ட(cid:8119)தி(cid:8127), மாத(cid:8123)பாகம பிரேதச தாராய(cid:8122)படலா(cid:8123).
ெசயலாள(cid:8125) பிாிவி(cid:8127), இல. 71 ஏ - உ(cid:8076)வராெகாட வட(cid:8112)(cid:8065) கிராம
ேமலதிக தகவ(cid:8127), கிராம அ(cid:8100)வலாிடமி(cid:8094)(cid:8120)(cid:8080), அ(cid:8127)ல(cid:8080) காணி
அ(cid:8100)வல(cid:8125) பிாிவி(cid:8127) அைம(cid:8120)(cid:8080)(cid:8128)ள(cid:8080)(cid:8123), உ(cid:8076)வராெகாட அ(cid:8127)ல(cid:8080)
உாி(cid:8119)(cid:8080) நி(cid:8094)ணய ஆைணயாளாிடமி(cid:8094)(cid:8120)(cid:8080) ெப(cid:8126)(cid:8096)(cid:8112)ெகா(cid:8128)ள(cid:8122)
அத(cid:8121) ஏேத(cid:8084)(cid:8123) பாக(cid:8123) (பிாி(cid:8107) 01) தா(cid:8128) இல. 02 ெதாட(cid:8125)பான(cid:8080)(cid:8123),
படலா(cid:8123).
1998ஆ(cid:8123) ஆ(cid:8118)(cid:8074)(cid:8121) 21ஆ(cid:8123) இல(cid:8112)க உாி(cid:8119)(cid:8080)(cid:8122) பதி(cid:8107)(cid:8114) ச(cid:8117)ட(cid:8119)தி(cid:8121)
11ஆ(cid:8123) பிாிவி(cid:8121) கீ(cid:8129) நில அளைவயாள(cid:8125) தைலைமயதிபதியினா(cid:8127)
தயாாி(cid:8112)க(cid:8122)ப(cid:8117)ட 810083 ஆ(cid:8123) இல(cid:8112)க நில அள(cid:8106)(cid:8076) சா(cid:8125)(cid:8120)த பட(cid:8119)தி(cid:8127) (cid:8086). சீ. (cid:8075). சிேகரா,
பிரதிப(cid:8098)(cid:8112)க(cid:8122)ப(cid:8117)ட(cid:8080)மான ஒ(cid:8094) காணி(cid:8119)(cid:8080)(cid:8118)(cid:8076)(cid:8112)கான அ(cid:8127)ல(cid:8080) காணி உாி(cid:8119)(cid:8080) நி(cid:8125)ண ஆைணயாள(cid:8125)
அத(cid:8126)(cid:8065) ேம(cid:8126)ப(cid:8117)ட காணி(cid:8119)(cid:8080)(cid:8118)(cid:8076)க(cid:8102)(cid:8112)கான ெசா(cid:8119)தா(cid:8118)ைம(cid:8112)(cid:8065) நாயக(cid:8123).
அ(cid:8127)ல(cid:8080) உைடைம(cid:8112)(cid:8065) உாிைம(cid:8112) ேகாாி(cid:8112)ைக(cid:8092)(cid:8128)ள அ(cid:8127)ல(cid:8080)
அ(cid:8112)கைற(cid:8092)(cid:8128)ள எவேர(cid:8084)மா(cid:8128) 2026.01.02 ஆ(cid:8120) திகதி(cid:8112)(cid:8065) (cid:8089)(cid:8121)ன(cid:8125)
கீேழ ைகெயா(cid:8122)பமி(cid:8117)(cid:8076)(cid:8128)ளவ(cid:8094)(cid:8112)(cid:8065)(cid:8119) தம(cid:8080) உாிைம(cid:8112)ேகாாி(cid:8112)
காணி உாி(cid:8119)(cid:8080) நி(cid:8125)ணய(cid:8119) திைண(cid:8112)கள(cid:8123),
ைகைய(cid:8114) சம(cid:8125)(cid:8122)பி(cid:8119)த(cid:8127) ேவ(cid:8118)(cid:8076)ெம(cid:8121)(cid:8096) இ(cid:8119)தா(cid:8127) அறிவி(cid:8112)க(cid:8122)ப(cid:8076)
இல. 1200/6, “மிஹிகத ெம(cid:8080)ர”,
கி(cid:8121)ற(cid:8080). ேம(cid:8126)(cid:8066)ற(cid:8122)ப(cid:8117)ட திகதி(cid:8112)(cid:8065) (cid:8089)(cid:8121)ன(cid:8125) ஏேத(cid:8084)(cid:8123) உாிைம(cid:8112)
இரஜம(cid:8127)வ(cid:8119)த (cid:8106)தி,
ேகாாி(cid:8112)ைகைய(cid:8114) சம(cid:8125)(cid:8122)பி(cid:8112)க(cid:8119) தவ(cid:8096)கி(cid:8121)ற ஏேத(cid:8084)(cid:8123) ச(cid:8120)த(cid:8125)(cid:8122)ப(cid:8119)தி(cid:8127),
ப(cid:8119)தர(cid:8089)(cid:8127)ைல
காணி(cid:8112)கான உாி(cid:8119)ைத(cid:8119) தீ(cid:8125)மானி(cid:8122)பத(cid:8126)(cid:8065) ம(cid:8096)க(cid:8117)சியி(cid:8127)லாத
2025 ஆ(cid:8123) ஆ(cid:8118)(cid:8076) திெச(cid:8123)ப(cid:8125) மாத(cid:8123) 02 ஆ(cid:8123) திகதி.
விசாரைணைய நடா(cid:8119)(cid:8080)வத(cid:8126)(cid:8065)(cid:8123), அத(cid:8126)கிண(cid:8113)க ேமேல(cid:8092)(cid:8128)ள
ச(cid:8117)ட(cid:8119)தி(cid:8121) 14ஆ(cid:8123) பிாிவி(cid:8121) நியதிகளி(cid:8121) ப(cid:8074) அரசா(cid:8113)க EOG 01 - 0128/ 6
இல(cid:8113)ைக அரசா(cid:8113)க அ(cid:8114)(cid:8070)(cid:8119) திைண(cid:8112)கள(cid:8119)தி(cid:8127) பதி(cid:8122)பி(cid:8112)க(cid:8122)ெப(cid:8126)ற(cid:8080).</t>
  </si>
  <si>
    <t>2db01ed9-4b4a-4473-8b25-04ffdcb554f6</t>
  </si>
  <si>
    <t>2471_26</t>
  </si>
  <si>
    <t>2471/26</t>
  </si>
  <si>
    <t>Title Registration Act, No. 21 of 1998, Section 14 — Amendment of previous decision (Gazette 2471/26)</t>
  </si>
  <si>
    <t>1998 අංක 21 දරන ඔප්පු ලියාපදිංචි කිරීමේ පනත, 14 වැනි වගන්තිය - පෙර තීරණය සංශෝධනය</t>
  </si>
  <si>
    <t>1998 ஆம் ஆண்டின் 21 ஆம் இலக்க உரித்துப் பதிவுச் சட்டம், 14 ஆம் பிரிவின் கீழ் முந்தைய தீர்மானத்தின் திருத்தம்</t>
  </si>
  <si>
    <t>Amendment to a prior Commissioner of Title Settlement decision under Section 14 of the Title Registration Act No. 21 of 1998. Part III — Lands. Land Parcel No. 02 of Block 01 of Cadastral Map No. 2010.08.17 references Gazette 1867/06 references Gazette 2025.02.20 references Gazette 2434/27 references Block 14 in Gazette 720005 cadastral. Dated 02 January 2026.</t>
  </si>
  <si>
    <t>m1/raw/2471_26.pdf</t>
  </si>
  <si>
    <t>III ෙකොටස — ශී ලංකා පජාතාන්තික සමාජවාදී ජනරජෙය් අති විෙශෂ ගැසට් පතය - 2026.01.13 1 A
பகுதி III — இலங்ைகச் சனநாயக ேசாச(cid:8098)சக் கு(cid:8074)யரசு வர்த்தமானப் பத்திாிைக - அதிவிேசஷமான(cid:8080) - 2026.01.13
ශී ලංකා පජාතාන්තික සමාජවාදී ජනරජෙය් ගැසට් පතය
இலங்ைகச் சனநாயக ேசாச(cid:8098)சக் கு(cid:8074)யரசு வர்த்தமானப் பத்திாிைக
අති විෙශෂ அதி விேசஷமான(cid:8080)
අංක 2471/26 - 2026 ජනවාරි මස 13 වැනි අඟහරුවාදා - 2026.01.13
2471/26 ஆம் இலக்கம் - 2026 ஆம் ஆண்(cid:8076) சனவாி மாதம் 13 ஆந் திகதி ெசவ்வாய்க்கிழைம
(அரசாங்கத்தின் அதிகாரத்(cid:8080)டன் பிரசுாிக்கப்பட்ட(cid:8080))
பகுதி III - காணிகள்
உாித்(cid:8080)ப் பதி(cid:8107) ெசய்தல்
தி(cid:8094)த்தம்
1998 ஆம் ஆண்(cid:8074)ன் 21 ஆம் இலக்க உாித்(cid:8080)ப் பதி(cid:8107)ச் சட்டம்
14 ஆம் பிாிவின் கீழ் உாித்(cid:8080) நிர்ணய ஆைணயாளாின் தீர்மானத்ைத ெவளிப்ப(cid:8076)த்தல்
ேமேல(cid:8092)ள்ள தைலப்பின் கீழ் 2010.08.17 ஆந் திகதிய 1667/06 ஆம் இலக்க இலங்ைகச் சனநாயக ேசாச(cid:8098)சக் கு(cid:8074)யரசின் அதி விேசட
வர்த்தமானியில் பிரசுரமான ஊவா மாகாணத்தில், ெமாணராகைல மாவட்டத்தில், சியம்பலாண்(cid:8076)வ பிரேதச ெசயலாளர் பிாிவில் 123ஏ -
ெகாடயான கிராம அ(cid:8100)வலர் பிாிவி(cid:8084)ள் ெகாடயான எ(cid:8084)ம் கிராமத்தில், 720008 ஆம் இலக்க கடத்திரல் அளைவ வைரபடத்தில், பிாி(cid:8107)
இல. 02 இல் தாள் இல. 01 இல் 24 ஆம் இலக்க காணித்(cid:8080)ண்(cid:8074)ன் உாித்(cid:8080) ெதாடர்பாக அவ்வட்டவைணயில்,
“அைனத்(cid:8080) விடயங்க(cid:8102)ம்” நீக்கப்பட்(cid:8076) தி(cid:8094)த்தப்ப(cid:8076)தல் ேவண்(cid:8076)ம்.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10 ஆம் திகதி.
EOG 01 - 0129 / 1
1A - G 46084 - 03 (2026 / 01)
(cid:8089). கு. - இவ் அதிவிேஷட வர்த்தமானிைய www.documents.gov.lk எ(cid:8084)ம் இைணயத்தளத்தி(cid:8098)(cid:8094)ந்(cid:8080) பதிவிறக்கம் ெசய்ய (cid:8089)(cid:8074)(cid:8092)ம்.
2 A III ෙකොටස — ශී ලංකා පජාතාන්තික සමාජවාදී ජනරජෙය් අති විෙශෂ ගැසට් පතය - 2026.01.13
பகுதி III — இலங்ைகச் சனநாயக ேசாச(cid:8098)சக் கு(cid:8074)யரசு வர்த்தமானப் பத்திாிைக - அதிவிேசஷமான(cid:8080) - 2026.01.13
தி(cid:8094)த்தம்
1998 ஆம் ஆண்(cid:8074)ன் 21 ஆம் இலக்க உாித்(cid:8080)ப் பதி(cid:8107)ச் சட்டம்
14 ஆம் பிாிவின் கீழ் உாித்(cid:8080) நிர்ணய ஆைணயாளாின் தீர்மானத்ைத ெவளிப்ப(cid:8076)த்தல்
ேமேல(cid:8092)ள்ள தைலப்பின் கீழ் 2010.08.17 ஆந் திகதிய 1667/06 ஆம் இலக்க இலங்ைகச் சனநாயக ேசாச(cid:8098)சக் கு(cid:8074)யரசின் அதி விேசட
வர்த்தமானியில் பிரசுரமான ஊவா மாகாணத்தில், ெமாணராகைல மாவட்டத்தில், சியம்பலாண்(cid:8076)வ பிரேதச ெசயலாளர் பிாிவில் 123ஏ -
ெகாடயான கிராம அ(cid:8100)வலர் பிாிவி(cid:8084)ள் ெகாடயான எ(cid:8084)ம் கிராமத்தில், 720008 ஆம் இலக்க கடத்திரல் அளைவ வைரபடத்தில், பிாி(cid:8107)
இல. 02 இல் தாள் இல. 01 இல் 25 ஆம் இலக்க காணித்(cid:8080)ண்(cid:8074)ன் உாித்(cid:8080) ெதாடர்பாக அவ்வட்டவைணயில்,
“அைனத்(cid:8080) விடயங்க(cid:8102)ம்” நீக்கப்பட்(cid:8076) தி(cid:8094)த்தப்படல் ேவண்(cid:8076)ம்.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10ஆம் திகதி.
EOG 01 - 0129 / 2
தி(cid:8094)த்தம்
1998 ஆம் ஆண்(cid:8074)ன் 21 ஆம் இலக்க உாித்(cid:8080)ப் பதி(cid:8107)ச் சட்டம்
14 ஆம் பிாிவின் கீழ் உாித்(cid:8080) நிர்ணய ஆைணயாளாின் தீர்மானத்ைத ெவளிப்ப(cid:8076)த்தல்
ேமேல(cid:8092)ள்ள தைலப்பின் கீழ் 2010.08.17 ஆந் திகதிய 1667/06 ஆம் இலக்க இலங்ைகச் சனநாயக ேசாச(cid:8098)சக் கு(cid:8074)யரசின் அதி விேசட
வர்த்தமானியில் பிரசுரமான ஊவா மாகாணத்தில், ெமாணராகைல மாவட்டத்தில், சியம்பலாண்(cid:8076)வ பிரேதச ெசயலாளர் பிாிவில் 123ஏ -
ெகாடயான கிராம அ(cid:8100)வலர் பிாிவி(cid:8084)ள் ெகாடயான எ(cid:8084)ம் கிராமத்தில், 720008 ஆம் இலக்க கடத்திரல் அளைவ வைரபடத்தில், பிாி(cid:8107)
இல. 02 இல் தாள் இல. 01 இல் 26 ஆம் இலக்க காணித்(cid:8080)ண்(cid:8074)ன் உாித்(cid:8080) ெதாடர்பாக அவ்வட்டவைணயில்,
“அைனத்(cid:8080) விடயங்க(cid:8102)ம்” நீக்கப்பட்(cid:8076) தி(cid:8094)த்தப்ப(cid:8076)தல் ேவண்(cid:8076)ம்.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10ஆம் திகதி.
EOG 01 - 0129 / 3
III ෙකොටස — ශී ලංකා පජාතාන්තික සමාජවාදී ජනරජෙය් අති විෙශෂ ගැසට් පතය - 2026.01.13 3 A
பகுதி III — இலங்ைகச் சனநாயக ேசாச(cid:8098)சக் கு(cid:8074)யரசு வர்த்தமானப் பத்திாிைக - அதிவிேசஷமான(cid:8080) - 2026.01.13
தி(cid:8094)த்தம்
1998 ஆம் ஆண்(cid:8074)ன் 21 ஆம் இலக்க உாித்(cid:8080)ப் பதி(cid:8107)ச் சட்டம்
14 ஆம் பிாிவின் கீழ் உாித்(cid:8080) நிர்ணய ஆைணயாளாின் தீர்மானத்ைத ெவளிப்ப(cid:8076)த்தல்
ேமேல(cid:8092)ள்ள தைலப்பின் கீழ் 2010.08.17 ஆந் திகதிய 1667/06 ஆம் இலக்க இலங்ைகச் சனநாயக ேசாச(cid:8098)சக் கு(cid:8074)யரசின் அதி விேசட
வர்த்தமானியில் பிரசுரமான ஊவா மாகாணத்தில், ெமாணராகைல மாவட்டத்தில், சியம்பலாண்(cid:8076)வ பிரேதச ெசயலாளர் பிாிவில்
இல. 123ஏ - ெகாடயான கிராம அ(cid:8100)வலர் பிாிவி(cid:8084)ள் ெகாடயான எ(cid:8084)ம் கிராமத்தில் 720008 ஆம் இலக்க கடத்திரல் அளைவ
வைரபடத்தில், பிாி(cid:8107) இல. 02 இல் தாள் இல. 01 இல் 28 ஆம் இலக்க காணித்(cid:8080)ண்(cid:8076)களின் உாித்(cid:8080) ெதாடர்பாக அவ்வட்டவைணயில்,
“அைனத்(cid:8080) விடயங்க(cid:8102)ம்” நீக்கப்பட்(cid:8076) தி(cid:8094)த்தப்படல் ேவண்(cid:8076)ம்.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10ஆம் திகதி.
EOG 01 - 0129 / 4
தி(cid:8094)த்தம்
1998 ஆம் ஆண்(cid:8074)ன் 21 ஆம் இலக்க உாித்(cid:8080)ப் பதி(cid:8107)ச் சட்டம்
14 ஆம் பிாிவின் கீழ் உாித்(cid:8080) நிர்ணய ஆைணயாளாின் தீர்மானத்ைத ெவளிப்ப(cid:8076)த்தல்
ேமேல(cid:8092)ள்ள தைலப்பின் கீழ் 2017.11.26 ஆந் திகதிய 2047/35 ஆம் இலக்க இலங்ைகச் சனநாயக ேசாச(cid:8098)சக் கு(cid:8074)யரசின் அதி விேசட
வர்த்தமானியில் பிரசுரமான ஊவா மாகாணத்தில், ெமாணராகைல மாவட்டத்தில், சியம்பலாண்(cid:8076)வ பிரேதச ெசயலாளர் பிாிவில் 123ஏ -
விஜித(cid:8087)ர கிராம அ(cid:8100)வலர் பிாிவி(cid:8084)ள் சியம்பலாண்(cid:8076)வ எ(cid:8084)ம் கிராமத்தில், 720005 ஆம் இலக்க கடத்திரல் அளைவ வைரபடத்தில், பிாி(cid:8107)
இல. 15 இல் தாள் இல. 01 இல் 14 ஆம் இலக்க காணித்(cid:8080)ண்(cid:8074)ன் உாித்(cid:8080) ெதாடர்பாக அவ்வட்டவைணயில்,
“அைனத்(cid:8080) விடயங்க(cid:8102)ம்” நீக்கப்பட்(cid:8076) தி(cid:8094)த்தப்படல் ேவண்(cid:8076)ம்.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10ஆம் திகதி.
EOG 01 - 0129 / 5
4 A III ෙකොටස — ශී ලංකා පජාතාන්තික සමාජවාදී ජනරජෙය් අති විෙශෂ ගැසට් පතය - 2026.01.13
பகுதி III — இலங்ைகச் சனநாயக ேசாச(cid:8098)சக் கு(cid:8074)யரசு வர்த்தமானப் பத்திாிைக - அதிவிேசஷமான(cid:8080) - 2026.01.13
தி(cid:8094)த்தம்
1998 ஆம் ஆண்(cid:8074)ன் 21 ஆம் இலக்க உாித்(cid:8080)ப் பதி(cid:8107)ச் சட்டம்
14 ஆம் பிாிவின் கீழ் உாித்(cid:8080) நிர்ணய ஆைணயாளாின் தீர்மானத்ைத ெவளிப்ப(cid:8076)த்தல்
ேமேல(cid:8092)ள்ள தைலப்பின் கீழ் 2024.09.01 ஆந் திகதிய 2399/62 ஆம் இலக்க இலங்ைகச் சனநாயக ேசாச(cid:8098)சக் கு(cid:8074)யரசின் அதி விேசட
வர்த்தமானியில் பிரசுரமான ஊவா மாகாணத்தில், ெமாணராகைல மாவட்டத்தில், சியம்பலாண்(cid:8076)வ பிரேதச ெசயலாளர் பிாிவில்
இல. 123டீ - ஸ்ரீ விஜித(cid:8087)ர கிராம அ(cid:8100)வலர் பிாிவி(cid:8084)ள் சியம்பலாண்(cid:8076)வ எ(cid:8084)ம் கிராமத்தில் 720005 ஆம் இலக்க கடத்திரல் அளைவ
வைரபடத்தில், பிாி(cid:8107) இல. 07 இல் தாள் இல. 01 இல் 161 ஆம் இலக்க காணித்(cid:8080)ண்(cid:8074)ன் உாித்(cid:8080) ெதாடர்பாக அவ்வட்டவைணயில்,
“அைனத்(cid:8080) விடயங்க(cid:8102)ம்” நீக்கப்பட்(cid:8076) தி(cid:8094)த்தப்ப(cid:8076)தல் ேவண்(cid:8076)ம்.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10ஆம் திகதி.
EOG 01 - 0129 / 6
தி(cid:8094)த்தம்
1998 ஆம் ஆண்(cid:8074)ன் 21 ஆம் இலக்க உாித்(cid:8080)ப் பதி(cid:8107)ச் சட்டம்
14 ஆம் பிாிவின் கீழ் உாித்(cid:8080) நிர்ணய ஆைணயாளாின் தீர்மானத்ைத ெவளிப்ப(cid:8076)த்தல்
ேமேல(cid:8092)ள்ள தைலப்பின் கீழ் 2017.01.04 ஆந் திகதிய 2000/34 ஆம் இலக்க இலங்ைகச் சனநாயக ேசாச(cid:8098)சக் கு(cid:8074)யரசின் அதி விேசட
வர்த்தமானியில் பிரசுரமான ஊவா மாகாணத்தில், ெமாணராகைல மாவட்டத்தில், சியம்பலாண்(cid:8076)வ பிரேதச ெசயலாளர் பிாிவில் 123எச் -
கி(cid:8107)ேலயாய கிராம அ(cid:8100)வலர் பிாிவி(cid:8084)ள் கி(cid:8107)ேலயாய எ(cid:8084)ம் கிராமத்தில், 720007 ஆம் இலக்க கடத்திரல் அளைவ வைரபடத்தில், பிாி(cid:8107)
இல. 05 இல் தாள் இல. 01 இல் 64 ஆம் இலக்க காணித்(cid:8080)ண்(cid:8074)ன் உாித்(cid:8080) ெதாடர்பாக அவ்வட்டவைணயில்,
“அைனத்(cid:8080) விடயங்க(cid:8102)ம்” நீக்கப்பட்(cid:8076) தி(cid:8094)த்தப்படல் ேவண்(cid:8076)ம்.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10ஆம் திகதி.
EOG 01 - 0129 / 7
இலங்ைக அரசாங்க அச்சுத் திைணக்களத்தில் பதிப்பிக்கப்ெபற்ற(cid:8080).</t>
  </si>
  <si>
    <t>eb160870-418c-4611-aa07-9f1313eb8a9d</t>
  </si>
  <si>
    <t>2471_27</t>
  </si>
  <si>
    <t>2471/27</t>
  </si>
  <si>
    <t>Title Registration Act, No. 21 of 1998, Section 14 — Commissioner of Title Settlement's decision under Section 14 (Gazette 2471/27)</t>
  </si>
  <si>
    <t>m1/raw/2471_27.pdf</t>
  </si>
  <si>
    <t>7217a138-9ee0-4ea5-a5a1-6ba63c88f26c</t>
  </si>
  <si>
    <t>2471_28</t>
  </si>
  <si>
    <t>2471/28</t>
  </si>
  <si>
    <t>Title Registration Act, No. 21 of 1998, Section 14 — Commissioner of Title Settlement's decision under Section 14 (Gazette 2471/28)</t>
  </si>
  <si>
    <t>m1/raw/2471_28.pdf</t>
  </si>
  <si>
    <t>76548dcf-2bc1-4d30-bfff-321f1429e784</t>
  </si>
  <si>
    <t>2471_29</t>
  </si>
  <si>
    <t>2471/29</t>
  </si>
  <si>
    <t>Title Registration Act, No. 21 of 1998, Section 14 — Commissioner of Title Settlement's decision under Section 14 (Gazette 2471/29)</t>
  </si>
  <si>
    <t>m1/raw/2471_29.pdf</t>
  </si>
  <si>
    <t>49fed7e7-d227-4ba4-9eee-3dd977ae6588</t>
  </si>
  <si>
    <t>2471_30</t>
  </si>
  <si>
    <t>2471/30</t>
  </si>
  <si>
    <t>Title Registration Act, No. 21 of 1998, Section 14 — Commissioner of Title Settlement's decision under Section 14 (Gazette 2471/30)</t>
  </si>
  <si>
    <t>m1/raw/2471_30.pdf</t>
  </si>
  <si>
    <t>b77d6fcc-ebce-459f-b901-2d3dee20f50c</t>
  </si>
  <si>
    <t>2471_31</t>
  </si>
  <si>
    <t>2471/31</t>
  </si>
  <si>
    <t>Title Registration Act, No. 21 of 1998, Section 14 — Commissioner of Title Settlement's decision under Section 14 (Gazette 2471/31)</t>
  </si>
  <si>
    <t>m1/raw/2471_31.pdf</t>
  </si>
  <si>
    <t>65395509-387e-4a77-8dae-c4a27f279416</t>
  </si>
  <si>
    <t>2471_32</t>
  </si>
  <si>
    <t>2471/32</t>
  </si>
  <si>
    <t>Title Registration Act, No. 21 of 1998, Section 14 — Commissioner of Title Settlement's decision under Section 14 (Gazette 2471/32)</t>
  </si>
  <si>
    <t>m1/raw/2471_32.pdf</t>
  </si>
  <si>
    <t>fd7bee4d-cada-4283-95fe-0596c998fa4b</t>
  </si>
  <si>
    <t>2471_33</t>
  </si>
  <si>
    <t>2471/33</t>
  </si>
  <si>
    <t>1992 Act No. 59 (Asset Stripping/Special Forfeiture - ASF) — Notice (Gazette 2471/33)</t>
  </si>
  <si>
    <t>1992 අංක 59 දරන පනත (රාජ්‍ය වත්කම් අත්පත් කරගැනීමේ ආඥා - ASF) යටතේ දැන්වීම</t>
  </si>
  <si>
    <t>1992 ஆம் ஆண்டின் 59 ஆம் இலக்க சட்டம் (ASF) கீழ் அறிவித்தல்</t>
  </si>
  <si>
    <t>Notice issued under Act No. 59 of 1992 (ASF - Asset Forfeiture/Special Provisions) by the relevant Minister. Part I — General. Dated 13 January 2026.</t>
  </si>
  <si>
    <t>Act No. 59 of 1992</t>
  </si>
  <si>
    <t>m1/raw/2471_33.pdf</t>
  </si>
  <si>
    <t>1A
I ෙකාටස: (I) ෙඡදය – (cid:636) ලංකා (cid:541)ජාතා(cid:486)(cid:437)ක සමාජවා(cid:463) ජනරජෙ(cid:591) අ(cid:431) (cid:618)ෙශෂ ගැස(cid:376) ප(cid:436)ය – 2026.01.13
(cid:636) ලංකා (cid:541)ජාතා(cid:486)(cid:437)ක සමාජවා(cid:463) ජනරජෙ(cid:591) ගැස(cid:376) ප(cid:436)ය
අ(cid:431) (cid:618)ෙශෂ
අංක 2471/33 – 2026 ජනවා(cid:604) මස 13 වැ(cid:487) අඟහ(cid:606)වාදා – 2026.01.13
(රජෙ(cid:591) බලය(cid:536)ට (cid:541)(cid:646)(cid:458)ධ කරන ල(cid:463))
I වැ(cid:487) ෙකාටස: (I) වැ(cid:487) ෙඡදය – සාමාන(cid:597)
රජෙ(cid:591) (cid:487)ෙ(cid:617)දන
1992 අංක 59 දරණ ස(cid:430)(cid:430)ව ෙරා්ග පනත
5 වන වග(cid:486)(cid:431)ෙ(cid:591) කර(cid:489) ලබන (cid:487)යමය හා ඊට ආ(cid:490)ෂාං(cid:281)ක (cid:618)(cid:477)(cid:618)ධාන
1992 අංක 59 දරන ස(cid:430)(cid:430)ව ෙරා්ග පනෙ(cid:430) පළ(cid:575) වන උපෙ(cid:610)ඛනෙ(cid:591) සඳහ(cid:486) සංස්ප(cid:601)ශක ෙරා්ගය(cid:250) වන අ(cid:543)කා(cid:489) (cid:649)කර උණ ෙරා්ගය
(ASF) ප(cid:648)(cid:281)ය මාස (cid:251)(cid:655)පය (cid:433)ළ (cid:636) ලංකාව (cid:433)ළ (cid:618)(cid:618)ධ (cid:541)ාෙ(cid:458)(cid:629)ය ෙ(cid:610)ක(cid:572) ෙකා(cid:376)ඨාසවල වා(cid:601)තා (cid:621) බැ(cid:618)(cid:486), එය අ(cid:477) ව(cid:597)ා(cid:477)ජනක ෛවරසය(cid:250)
වන බැ(cid:618)(cid:486) හා තව(cid:464)රට(cid:430) පැ(cid:431)(cid:605)මට ඉඩ ඇ(cid:431) ෙහ(cid:592)(cid:486), ස(cid:430)(cid:430)ව (cid:487)ෂ්පාදන හා ෙසෟඛ(cid:597) අධ(cid:597)(cid:250)ෂ ජනරා(cid:610) කහඳ කන(cid:430)තෙ(cid:280) සර(cid:430) වන මා
එම පනෙත (cid:486) මා ෙවත පැව(cid:605) ඇ(cid:431) බලතල (cid:541)කාරව,
(cid:636) ලංකාෙ(cid:617) (cid:646)ය(cid:613)ම (cid:462)ස්(cid:437)(cid:250)ක එම පනෙ(cid:430) කා(cid:601)යය සඳහා අ(cid:543)කා(cid:489) (cid:649)කර උණ ෙරා්ගය (ASF) සඳහා අවදාන(cid:572) (cid:541)ෙ(cid:458)ශය(cid:486) ෙලස ද,
(1) ඌර(cid:486) ෙරා්ග අවදාන(cid:572) ස(cid:433)(cid:486) ෙලස ද,
ෙමම (cid:487)යමෙය(cid:486) තව(cid:464)රට(cid:430) (cid:541)කාශයට ප(cid:430)කර(cid:573).
(2) ෙමම (cid:487)යමය, ගැස(cid:376) ප(cid:436)ෙ(cid:591) පළකර(cid:489) ලබන (cid:462)න (cid:646)ට (cid:257)යා(cid:430)මක වන අතර, ක(cid:611)(cid:486) ඉව(cid:430) කළෙහා(cid:430) (cid:573)ස ෙහා් එම පනෙ(cid:430) 5(3)
වග(cid:486)(cid:431)ය අ(cid:489)ව වලං(cid:283) කාලය (cid:463)(cid:601)ඝ කළෙහා(cid:430) (cid:573)ස (cid:257)යා(cid:430)මක වන (cid:462)න (cid:646)ට මාස 03කට ෙනාවැ(cid:395) කාලය(cid:250) සඳහා වලං(cid:283) වන
අතර, ෙරා්ග ත(cid:430)(cid:430)වය අ(cid:489)ව කාලය (cid:463)(cid:601)ඝ (cid:251)(cid:605)ෙ(cid:572) හැ(cid:251)යාව ඇත.
02. ෙමම (cid:487)යමය වලං(cid:283)ව පව(cid:431)න කාලය (cid:433)ළ, ස(cid:430)(cid:430)ව (cid:487)ෂප් ාදන හා ෙසෟඛ(cid:597) අධ(cid:597)(cid:250)ෂ ජනරා(cid:610) වන මා,
(1) ඇ(cid:431) (cid:619) (cid:431) ෙබන අ(cid:543)කා(cid:489) (cid:649)කර උණ ෙරා්ගය (ASF) අවදාන(cid:572) (cid:541)ෙ(cid:458)ශයට (cid:647)මා (cid:251)(cid:605)ම සඳහා හා පැ(cid:431)(cid:605)මට ඇ(cid:431) ඉඩකඩ වැළැ(cid:250)(cid:619)ම
සඳහා අවශ(cid:597) වන පහත සඳහ(cid:486) (cid:257)යා හා කට(cid:594)(cid:433) ෙම(cid:592)(cid:486) තහන(cid:572) කර(cid:573):
1A – G 046107 – 13 (2026/01)
ෙමම අ(cid:431) (cid:618)ෙශෂ ගැස(cid:376) ප(cid:436)ය www.documents.gov.lk ෙව(cid:553) අඩ(cid:618)ෙය(cid:486) බාගත කළ හැක.
2A
I ෙකාටස: (I) ෙඡදය – (cid:636) ලංකා (cid:541)ජාතා(cid:486)(cid:437)ක සමාජවා(cid:463) ජනරජෙ(cid:591) අ(cid:431) (cid:618)ෙශෂ ගැස(cid:376) ප(cid:436)ය – 2026.01.13
I. ස(cid:430)(cid:430)ව ෙරා්ග පනෙ(cid:430) 5 (4) වග(cid:486)(cid:431)ය යටෙ(cid:430) (cid:646)ය(cid:613)ම අවදාන(cid:572) ස(cid:655)ත ඌර(cid:486), ඌ(cid:606) මස් සහ එම (cid:487)ෂ්පාදන ෙහා් ෙරා්ග කාරකය
ම(cid:281)(cid:486) අප(cid:618)(cid:436) (cid:618)ෙ(cid:572) අවධානම(cid:250) ස(cid:655)ත (cid:251)(cid:646)ව(cid:250), 1999 ෙදසැ(cid:572)බ(cid:601) 03 (cid:462)න අංක 1108/23 දරන ගැස(cid:376) ප(cid:436)ෙ(cid:591) පළකරන ලද
(cid:487)ෙයා්ගෙ(cid:591) VII ආකෘ(cid:431)යට අ(cid:489)(cid:254)ලව ෙකා(cid:376)ඨාස භාර ප(cid:630) ෛවද(cid:597) (cid:487)ලධා(cid:604)වරයා (cid:618)(cid:646)(cid:486) (cid:487)(cid:253)(cid:430) කරන ලද අවසර ප(cid:436)ය(cid:250)
ෙනාමැ(cid:431)ව අවදාන(cid:572) (cid:541)ෙ(cid:458)ශය (cid:433)ළ ෙහා් ඉ(cid:486) (cid:536)ටතට (cid:541)වාහනය (cid:251)(cid:605)ම, ඉව(cid:430) (cid:251)(cid:605)ම, (cid:602)ෙගන යාම ෙහා් පලවා හැ(cid:605)ම.
II ඉහත වග(cid:486)(cid:431)ය (cid:541)කාරව (cid:541)වාහනය සඳහා (cid:487)(cid:253)(cid:430) කළ බලප(cid:436)ය(cid:250) ෙනාමැ(cid:431) ඌර(cid:486) මස් (cid:536)(cid:413)ස ඝාතනය (cid:251)(cid:605)ම
III ෙමම (cid:487)ෙයා්ගෙ(cid:591) න(cid:572) කරන ලද බලයල(cid:430) (cid:487)ලධා(cid:604)ය(cid:253)ෙ(cid:280) අවසර ප(cid:436)ය(cid:250) ෙනාමැ(cid:431)ව ඌර(cid:486), ඌ(cid:606) මස් සහ එම (cid:487)ෂ්පාදන
හා ෙරා්ග කාරකය ම(cid:281)(cid:486) අප(cid:618)(cid:436) (cid:618)ය හැ(cid:251) (cid:251)(cid:646)ව(cid:250), (cid:618)(cid:251)(cid:414)ම, (cid:618)(cid:251)(cid:414)මට පා(cid:436) (cid:251)(cid:605)ම, ගබඩා (cid:251)(cid:605)ම ෙහා් ෙබදා හැ(cid:605)ම සහ ඌ(cid:606)
මස්ව(cid:611)(cid:486) (cid:487)ෂ්පාදන සකස් (cid:251)(cid:605)ම.
VI. අදාළ ෙරා්ග ෙහ්(cid:433)ෙව(cid:486) ම(cid:606)(cid:575)වට ප(cid:430)(cid:621)වා ෙහා් ආසා(cid:462)ත (cid:621)වායැ(cid:592) සැකයට ෙහ්(cid:433) (cid:620) ය(cid:572) සෙත(cid:253)ෙ(cid:280) මළ(cid:253)ණ(cid:250) ෙහා් එ(cid:655)
ෙකාටස(cid:250) ෙහා් ෙවන(cid:430) (cid:251)(cid:646)ය(cid:572) අවදානමට ල(cid:250) (cid:621) (cid:470)ව(cid:597)ය අපහරණය (cid:251)(cid:605)ම ස(cid:430)(cid:430)ව (cid:487)ෂ්පාදන හා ෙසෟඛ(cid:597) ෙදපා(cid:601)තෙ(cid:572)(cid:486)(cid:433)ව
(cid:618)(cid:646)(cid:486) ලබා (cid:463) ඇ(cid:431) මා(cid:601)ෙගා්පෙ(cid:458)ශෙ(cid:591) සඳහ(cid:486) උපෙදස්වලට අ(cid:489)ව (cid:573)ස, ජලය ස(cid:572)බ(cid:486)ධ (cid:251)(cid:646)(cid:511) ස්ථානයකට දැ(cid:574)ම, ෙවන(cid:430) ස(cid:433)(cid:486)
(cid:618)(cid:646)(cid:486) ෙවන(cid:430) ස්ථානයකට ෙහා් (cid:541)ෙ(cid:458)ශයකට ෙහා් (cid:602)ෙගන යාමට හැ(cid:251)වන ප(cid:604)(cid:462) ය(cid:572) ස්ථානයකට දැ(cid:574)ම ෙහා් ස්ථානගත (cid:251)(cid:605)ම.
V. ෙමම (cid:487)ෙයා්ගෙ(cid:591) න(cid:572) කරන ලද බලයල(cid:430) (cid:487)ලධා(cid:604)ෙය(cid:253) (cid:618)(cid:646)(cid:486) අ(cid:489)මත කරන ලද ඝාතකාගාරයක/ගබඩාවක/ මස් සැක(cid:648)(cid:572)
මධ(cid:597)ස්ථානයක හැර ෙවන(cid:430) ඝාතකාගාරයක/ගබඩාවක/ මස් සැක(cid:648)(cid:572) මධ(cid:597)ස්ථානක ඝාතනය (cid:251)(cid:605)ම/ ගබඩා (cid:251)(cid:605)ම/ සකස් (cid:251)(cid:605)ම.
VI. (cid:541)ාෙ(cid:458)(cid:629)ය ප(cid:630) ෛවද(cid:597) කා(cid:601)යාල ම(cid:281)(cid:486) (cid:487)(cid:253)(cid:430) කර(cid:489) ලබන අධ(cid:597)(cid:250)ෂ ජනරා(cid:610) (cid:618)(cid:646)(cid:486) (cid:487)යම කරන ලද ෙගා(cid:618)පළ (cid:611)යාප(cid:462)ං(cid:317) (cid:251)(cid:605)ෙ(cid:572)
සහ(cid:431)කය ෙනාමැ(cid:431)ව (cid:649)කර ෙගා(cid:618)පල(cid:250) පව(cid:430)වාෙගන යාම.
03. ආසා(cid:462)ත ෙනා(cid:621) අ(cid:564)ජනන/ තර කරන/වා(cid:487)ජ ෙගා(cid:618)පළවල (cid:646)(cid:377)න ස(cid:433)(cid:486), අ(cid:564)ජනනය (cid:251)(cid:605)ම/ (cid:618)(cid:251)(cid:414)ම/ ඝාතනය (cid:251)(cid:605)ම /මස් සැක(cid:647)ම
පහත සඳහ(cid:486) (cid:487)(cid:601)නායක මත පදන(cid:572)ව අවසර ෙද(cid:573).
I. අ(cid:564)ජනන ෙගා(cid:618)පල ස(cid:430)(cid:430)ව (cid:487)ෂ්පාදන හා ෙසෟඛ(cid:597) ෙදපා(cid:601)තෙ(cid:572)(cid:486)(cid:433)ෙ(cid:617) ස(cid:430)(cid:430)ව අ(cid:564)ජනන අංශෙ(cid:591) (cid:611)යාප(cid:462)ං(cid:317) අ(cid:564)ජනන
ෙගා(cid:618)පල(cid:250) (cid:618)ය (cid:594)(cid:433)ය.
II. (cid:649)ඛර ස(cid:433)(cid:486) අ(cid:564)ජනනය (cid:251)(cid:605)ම, පැට(cid:620)(cid:486) අෙල(cid:618) (cid:251)(cid:605)ම සඳහා අධ(cid:597)(cid:250)ෂ ජනරා(cid:610)වරයා (cid:618)(cid:646)(cid:486) (cid:487)යම කරන ලද ප(cid:605)(cid:250)ෂණය(cid:250)
(cid:646)(cid:464) කර ඉ(cid:486) ප(cid:648)ව ලබාග(cid:430) ෙසෟඛ(cid:597) සහ(cid:431)කය(cid:250) ලබාෙගන (cid:431)(cid:554)ය (cid:594)(cid:433) ෙ(cid:617).
III. ස(cid:433)(cid:486) තර (cid:251)(cid:605)ම, අෙල(cid:618)(cid:251)(cid:605)ම හා ඝාතනය (cid:251)(cid:605)ෙ(cid:572)(cid:463) එම ස(cid:433)(cid:486) ෙමම ෙරා්ගය සඳහා ආසා(cid:462)ත ෙනාවන බවට බලයල(cid:430) (cid:487)ලධා(cid:604)ය(cid:253)
(cid:618)(cid:646)(cid:486) ප(cid:605)(cid:250)ෂාව(cid:251)(cid:486) තහ(cid:620)(cid:606) කර ගත (cid:594)(cid:433) ෙ(cid:617).
VI. (cid:573)ල(cid:463) ග(cid:486)නා/ ලබා ග(cid:486)නා ලද / ඝාතනය කරන / ස(cid:433)(cid:486)ෙ(cid:280) (cid:541)වාහනය සඳහා ලබා(cid:464)(cid:486) ස(cid:430)(cid:430)ව ෙසෟඛ(cid:597) සහ(cid:431)කවල (cid:536)ටපත(cid:250)
සැම(cid:618)ටම ෙගා(cid:618)පළ/ ඝාතකාගාරය (cid:433)ළ තබා ගත (cid:594)(cid:433)ෙ(cid:617).
04. ආසාදනය (cid:621) ෙගා(cid:618)පල (cid:433)ළට ස(cid:433)(cid:486) ඇ(cid:433)(cid:610) (cid:251)(cid:605)ම.
(1) ස(cid:433)(cid:486) අ(cid:666)(cid:431)(cid:486) ඇ(cid:433)(cid:610) කර නැවත ෙගා(cid:618)පල ආර(cid:572)භ (cid:251)(cid:605)මට ෙපර ෙකා(cid:376)ඨාස භාර ප(cid:630) ෛවද(cid:597) (cid:487)ලධා(cid:604) ෙව(cid:431)(cid:486) ෙ(cid:572) සඳහා
අ(cid:489)මැ(cid:431)ය(cid:250) ලබා ගත (cid:594)(cid:433) ෙ(cid:617). අෙ(cid:535)(cid:250)(cid:639)ත ෙගා(cid:618)පල මනාෙලස (cid:618)ෂ(cid:555)ජහරණය (cid:619) ඇ(cid:431) බවට(cid:430), ෛජව ආර(cid:250)ෂණ (cid:256)මෙ(cid:617)ද ලබා
(cid:463) ඇ(cid:431) මා(cid:601)ෙගා්පෙ(cid:458)ශය(cid:486) අ(cid:489)ව පව(cid:430)වාෙගන යන බවට(cid:430), ෙකා(cid:376)ඨාස භාර ප(cid:630) ෛවද(cid:597) (cid:487)ලධා(cid:604) (cid:618)(cid:646)(cid:486) තහ(cid:620)(cid:606) කරගත (cid:594)(cid:433)ෙ(cid:617).
05. ස(cid:430)(cid:430)ව ෙරා්ග පනත ම(cid:309)(cid:486) මා ෙවත පැව(cid:605) ඇ(cid:431) බලතල (cid:541)කාරව,
(1) ෙමම (cid:487)ෙයා්ගෙ(cid:591) 2(1) වග(cid:486)(cid:431)ෙය(cid:486) තහන(cid:572) කරන ලද (cid:257)යා (cid:646)(cid:464)(cid:251)(cid:605)ම වැළැ(cid:250)(cid:619)ම හා එවැ(cid:487) කට(cid:594)(cid:433)වල (cid:487)යැෙලන අයට (cid:618)(cid:606)(cid:458)ධව
(cid:488)(cid:431)මය කට(cid:594)(cid:433) (cid:251)(cid:605)ම යන කා(cid:601)යය සඳහා එම පනෙ(cid:430) 3(3) වග(cid:486)(cid:431)ය යටෙ(cid:430) බලයල(cid:430) (cid:487)ළධා(cid:604) වශෙය(cid:486) කට(cid:594)(cid:433) (cid:251)(cid:605)ම සඳහා ද
ඒ ෙව(cid:489)ෙව(cid:486) එම පනෙ(cid:430) 13 වැ(cid:487) වග(cid:486)(cid:431)ෙ(cid:591) සඳහ(cid:486) බලතල (cid:257)යා(cid:430)මක (cid:251)(cid:605)මටද, පහත සඳහ(cid:486) (cid:487)ළධා(cid:605)(cid:486)ට බලය පවර(cid:573).
I . අධ(cid:597)(cid:250)ෂ (ස(cid:430)(cid:430)ව ෙසෟඛ(cid:597)) ස(cid:430)(cid:430)ව (cid:487)ෂ්පාදන හා ෙසෟඛ(cid:597) ෙදපා(cid:601)තෙ(cid:572)(cid:486)(cid:433)ව
II. අධ(cid:597)(cid:250)ෂ (වන(cid:336)(cid:619) ෙසෟඛ(cid:597)) වන(cid:336)(cid:619) සංර(cid:250)ෂණ ෙදපා(cid:601)තෙ(cid:572)(cid:486)(cid:433)ව
3A
I ෙකාටස: (I) ෙඡදය – (cid:636) ලංකා (cid:541)ජාතා(cid:486)(cid:437)ක සමාජවා(cid:463) ජනරජෙ(cid:591) අ(cid:431) (cid:618)ෙශෂ ගැස(cid:376) ප(cid:436)ය – 2026.01.13
III. (cid:541)ධාන නාග(cid:604)ක ප(cid:630) ෛවද(cid:597) (cid:487)ලධා(cid:605)(cid:486), මහනගර සභා
IV. (cid:487)ෙයා්ජ(cid:597) අධ(cid:597)(cid:250)ෂ (ස(cid:430)(cid:430)ව ෙසෟඛ(cid:597)) ස(cid:430)(cid:430)ව (cid:487)ෂ්පාදන හා ෙසෟඛ(cid:597) ෙදපා(cid:601)තෙ(cid:572)(cid:486)(cid:433)ව
V. (cid:646)ය(cid:613)ම පළා(cid:430) අධ(cid:597)(cid:250)ෂකව(cid:606)(cid:486) - පළා(cid:430) ස(cid:430)(cid:430)ව (cid:487)ෂ්පාදන හා ෙසෟඛ(cid:597) ෙදපා(cid:601)තෙ(cid:572)(cid:486)(cid:433)ව
VI. (cid:618)ෂයා(cid:489)බ(cid:458)ධ (cid:618)ෙශ්ෂඥ - පළා(cid:430) ස(cid:430)(cid:430)ව (cid:487)ෂ්පාදන හා ෙසෟඛ(cid:597) ෙදපා(cid:601)තෙ(cid:572)(cid:486)(cid:433)ව
VII. (cid:462)ස්(cid:437)(cid:250) භාර (cid:487)ෙයා්ජ(cid:597) අධ(cid:597)(cid:250)ෂව(cid:606)(cid:486) සහ (cid:646)ය(cid:613)ම (cid:462)ස්(cid:437)(cid:250) ප(cid:630) ෛවද(cid:597) (cid:487)ලධා(cid:604)ව(cid:606)
VIII. (cid:462)ස්(cid:437)(cid:250)ක භාර ප(cid:630) (cid:618)ම(cid:601)ශන (cid:487)ලධා(cid:605)(cid:486)
IX. (cid:646)ය(cid:613)ම ෙකා(cid:376)ඨාස භාර රජෙ(cid:591) ප(cid:630) ෛවද(cid:597) (cid:487)ලධා(cid:605)(cid:486) හා ඔ(cid:657)/ඇය යටෙ(cid:430) (cid:646)(cid:377)න රජෙ(cid:591) ප(cid:630) ෛවද(cid:597) (cid:487)ලධා(cid:605)(cid:486)
X. (cid:646)ය(cid:613)ම නාග(cid:604)ක ප(cid:630) ෛවද(cid:597) (cid:487)ලධා(cid:605)(cid:486)
XI. (cid:646)ය(cid:613)ම වන(cid:336)(cid:619) ප(cid:630) ෛවද(cid:597) (cid:487)ලධා(cid:605)(cid:486)
XII. (cid:635) ලංකා ෙපා(cid:611)ස් ෙස්වෙ(cid:591) (cid:646)ය(cid:666)ම ෙපා(cid:611)ස් (cid:487)ළධා(cid:605)(cid:486)
කහඳ කන(cid:430)තෙ(cid:280) සර(cid:430),
ස(cid:430)(cid:430)ව (cid:487)ෂ්පාදන හා ෙසෟඛ(cid:597) අධ(cid:597)(cid:250)ෂ ජනරා(cid:610).
2026 ජනවා(cid:604) මස 03 වැ(cid:487) (cid:462)න,
ස(cid:430)(cid:430)ව (cid:487)ෂ්පාදන හා ෙසෟඛ(cid:597) ෙදපා(cid:601)තෙ(cid:572)(cid:486)(cid:433)ව,
තැ.ෙප 13 , ගැටෙ(cid:582), ෙ(cid:535)රාෙද(cid:413)ය.
EOG 01-0154
(cid:636) ලංකා රජෙ(cid:591) (cid:575)(cid:470)ණ ෙදපා(cid:601)තෙ(cid:572)(cid:486)(cid:433)ෙ(cid:617) (cid:575)(cid:470)ණය කරන ල(cid:463).</t>
  </si>
  <si>
    <t>5e489fd7-2167-437f-964e-15bc0dd647df</t>
  </si>
  <si>
    <t>2471_34</t>
  </si>
  <si>
    <t>2471/34</t>
  </si>
  <si>
    <t>Provincial Councils Act, No. 42 of 1987 — Appointment under Section 32(1) (Gazette 2471/34)</t>
  </si>
  <si>
    <t>m1/raw/2471_34.pdf</t>
  </si>
  <si>
    <t>Y%S ,xld m%cd;dka;%sl iudcjd§ ckrcfha .eiÜ m;%h
w;s úfYI
,yqi; fr ; rdehaf Nrhryprf ; FbauR thj; j; khdg ; gjj; phpif
mjp tpNr\khdJ
wxl 2471/34 - 2026 ckjdß ui 14 jeks nodod - 2026'01'14
2471/ 34 Mk; ,yf;fk; - 2026 Mk; Mz;L rdthp khjk; 14 Me; jpfjp Gjd;fpoik
(murhq;fj;jpd; mjpfhuj;Jld; gpuRupf;fg;gl;lJ)
gFjp IV(M) - cs;~uhl;rp
cs;~u; mjpfhu rigfs; Nju;jy;fs; fl;lisr; rl;l mwptpj;jy;fs;
((226622 ஆஆம்ம் அஅத்த்திதிிியாயாாாயாயாம்ம்)) உஉள்ள்ளூளூர்ர் அஅதிதிிிகாகாாாரர சசபைபைைைகாகாள்ள் தேதேதிதிர்ர்திதில்ல்காகாள்ள் காகாட்ட்டடபைபைைைச்ச் சசட்ட்டடம்ம்
22001122 ஆஆம்ம் ஆஆண்ண்டிடின்ன் 2222 ஆஆம்ம் இஇலலக்க்காகா உஉள்ள்ளூளூர்ர் அஅதிதிிிகாகாாாரர சசபைபைைைகாகாள்ள் தேதேதிதிர்ர்திதில்ல்காகாள்ள் ((திதிிிருருத்த்திதிம்ம்)) சசட்ட்டடத்த்திதிிினானாாால்ல்
திதிிிருருத்த்திதிிியாயாபைபைைைக்க்காகாப்ப்ைைட்ட்டட உஉள்ள்ளூளூர்ர் அஅதிதிிிகாகாாாரர சசபைபைைைகாகாள்ள் தேதேதிதிர்ர்திதில்ல்காகாள்ள் காகாட்ட்டடபைபைைைச்ச் சசட்ட்டடத்த்திதிிின்ன் 226622 ஆஆம்ம் அஅத்த்திதிிியாயாாாயாயாத்த்திதிிின்ன்
6666எஎ ஆஆம்ம் ைைிிாாிிவிவிிின்ன் காகாீீழாழாாானானா அஅறிறிிிவிவிிித்த்திதில்ல்
விடதேைல் ைாகாாண, உள்ளூராட்சி ஆபைணயாாைர் தே�ரத் முதிியான்சலாதேகா சஞ்சீவினாி தே�ரத் ஆகாியா நாான், 2012 ஆம் ஆண்டின்
22 ஆம் இலக்கா, உள்ளூர் அதிிகாார சபைைகாள் (திிருத்திச்) சட்டத்திினாால் திிருத்திியாபைைக்காப்ைட்ட உள்ளூராட்சி அதிிகாார சபைைகாள்
தேதிர்தில்காள் காட்டபைைச் சட்டத்திின் 262 ஆம் அத்திியாாயாத்திின் 66எ ஆம் ைிாிவிின் காீழ் எனாக்கு அைிக்காப்ைட்டுள்ை அதிிகாாரத்திின்ைடி,
விடதேைல் ைாகாாணத்திினுள் அபைைந்துள்ை ககாாகைய்காதேனா ைிரதேதிச சபைையாின் உை திபைலவிபைர தேதிர்ந்கதிடுப்ைதிற்காானா ஒன்றுகூடல்,
குறிிப்ைிட்ட காட்டபைைச் சட்டத்திின் 66இ ைிாிவிின் ைடி 2026.02.03 ஆந் திிகாதிி மு. ை. 10.00 ைணிக்கு ககாாகைய்காதேனா ைிரதேதிச
சபைையாின் கைாதுச் சபைை ைண்டைத்திில் நாபைடகைறும் என்ைபைதி இத்திால் அறிியாத்திருகாிதேறின்.
எஎச்ச்.. எஎம்ம்.. சசஞ்ஞ்சசீீவிவினானாிி தேதே��ரரத்த்,,
உள்ளூராட்சி ஆபைணயாாைர்,
விடதேைல் ைாகாாணம்.
விடதேைல் ைாகாாண உள்ளூராட்சித் திிபைணக்காைம்,
2 ஆவிது ைாடி, விிதுசர, ைாகாாண சபைை அலுவிலகா காட்டிடத் கதிாகுதிி,
குருநாாகால்.
2026, சனாவிாி 13.
EOG 01- 0173
1A - PG 7476 — 04 (2026/01) இலங்பைகா அரசாங்கா அச்சுத் திிபைணக்காைத்திில் ைதிிப்ைிக்காப்கைற்றிது.
,t; mjp tpNrl tu;j;jkhdpia www.documents.gov.lk vd;Dk; ,izaj;jsj;jpypUe;J gjptpwf;fk; nra;a KbAk;.</t>
  </si>
  <si>
    <t>46c03833-bf6e-4b79-a1dc-345b2297b86f</t>
  </si>
  <si>
    <t>2471_35</t>
  </si>
  <si>
    <t>2471/35</t>
  </si>
  <si>
    <t>Title Registration Act, No. 21 of 1998, Section 14 — Commissioner of Title Settlement's decision under Section 14 (Gazette 2471/35)</t>
  </si>
  <si>
    <t>m1/raw/2471_35.pdf</t>
  </si>
  <si>
    <t>2cbaeffa-b9eb-4ab8-96ad-96ac1ddcf6c7</t>
  </si>
  <si>
    <t>2471_36</t>
  </si>
  <si>
    <t>2471/36</t>
  </si>
  <si>
    <t>Title Registration Act, No. 21 of 1998, Section 14 — Commissioner of Title Settlement decision (Gazette 2471/36)</t>
  </si>
  <si>
    <t>m1/raw/2471_36.pdf</t>
  </si>
  <si>
    <t>III �ක ස�ටස - ශ්‍රී ��ක ස� ‍රා���්ත්‍රික ස සම�ා�� ජ ාජයා�� ි ව ශෙ��ග ��ස ප ්‍ර� - 2026.01.14 1 A
பகுத� III - இலங்�கச் சனந�யக �ச�சலிசக் குடியரசு வர்த்தம�னப் பத்த����க - அத� வ��சஷம�னது - 2026.01.14
ශ්‍රී ��ක� ප්‍රජ���්ත්‍රික ස��ජ��දී ජනරජ�� ��සට් පත්‍රය
இலங்�கச் சனந�யக �ச�சலிசக் குடியரசு வர்த்தம�னப் பத்த����க
ි ව ශෙ��ග அத� வ��சஷம�னது
ි�ක ස 2471/36 - 2026 ාජ��රි මස 14 ��නි බ���� - 2026.01.14
2471/36 ஆம் இலக்கம் - 2026 ஆம் ஆண்டு சனவ�� ம�தம் 14 ஆந் த�கத� புதன்க�ழ�ம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12 ஆம் ப���வ�ன்
ந�யத�கள�ன்படி 2024.09.18 ஆந் த�கத�ய, 2402/06 ஆம் இலக்க வர்த்தம�ன�ய�ல் உ��ய மு�றய�ல் �வள�ய�டப்பட்டதும், க�ண�க்க�ன
உ���மக் �க���க்�கக�ளக் �க�ருக�ன்றதும�ன 42/1008 ஆம் இலக்க அற�வ�த்தலில் குற�ப்பீடு �சய்யப்பட்ட வட�மல் ம�க�ணத்த�ல்,
குருந�கல் ம�வட்டத்த�ல், ம�வதகம ப�ர�தச �சயல�ளர் ப���வ�ல், இல. 660 - களுகமுவ க�ர�ம அலுவலர் ப���வ�னுள் பல்�ல இங்குருவத்த
க�ர�மத்த�ல் அ�மந்துள்ளதும் 421934 ஆம் இலக்க கடத்த�ரல் அள�வ வ�ரபடத்த�ல் ப���வு இல. 01 இல் அடங்க�யுள்ளதும�ன 1:22, 1:26,
1:29, 1:31, 1:32 ஆம் இலக்க க�ண�த்துண்டுகளுக்க�ன உ��த்து �த�டர்ப�க இத�ன�டு இ�ணக்கப்பட்ட அட்டவ�ணய�ல் தரப்பட்டுள்ள
வ�ற�ன எனது த�ர்ம�னத்�த இத்த�ல் �வள�ப்படுத்துக�ன்�றன்.
பீ.ச�.டீ. ச��கர�,
க�ண� உ��த்து ந�ர்ணய ஆ�ணய�ளர் ந�யகம்.
க�ண� உ��த்து ந�ர்ணயத் த��ணக்களம்,
இல. 1200/6, “ம���கத �மதுர”,
இரஜமல்வத்த வீத�,
பத்தரமுல்�ல,
2025 ஆம் ஆண்டு ந�வம்பர் ம�தம் 20 ஆம் த�கத�.
1A - G 46093 - 03 (2026/01)
மு. கு. - இவ் அத�வ��ஷட வர்த்தம�ன��ய www.documents.gov.lk எனும் இ�ணயத்தளத்த�லிருந்து பத�வ�றக்கம் �சய்ய முடியும்.
2 A III �ක ස�ටස - ශ්‍රී ��ක ස� ‍රා���්ත්‍රික ස සම�ා�� ජ ාජයා�� ි ව ශෙ��ග ��ස ප ්‍ර� - 2026.01.14
பகுத� III - இலங்�கச் சனந�யக �ச�சலிசக் குடியரசு வர்த்தம�னப் பத்த����க - அத� வ��சஷம�னது - 2026.01.14
அட்டவ�ண
க�ண� வ��சட
வழக்க�ற்கு அல்லது
த�ள் இல.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(��க்டய�ர்) முகவ��யும் அட்�ட வ�ஸ்த�ரணம் இயல்பும் த�க களுள் எவ்
துண்டின் இல. தடுப்புக் வ�கக்கும்
இல. கட்ட�ள அ�மந்த�ருப்
பற்ற�ய ப�ன் வ�பரங்
வ�பரங்கள் கள்
1 : 22 0.0017 அரசு _ முழுவதும் 1வது வகுப்பு _ ந�லப்பகுத�
1 : 26 0.0005 அரசு _ முழுவதும் 1வது வகுப்பு _ ந�லப்பகுத�
1 : 29 0.0014 அரசு _ முழுவதும் 1வது வகுப்பு _ ந�லப்பகுத�
1 : 31 0.0004 அரசு _ முழுவதும் 1வது வகுப்பு _ ந�லப்பகுத�
1 : 32 0.0009 அரசு _ முழுவதும் 1வது வகுப்பு _ ந�லப்பகுத�
EOG 01 - 0138
இலங்�க அரச�ங்க அச்சுத் த��ணக்களத்த�ல் பத�ப்ப�க்கப்�பற்றது.</t>
  </si>
  <si>
    <t>5cbd2696-b289-4ea5-b3c0-f382cd9fb829</t>
  </si>
  <si>
    <t>2471_37</t>
  </si>
  <si>
    <t>2471/37</t>
  </si>
  <si>
    <t>Title Registration Act, No. 21 of 1998, Section 14 — Commissioner of Title Settlement decision (Gazette 2471/37)</t>
  </si>
  <si>
    <t>m1/raw/2471_37.pdf</t>
  </si>
  <si>
    <t>III �ක ස�ටස - ශ්‍රී ��ක ස� ‍රා���්ත්‍රික ස සම�ා�� ජ ාජයා�� ි ව ශෙ��ග ��ස ප ්‍ර� - 2026.01.14 1 A
பகுத� III - இலங்�கச் சன��யக �ச�சலிசக் குடியரசு வர்த்தம�னப் பத்த����க - அத� வ��சஷம�னது - 2026.01.14
ශ්‍රී ��ක� ප්‍රජ���්ත්‍රික ස��ජ��දී ජනරජ�� ��සට් පත්‍රය
இலங்�கச் சன��யக �ச�சலிசக் குடியரசு வர்த்தம�னப் பத்த����க
ි ව ශෙ��ග அத� வ��சஷம�னது
ි�ක ස 2471/37 - 2026 ාජ��රි මස 14 ��නි බ���� - 2026.01.14
2471/37 ஆம் இலக்கம் - 2026 ஆம் ஆண்டு சனவ�� ம�தம் 14 ஆந் த�கத� புதன்க�ழ�ம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��ன், 1998 ஆம் ஆண்டின் 21 ஆம் இலக்க உ��த்துப் பத�வுச் சட்டத்த�ன் 12 ஆம் ப���வ�ன்
��யத�கள�ன்படி 2025.02.25 ஆந் த�கத�ய, 2425/31 ஆம் இலக்க வர்த்தம�ன�ய�ல் உ��ய மு�றய�ல் �வள�ய�டப்பட்டதும், க�ண�க்க�ன
உ���மக் �க���க்�கக�ளக் �க�ருக�ன்றதும�ன 62/0889 ஆம் இலக்க அற�வ�த்தலில் குற�ப்பீடு �சய்யப்பட்ட சப்ப�ரகமுவ ம�க�ணத்த�ல்,
இரத்த�னபு�� ம�வட்டத்த�ல், �பல்மடுல்ல ப�ர�தச �சயல�ளர் ப���வ�ல், இல. 178 ஏ - �க�ணகும்புர க�ர�ம அலுவலர் ப���வ�னுள்
�க�ணகும்புர, �தமனகம்மன க�ர�மத்த�ல் அ�மந்துள்ளதும் 620705 ஆம் இலக்க கடத்த�ரல் அள�வ வ�ரபடத்த�ல் ப���வு இல. 12 இல்
அடங்க�யுள்ளதும�ன 1:49, 1:51, 1:60 ஆம் இலக்க க�ண�த்துண்டுகளுக்க�ன உ��த்து �த�டர்ப�க இத�ன�டு இ�ணக்கப்பட்ட
அட்டவ�ணய�ல் தரப்பட்டுள்ளவ�ற�ன எனது த�ர்ம�னத்�த இத்த�ல் �வள�ப்படுத்துக�ன்�றன்.
பீ.ச�.டீ. ச��கர�,
க�ண� உ��த்து ��ர்ணய ஆ�ணய�ளர் ��யகம்.
க�ண� உ��த்து ��ர்ணயத் த��ணக்களம்,
இல. 1200/6, “ம���கத �மதுர”,
இரஜமல்வத்த வீத�,
பத்தரமுல்�ல,
2025 ஆம் ஆண்டு ஓகத்து ம�தம் 13 ஆம் த�கத�.
1A - G 46094 - 03 (2026/01)
மு. கு. - இவ் அத�வ��ஷட வர்த்தம�ன��ய www.documents.gov.lk எனும் இ�ணயத்தளத்த�லிருந்து பத�வ�றக்கம் �சய்ய முடியும்.
2 A III �ක ස�ටස - ශ්‍රී ��ක ස� ‍රා���්ත්‍රික ස සම�ා�� ජ ාජයා�� ි ව ශෙ��ග ��ස ප ්‍ර� - 2026.01.14
பகுத� III - இலங்�கச் சன��யக �ச�சலிசக் குடியரசு வர்த்தம�னப் பத்த����க - அத� வ��சஷம�னது - 2026.01.14
அட்டவ�ண
க�ண� வ��சட
வழக்க�ற்கு அல்லது
த�ள் இல.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(��க்டய�ர்) முகவ��யும் அட்�ட வ�ஸ்த�ரணம் இயல்பும் த�க களுள் எவ்
துண்டின் இல. தடுப்புக் வ�கக்கும்
இல. கட்ட�ள அ�மந்த�ருப்
பற்ற�ய ப�ன் வ�பரங்
வ�பரங்கள் கள்
1 : 49 0.0016 தன�ய�ர் இல்�ல முழுவதும் 1வது வகுப்பு _ �கவ�டப்படும்
ப��த.
1 : 51 0.0063 தன�ய�ர் இல்�ல முழுவதும் 1வது வகுப்பு _ �கவ�டப்படும்
ப��த.
1 : 60 0.0007 தன�ய�ர் இல்�ல முழுவதும் 1வது வகுப்பு _ �கவ�டப்படும்
ப��த.
EOG 01 - 0139
இலங்�க அரச�ங்க அச்சுத் த��ணக்களத்த�ல் பத�ப்ப�க்கப்�பற்றது.</t>
  </si>
  <si>
    <t>62cb2c62-cdea-4dc9-a0ec-dcb135761881</t>
  </si>
  <si>
    <t>2471_38</t>
  </si>
  <si>
    <t>2471/38</t>
  </si>
  <si>
    <t>Title Registration Act, No. 21 of 1998, Section 14 — Commissioner of Title Settlement's decision under Section 14 (Gazette 2471/38)</t>
  </si>
  <si>
    <t>m1/raw/2471_38.pdf</t>
  </si>
  <si>
    <t>31a2ef3e-1e3d-49c7-9954-30db4a338aa6</t>
  </si>
  <si>
    <t>2471_39</t>
  </si>
  <si>
    <t>2471/39</t>
  </si>
  <si>
    <t>Title Registration Act, No. 21 of 1998, Section 14 — Commissioner of Title Settlement decision (Gazette 2471/39)</t>
  </si>
  <si>
    <t>Commissioner of Title Settlement's decision under Section 14 of the Title Registration Act No. 21 of 1998. Part III — Lands. Land Parcel No. 1 of Block 6 (Lot Nos. 1.37, 1.139, 1.140, 1.171) in Cadastral Map No. 821063, situated in the Village of Bakenegolla, Grama Niladhari Division of Bagamuwa, in the District of Kurunegala, North-Western Province. References Gazette 2437/18 of 20 May 2025.</t>
  </si>
  <si>
    <t>m1/raw/2471_39.pdf</t>
  </si>
  <si>
    <t>ශ්‍රී ඼ංකා ප්‍රජාාාා්ත්‍රික වමාජාලාදී ජානරජායේ ගැවට් පත්‍රය
The Gazette of the Democratic Socialist Republic of Sri Lanka
අති විශෙෂ EXTRAORDINARY
අංක 2471/39 - 2026 ජනවාරි මස 14 වැනි බදාදා - 2026.01.26
No. 2471/39 – WEDNESDAY, JANUARY 14,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Nos. 1:87, 1:139, 1:140,
1:171 of Block 6, contained in the Cadastral Map No. 421861 , situated in the Village of Paranagampitiya, within the Grama Niladhari
Division of No. 522 Bakmeegolla in the Divisional Secretary's Division of Ibbagamuwa, in the District of Kurunegala, in the Province
of North West, referred to in Notice No. 42/1095 calling for claims to land parcels which was duly published in the Gazette No. 2437/18
of 20th May, 2025 in terms of Section 12 of the Registration of Title Act, No.21 of 1998.
P. C. D. SIGERA,
Commissioner General of Land Title Settlement.
Land Title Settlement Department,
No. 1200/6, “Mihikatha Medura”,
Rajamalwatta Road,
Battaramulla,
15th August, 2025.
1A - G 46096 - 03 (01/2026)
N.B.– This Gazette Extraordinary can be downloaded from www.documents.gov.lk
2 A III යකොටව - ශ්‍රී ඼ංකා ප්‍රජාාාා්ත්‍රික වමාජාලාදී ජානරජායේ ි ව ශෙය඾඿ ගැවට් පත්‍රය - 2026.01.14
Part III – GAZETTE EXTRA ORDINARY OF THE DEMOCRATIC SOCIALIST REPUBLIC OF SRI LANKA – 14.01.2026
SCHEDULE
——————————————————————————————————————————————————————————————————————————————————————————————————————————————————————————————————————————————————————————————————————————————————————————————————————————————————————————————————————————————————————
Particulars Particulars
Class and regarding if
Sheet No. National Extent Nature Mortgages subject
and Extent Full Name/s of Owner/s Identity Owned of Encumbrances to any
Parcel and Address Card No. Title pending form of
No. Adjudication special or
and personal
Injunction law
——————————————————————————————————————————————————————————————————————————————————————————————————————————————————————————————————————————————————————————————————————————————————————————————————————————————————————————————————————————————————————
(Hectare)
1 : 87 0.0380 Suduweli Kondage Rupika 198982902738 Full 1st Class With the right
341/22, to access with
Paranagampitiya, Bakmeegolla, Servitude of
Ibbagamuwa. Parcel No.
421861/06/01/65
1 : 139 0.0022 The State _ Full 1st Class _
1 : 140 0.0602 The State _ Full 1st Class _
1 : 171 0.0067 The State _ Full 1st Class _
EOG 01 - 0141
PRINTED AT THE DEPARTMENT OF GOVERNMENT PRINTING, SRI LANKA.</t>
  </si>
  <si>
    <t>b724cce5-9f4d-42fa-82e0-ec9bc3d2cadc</t>
  </si>
  <si>
    <t>2471_40</t>
  </si>
  <si>
    <t>2471/40</t>
  </si>
  <si>
    <t>Title Registration Act, No. 21 of 1998, Section 14 — Commissioner of Title Settlement's decision under Section 14 (Gazette 2471/40)</t>
  </si>
  <si>
    <t>m1/raw/2471_40.pdf</t>
  </si>
  <si>
    <t>0cb2daae-0916-4ef5-b294-9e8f6605df40</t>
  </si>
  <si>
    <t>2471_41</t>
  </si>
  <si>
    <t>2471/41</t>
  </si>
  <si>
    <t>Title Registration Act, No. 21 of 1998, Section 14 — Commissioner of Title Settlement's decision under Section 14 (Gazette 2471/41)</t>
  </si>
  <si>
    <t>m1/raw/2471_41.pdf</t>
  </si>
  <si>
    <t>23c5f893-04ae-46ca-9020-1c7c91343120</t>
  </si>
  <si>
    <t>2471_42</t>
  </si>
  <si>
    <t>2471/42</t>
  </si>
  <si>
    <t>Title Registration Act, No. 21 of 1998, Section 14 — Commissioner of Title Settlement's decision under Section 14 (Gazette 2471/42)</t>
  </si>
  <si>
    <t>m1/raw/2471_42.pdf</t>
  </si>
  <si>
    <t>9309e3df-170f-458d-9b1f-a6bbcc98c422</t>
  </si>
  <si>
    <t>2471_43</t>
  </si>
  <si>
    <t>2471/43</t>
  </si>
  <si>
    <t>Title Registration Act, No. 21 of 1998, Section 14 — Commissioner of Title Settlement's decision under Section 14 (Gazette 2471/43)</t>
  </si>
  <si>
    <t>m1/raw/2471_43.pdf</t>
  </si>
  <si>
    <t>68fa7bea-b4e6-4dbe-8fa3-20a01bd2d68d</t>
  </si>
  <si>
    <t>2471_44</t>
  </si>
  <si>
    <t>2471/44</t>
  </si>
  <si>
    <t>Title Registration Act, No. 21 of 1998, Section 14 — Commissioner of Title Settlement's decision under Section 14 (Gazette 2471/44)</t>
  </si>
  <si>
    <t>m1/raw/2471_44.pdf</t>
  </si>
  <si>
    <t>6cc36293-ecec-4736-becb-2e8b9662ecfc</t>
  </si>
  <si>
    <t>2471_45</t>
  </si>
  <si>
    <t>2471/45</t>
  </si>
  <si>
    <t>Title Registration Act, No. 21 of 1998, Section 14 — Commissioner of Title Settlement decision (Gazette 2471/45)</t>
  </si>
  <si>
    <t>m1/raw/2471_45.pdf</t>
  </si>
  <si>
    <t>III ෙක(cid:675)ටස – (cid:636) ලංකා (cid:541)ජාතා(cid:486)(cid:437)ක සමාජවා(cid:463) ජනරජෙ(cid:591) අ(cid:431) (cid:618)ෙශෂ ගැස(cid:376) ප(cid:436)ය – 2026.01.14 1 A
ப(cid:8065)தி III – இல(cid:8113)ைக(cid:8114) சனநாயக ேசாச(cid:8098)ச(cid:8112) (cid:8065)(cid:8074)யர(cid:8070) வ(cid:8125)(cid:8119)தமான(cid:8122) ப(cid:8119)திாிைக - அதி விேசஷமான(cid:8080) – 2026.01.14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2471/45 - 2026 ජනවා(cid:604) මස 14 වැ(cid:487) බදාදා - 2026.01.14
2471/45 ஆ(cid:8123) இல(cid:8112)க(cid:8123) - 2026 ஆ(cid:8123) ஆ(cid:8118)(cid:8076) சனவாி மாத(cid:8123) 14 ஆ(cid:8120) திகதி (cid:8087)த(cid:8121)கிழைம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12 ஆ(cid:8123) பிாிவி(cid:8121)
நியதிகளி(cid:8121)ப(cid:8074) 2024.07.01 ஆ(cid:8120) திகதிய 2391/08 ஆ(cid:8123) இல(cid:8112)க வ(cid:8125)(cid:8119)தமானியி(cid:8127) உாிய (cid:8089)ைறயி(cid:8127) ெவளியிட(cid:8122)ப(cid:8117)ட(cid:8080)(cid:8123), காணி(cid:8112)கான
உாிைம(cid:8112) ேகாாி(cid:8112)ைககைள(cid:8112) ேகா(cid:8094)கி(cid:8121)ற(cid:8080)மான 51/1379 ஆ(cid:8123) இல(cid:8112)க அறிவி(cid:8119)த(cid:8098)(cid:8127) (cid:8065)றி(cid:8122)(cid:8086)(cid:8076) ெச(cid:8124)ய(cid:8122)ப(cid:8117)ட ேம(cid:8127) மாகாண(cid:8119)தி(cid:8121),
க(cid:8123)பஹா மாவ(cid:8117)ட(cid:8119)தி(cid:8127), ஜா-எல பிரேதச ெசயலாள(cid:8125) பிாிவி(cid:8127), இல. 181ஜீ - த(cid:8123)(cid:8087)வ கிராம அ(cid:8100)வல(cid:8125) பிாிவி(cid:8084)(cid:8128) ராகம கிராம(cid:8119)தி(cid:8127)
அைம(cid:8120)(cid:8080)(cid:8128)ள(cid:8080)(cid:8123) 512213 ஆ(cid:8123) இல(cid:8112)க கட(cid:8119)திர(cid:8127) அளைவ வைரபட(cid:8119)தி(cid:8127) பிாி(cid:8107) இல. 03 இ(cid:8127) அட(cid:8113)கி(cid:8092)(cid:8128)ள(cid:8080)மான 1:1, 1:2, 1:3, 1:4, 1:5
ம(cid:8126)(cid:8096)(cid:8123) 1:6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26 ஆ(cid:8120) திகதி.
1A - G 46102 - 03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2026.01.14
ப(cid:8065)தி III – இல(cid:8113)ைக(cid:8114) சனநாயக ேசாச(cid:8098)ச(cid:8112) (cid:8065)(cid:8074)யர(cid:8070) வ(cid:8125)(cid:8119)தமான(cid:8122) ப(cid:8119)திாிைக - அதி விேசஷமான(cid:8080) – 2026.01.14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 : 1 0.0222 அர(cid:8070) _ (cid:8089)(cid:8104)வ(cid:8080)(cid:8123) 1ஆவ(cid:8080) வ(cid:8065)(cid:8122)(cid:8087) _
1 : 2 0.0044 அர(cid:8070) _ (cid:8089)(cid:8104)வ(cid:8080)(cid:8123) 1ஆவ(cid:8080) வ(cid:8065)(cid:8122)(cid:8087) _
1 : 3 0.0563 அர(cid:8070) _ (cid:8089)(cid:8104)வ(cid:8080)(cid:8123) 1ஆவ(cid:8080) வ(cid:8065)(cid:8122)(cid:8087) _
1 : 4 0.0100 அர(cid:8070) _ (cid:8089)(cid:8104)வ(cid:8080)(cid:8123) 1ஆவ(cid:8080) வ(cid:8065)(cid:8122)(cid:8087) _
1 : 5 0.0264 அர(cid:8070) _ (cid:8089)(cid:8104)வ(cid:8080)(cid:8123) 1ஆவ(cid:8080) வ(cid:8065)(cid:8122)(cid:8087) _
1 : 6 0.0913 அர(cid:8070) _ (cid:8089)(cid:8104)வ(cid:8080)(cid:8123) 1ஆவ(cid:8080) வ(cid:8065)(cid:8122)(cid:8087) _
EOG 01 - 0147
இல(cid:8113)ைக அரசா(cid:8113)க அ(cid:8114)(cid:8070)(cid:8119) திைண(cid:8112)கள(cid:8119)தி(cid:8127) பதி(cid:8122)பி(cid:8112)க(cid:8122)ெப(cid:8126)ற(cid:8080).</t>
  </si>
  <si>
    <t>c2d5af0b-0cee-41fd-a941-2be11b1a8005</t>
  </si>
  <si>
    <t>2471_46</t>
  </si>
  <si>
    <t>2471/46</t>
  </si>
  <si>
    <t>Title Registration Act, No. 21 of 1998, Section 14 — Commissioner of Title Settlement's decision under Section 14 (Gazette 2471/46)</t>
  </si>
  <si>
    <t>m1/raw/2471_46.pdf</t>
  </si>
  <si>
    <t>9c9f15bc-12e8-469b-a053-f5d5741ec626</t>
  </si>
  <si>
    <t>2471_47</t>
  </si>
  <si>
    <t>2471/47</t>
  </si>
  <si>
    <t>Title Registration Act, No. 21 of 1998, Section 14 — Commissioner of Title Settlement's decision under Section 14 (Gazette 2471/47)</t>
  </si>
  <si>
    <t>m1/raw/2471_47.pdf</t>
  </si>
  <si>
    <t>bb1d59cf-a095-4152-a390-34dbdc918574</t>
  </si>
  <si>
    <t>2471_48</t>
  </si>
  <si>
    <t>2471/48</t>
  </si>
  <si>
    <t>Title Registration Act, No. 21 of 1998, Section 14 — Commissioner of Title Settlement's decision under Section 14 (Gazette 2471/48)</t>
  </si>
  <si>
    <t>m1/raw/2471_48.pdf</t>
  </si>
  <si>
    <t>dd5864c3-2fd3-419f-8d2c-6b8fc23f501e</t>
  </si>
  <si>
    <t>2471_49</t>
  </si>
  <si>
    <t>2471/49</t>
  </si>
  <si>
    <t>Title Registration Act, No. 21 of 1998, Section 14 — Commissioner of Title Settlement decision (Gazette 2471/49)</t>
  </si>
  <si>
    <t>Commissioner of Title Settlement's decision under Section 14 of the Title Registration Act No. 21 of 1998. Part III — Lands. Land Parcel No 1: 22 of Block 5, contained in the Cadastral Map No. 512200, situated in the Village of Thadidla within the Grama Niladhari Division of No. 192B - Thadalla North in the Divisional Secretary's Division of Jaffna, in the District of Gampaha, in the Province of Western. References Gazette 1860/19 of 30 April 2014. Dated 28 October 2025.</t>
  </si>
  <si>
    <t>m1/raw/2471_49.pdf</t>
  </si>
  <si>
    <t>ශ්‍රී ලංකා ප්‍රජාාාා්ත්‍රික සමාජාවාදී ජානරජායේ ගැසට් පත්‍රය
The Gazette of the Democratic Socialist Republic of Sri Lanka
අති විශෙෂ EXTRAORDINARY
අංක 2471/49 - 2026 ජනවාරි මස 14 වැනි බදාදා - 2026.01.14
No. 2471/49 – WEDNESDAY, JANUARY 14,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 : 22 of Block 5,
contained in the Cadastral Map No. 512200, situated in the Village of Thudella within the Grama Niladhari Division of
No. 192B - Thudella North in the Divisional Secretary's Division of Ja-Ela, in the District of Gampaha, in the Province of Western,
referred to in Notice No. 51/0652 calling for claims to land parcels which was duly published in the Gazette No. 1860/19 of 30th April,
2014 in terms of Section 12 of the Registration of Title Act, No.21 of 1998.
P. C. D. Sigera,
Commissioner General of Land Title Settlement.
Land Title Settlement Department,
No. 1200/6, “Mihikatha Medura”,
Rajamalwatta Road,
Battaramulla,
28th October, 2025.
1A - G 046105 - 03 (01/2026)
N.B.– This Extraordinary Gazette can be downloaded from www.documents.gov.lk
2 A III යකොටස - ශ්‍රී ලංකා ප්‍රජාාාා්ත්‍රික සමාජාවාදී ජානරජායේ ි ව ශෙය ග ගැසට් පත්‍රය - 2026.01.14
Part III – GAZETTE EXTRA ORDINARY OF THE DEMOCRATIC SOCIALIST REPUBLIC OF SRI LANKA – 14.01.2026
SCHEDULE
Particulars Particulars
Sheet Class and regarding if
No.and National Extent Nature Mortgages subject
Parcel Extent Full Name/s of Owner/s Identity Owned of Encumbrances to any
No. and Address Card No. Title pending form of
Adjudication special or
and personal
Injunction law
(Hectare)
1:22 0.0250 Kuranage Reeta Magrat Perera 195480403450 Full 1st Class With the right _
No. 122/D1, Wahatiyagama, Thudella, of way of
Ja ela Parcel No. 20
EOG 01 - 0150/1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 : 374 of Block 1,
contained in the Cadastral Map No. 512210, situated in the Village of Batuwaththa within the Grama Niladhari Division of
No. 213A - Batuwatta East in the Divisional Secretary's Division of Ja-Ela, in the District of Gampaha, in the Province of Western,
referred to in Notice No. 51/1273 calling for claims to land parcels which was duly published in the Gazette No. 2309/55 of 10th
December, 2022 in terms of Section 12 of the Registration of Title Act, No.21 of 1998.
P. C. D. Sigera,
Commissioner General of Land Title Settlement.
Land Title Settlement Department,
No. 1200/6, “Mihikatha Medura”,
Rajamalwatta Road,
Battaramulla,
28th October, 2025.
SCHEDULE
Particulars Particulars
Sheet Class and regarding if
No.and National Extent Nature Mortgages subject
Parcel Extent Full Name/s of Owner/s Identity Owned of Encumbrances to any
No. and Address Card No. Title pending form of
Adjudication special or
and personal
Injunction law
(Hectare)
1:374 0.0239 Udawatta Appuhamilage Dona Subanya 200466100216 Full 1st Class With the right _
Sasanthi Samarasekara to access with
No. 715/3, Narangodapaluva, servitude of
Batuwatta Parcel Nos. 375
and 446
EOG 01 - 0150/2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Nos. 1 : 1, 1 : 12, 1 : 90,
1 : 169, 1 : 170, 1 : 171, 1 : 172, 1 : 173, 1 : 174, 1 : 175, 2 : 1 and 2 : 2 of Block 3, contained in the Cadastral Map No. 512210, situated
III යකොටස - ශ්‍රී ලංකා ප්‍රජාාාා්ත්‍රික සමාජාවාදී ජානරජායේ ි ව ශෙය ග ගැසට් පත්‍රය - 2026.01.14 3 A
Part III – GAZETTE EXTRA ORDINARY OF THE DEMOCRATIC SOCIALIST REPUBLIC OF SRI LANKA – 14.01.2026
in the Village of Meddegoda within the Grama Niladhari Division of No. 213A - Batuwatta East in the Divisional Secretary's Division
of Ja-Ela, in the District of Gampaha, in the Province of Western, referred to in Notice No. 51/1231 calling for claims to land parcels
which was duly published in the Gazette No. 2295/41 of 02nd September, 2022 in terms of Section 12 of the Registration of Title Act,
No.21 of 1998.
P. C. D. Sigera,
Commissioner General of Land Title Settlement.
Land Title Settlement Department,
No. 1200/6, “Mihikatha Medura”,
Rajamalwatta Road,
Battaramulla,
28th October, 2025.
SCHEDULE
Particulars Particulars
Sheet Class and regarding if
No.and National Extent Nature Mortgages subject
Parcel Extent Full Name/s of Owner/s Identity Owned of Encumbrances to any
No. and Address Card No. Title pending form of
Adjudication special or
and personal
Injunction law
(Hectare)
1:1 0.0635 The State Full 1st Class _ _
1:12 0.1296 Jaela Pradeshiya Sabha Full 1st Class _ _
1:90 0.0343 The State Full 1st Class _ _
1:169 0.2316 Jaela Pradeshiya Sabha Full 1st Class _ _
1:170 0.0008 The State Full 1st Class _ _
1:171 0.0066 The State Full 1st Class _ _
1:172 0.0043 Jaela Pradeshiya Sabha Full 1st Class _ _
1:173 0.0019 The State Full 1st Class _ _
1:174 0.0036 Jaela Pradeshiya Sabha Full 1st Class _ _
1:175 0.0060 The State Full 1st Class _ _
2:1 0.2471 The State Full 1st Class _ _
2:2 0.3215 The State Full 1st Class _ Play Ground
EOG 01 - 0150/3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7 : 1 of Block 5,
contained in the Cadastral Map No. 512239, situated in the Village of Narangodapaluwa within the Grama Niladhari Division of
No. 214A - Narangodapaluwa East in the Divisional Secretary's Division of Ja-Ela, in the District of Gampaha, in the Province of
Western, referred to in Notice No. 51/1071 calling for claims to land parcels which was duly published in the Gazette No. 2102/8 of
17th December, 2018 in terms of Section 12 of the Registration of Title Act, No.21 of 1998.
P. C. D. Sigera,
Commissioner General of Land Title Settlement.
Land Title Settlement Department,
No. 1200/6, “Mihikatha Medura”,
Rajamalwatta Road,
Battaramulla,
28th October, 2025.
4 A III යකොටස - ශ්‍රී ලංකා ප්‍රජාාාා්ත්‍රික සමාජාවාදී ජානරජායේ ි ව ශෙය ග ගැසට් පත්‍රය - 2026.01.14
Part III – GAZETTE EXTRA ORDINARY OF THE DEMOCRATIC SOCIALIST REPUBLIC OF SRI LANKA – 14.01.2026
SCHEDULE
Particulars Particulars
Sheet Class and regarding if
No.and National Extent Nature Mortgages subject
Parcel Extent Full Name/s of Owner/s Identity Owned of Encumbrances to any
No. and Address Card No. Title pending form of
Adjudication special or
and personal
Injunction law
(Hectare)
7:1 0.0223 Hapu Arachchige Don Pasindu Chathuranga 200406012206 Full 1st Class Subject to the _
No. 732/C, Narangodapava, Batuwatta life inertest of
Hapuarachchige
Ranasinghe and
Ailin Pieris
EOG 01 - 0150/4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3 : 2 of Block 3,
contained in the Cadastral Map No. 512240, situated in the Village of Narangodapaluwa within the Grama Niladhari Division of
No. 214 - Narangodapaluwa West in the Divisional Secretary's Division of Ja-Ela, in the District of Gampaha, in the Province of
Western, referred to in Notice No. 51/1162 calling for claims to land parcels which was duly published in the Gazette No. 2219/14 of
15th March, 2021 in terms of Section 12 of the Registration of Title Act, No.21 of 1998.
P. C. D. Sigera,
Commissioner General of Land Title Settlement.
Land Title Settlement Department,
No. 1200/6, “Mihikatha Medura”,
Rajamalwatta Road,
Battaramulla,
28th October, 2025.
SCHEDULE
Particulars Particulars
Sheet Class and regarding if
No.and National Extent Nature Mortgages subject
Parcel Extent Full Name/s of Owner/s Identity Owned of Encumbrances to any
No. and Address Card No. Title pending form of
Adjudication special or
and personal
Injunction law
(Hectare)
3:2 0.1012 Ekanayakage Anil Sanjeewa Ekanayaka 196711800976 Full 1st Class _ _
No. 53/J/7, Dharmarathna Mawatha,
Pahalagama,
Gampaha
EOG 01 - 0150/5
PRINTED AT THE DEPARTMENT OF GOVERNMENT PRINTING, SRI LANKA.</t>
  </si>
  <si>
    <t>8435f79b-f5d4-49cd-b1e6-7fa693462208</t>
  </si>
  <si>
    <t>2471_50</t>
  </si>
  <si>
    <t>2471/50</t>
  </si>
  <si>
    <t>Provincial Councils Act, No. 42 of 1987 — Provincial appointment / notice (Gazette 2471/50)</t>
  </si>
  <si>
    <t>m1/raw/2471_50.pdf</t>
  </si>
  <si>
    <t>449d4674-915f-4fb4-a69a-ad6ea98855c9</t>
  </si>
  <si>
    <t>2471_51</t>
  </si>
  <si>
    <t>2471/51</t>
  </si>
  <si>
    <t>Sri Lanka Anti-Doping Agency Act, No. 33 of 2013 — Anti-doping regulation (Gazette 2471/51)</t>
  </si>
  <si>
    <t>2013 අංක 33 දරන ක්‍රීඩාවල යෙදීදී උත්තේතේජක ද්‍රවය ගැනීමට එරෙහි සම්මුති පනත - උත්තේතේජක ද්‍රවය නියාමන</t>
  </si>
  <si>
    <t>2013 ஆம் ஆண்டின் 33 ஆம் இலக்க இலங்கை ஊக்க மருந்து எதிர்ப்பு முகவராண்மை சட்டம் - ஊக்க மருந்து ஒழுங்குமுறை</t>
  </si>
  <si>
    <t>Notice under the Sri Lanka Anti-Doping Agency Act, No. 33 of 2013 (as amended by Act No. 21 of 2025) covering anti-doping rules and prohibited-substance lists for sport.</t>
  </si>
  <si>
    <t>Sri Lanka Anti-Doping Agency Act, No. 33 of 2013</t>
  </si>
  <si>
    <t>m1/raw/2471_51.pdf</t>
  </si>
  <si>
    <t>8808c940-3de1-46c4-b798-1e57a51ebca0</t>
  </si>
  <si>
    <t>2471_52</t>
  </si>
  <si>
    <t>2471/52</t>
  </si>
  <si>
    <t>General Government Notification (Gazette 2471/52)</t>
  </si>
  <si>
    <t>m1/raw/2471_52.pdf</t>
  </si>
  <si>
    <t>Y%S ,xld m%cd;dka;%sl iudcjd§ ckrcfha .eiÜ m;%h
w;s úfYI
,yq;ifr; rdehaf Nrhryprf; FbauR th;j;jkhdg; gj;jphpif
mjp tpNr\khdJ
wxl 2471/52 - 2026 ckjdß ui 16 jeks isl=rdod - 2026'01'16
2471/ 52 Mk; ,yf;fk; - 2026 Mk; Mz;L rdthp khjk; 16 Me; jpfjp nts;spf;fpoik
(murhq;fj;jpd; mjpfhuj;Jld; gpuRupf;fg;gl;lJ)
gFjp I : njhFjp (I) - nghJ
murhq;f mwptpj;jy;fs;
22002211 ஆஆம்ம் ஆஆண்ண்டிடின்ன் 1111ஆஆம்ம் இஇலலக்க்கக,, ககககொொழுழும்ம்புபுத்த் துதுறைறைைைமுமுகக நநககரரப்ப் கக��ொொருருளாளாொொதாதாொொரர ஆஆறைறை��க்க்குகுழுழுச்ச் சசட்ட்டடம்ம்
53 ஆம் �ிொிவிின் கீழாொன கட்டறைளா
2021 ஆம் ஆண்டின் 11 ஆம் இலக்க, ககொழும்புத் துறைைமுக நகரப் க�ொருளாொதாொர ஆறை�க்குழுச் சட்டத்தாின் 53 ஆம் �ிொிவிினொல்
எனக்குொித்தாொக்கப்�ட்ட தாத்துவிங்களாின் �யனொக நிதாி, தாிட்டமிிடல் மிற்றும் க�ொருளாொதாொர அ�ிவிிருத்தாி அறைமிச்சர் அநுர குமிொர
தாிசொநொயக்க ஆகிய நொன், ககொழும்புத் துறைைமுக நகரப் க�ொருளாொதாொர ஆறை�க்குழுவிின் சி�ொொிசுகறைளா கருத்தாிற்ககொண்டும்
அறைமிச்சரறைவியின் அங்கீகொரத்தாின்மமிலும் 2025, யூறைல 14 ஆந் தாிகதாிய 2445/02 ஆம் இலக்க அதாிவிிமசட விர்த்தாமிொனியில்
கவிிியிடப்�ட்ட கட்டறைளாறைய இக்கட்டறைளா மூலம் �ின்விருமிொறு தாிருத்துகின்மைன் :-
(1) அக்கட்டறைளாயின் III ஆம் அட்டவிறை�யில் -
(அ) அவ்விட்டவிறை�யின் 3 ஆம் மிற்றும் 4 ஆம் விிடயங்கறைளா நீக்கிவிிடுவிதான் மூலமும் ; அத்துடன்
(ஆ) அவ்விட்டவிறை�யின் 10 ஆம் விிடயத்தாின் இச்சட்டத்தாின் “சகல ஏற்�ொடுகளாிலிருந்து விிலக்களாிக்கப்�டும்” என்னும்
கசொற்களுக்குப் �தாிலொக “இச்சட்டத்தாின் 2 ஆம், 11 ஆம் மிற்றும் 12 ஆம் �ிொிவுகளாிலிருந்து விிலக்களாிக்கப்�டும்” என்னும்
கசொற்கறைளாயும் இலக்கங்கறைளாயும் இடுவிதான் மூலமும் ; அத்துடன்
(2) அக்கட்டறைளாயின் IV ஆம் அட்டவிறை�யில் அவ்விட்டவிறை�யின் 3 ஆம் மிற்றும் 4 ஆம் இலக்க விிடயங்கறைளா நீக்கிவிிடுவிதான்
மூலமும்.
அஅநுநுரர குகுமிமிொொரர தாதாிிசசொொநநொொயயக்க்கக,
நிதாி, தாிட்டமிிடல் மிற்றும் க�ொருளாொதாொர அ�ிவிிருத்தாி அறைமிச்சர்.
நிதாி, தாிட்டமிிடல் மிற்றும் க�ொருளாொதாொர அ�ிவிிருத்தாி அறைமிச்சு,
ககொழும்பு,
2026, சனவிொி 16.
EOG 01 - 0170
1A - PG 7473 — 378 (2026/01) ,yq;if murhq;f mr;Rj; jpizf;fsj;jpw; gjpg;gpf;fg;ngw;wJ.
,t; mjptpNrl tu;j;jkhdpia www.documents.gov.lk vDk; ,izaj;jsj;jpypUe;J gjptpwf;fk; nra;a KbAk;.</t>
  </si>
  <si>
    <t>6c8de194-5d95-48f7-bd45-18c311ba53b8</t>
  </si>
  <si>
    <t>2471_53</t>
  </si>
  <si>
    <t>2471/53</t>
  </si>
  <si>
    <t>General Government Notification (Gazette 2471/53)</t>
  </si>
  <si>
    <t>m1/raw/2471_53.pdf</t>
  </si>
  <si>
    <t>Y%S ,xld m%cd;dka;%sl iudcjd§ ckrcfha .eiÜ m;%h
w;s úfYI
,yq;ifr; rdehaf Nrhryprf; FbauR th;j;jkhdg; gj;jphpif
mjp tpNr\khdJ
wxl 2471/53 - 2026 ckjdß ui 16 jeks isl=rdod - 2026'01'16
2471/ 53 Mk; ,yf;fk; - 2026 Mk; Mz;L rdthp khjk; 16 Me; jpfjp nts;spf;fpoik
(murhq;fj;jpd; mjpfhuj;Jld; gpuRupf;fg;gl;lJ)
gFjp I : njhFjp (I) - nghJ
murhq;f mwptpj;jy;fs;
22002211 ஆஆம்ம் ஆஆண்ண்டிடின்ன் 1111 ஆஆம்ம் இஇலலக்க்கக,, ககககொொழுழும்ம்புபுத்த் துதுறைறைைைமுமுகக நநககரரப்ப் கக��ொொருருளாளாொொதாதாொொரர ஆஆறைறை��க்க்குகுழுழுச்ச் சசட்ட்டடம்ம்
53 ஆம் �ிொிவிின் கீழாொன கட்டறைளா
2021 ஆம் ஆண்டின் 11 ஆம் இலக்க ககொழும்புத் துறைைமுக நகரப் க�ொருளாொதாொர ஆறை�க்குழுச் சட்டத்தாின் 53 ஆம் �ிொிவிினொல்
எனக்குொித்தாொக்கப்�ட்ட தாத்துவிங்களாின் �யனொக நிதாி, தாிட்டமிிடல் மிற்றும் க�ொருளாொதாொர அ�ிவிிருத்தாி அறைமிச்சர் அநுர குமிொர
தாிசொநொயக்க ஆகிய நொன், ககொழும்புத் துறைைமுக நகரப் க�ொருளாொதாொர ஆறை�க்குழுவிின் சி�ொொிசுகறைளா கருத்தாிற்ககொண்டும்
அறைமிச்சரறைவியின் அங்கீகொரத்தாின்மமிலும் 2025, யூறைல, 14 ஆந் தாிகதாிய 2445/04 ஆம் இலக்க அதாிவிிமசட விர்த்தாமிொனியில்
கவிிியிடப்�ட்ட கட்டறைளாறைய இக்கட்டறைளா மூலம் �ின்விருமிொறு தாிருத்துகின்மைன்:-
(1) அக்கட்டறைளாயின் III ஆம் அட்டவிறை�யில் -
(அ) அவ்விட்டவிறை�யின் 3 ஆம் மிற்றும் 4 ஆம் விிடயங்கறைளா நீக்கிவிிடுவிதான் மூலமும் ; அத்துடன்
(ஆ) அவ்விட்டவிறை�யின் 10 ஆம் விிடயத்தாின் இச்சட்டத்தாின் “சகல ஏற்�ொடுகளாிலிருந்து விிலக்களாிக்கப்�டும்” என்னும்
கசொற்களுக்குப் �தாிலொக “இச்சட்டத்தாின் 2 ஆம், 11 ஆம் மிற்றும் 12 ஆம் �ிொிவுகளாிலிருந்து விிலக்களாிக்கப்�டும்” என்னும்
கசொற்கறைளாயும் இலக்கங்கறைளாயும் இடுவிதான் மூலமும் ; அத்துடன்
(2) அக்கட்டறைளாயின் IV ஆம் அட்டவிறை�யில் அவ்விட்டவிறை�யின் 3 ஆம் மிற்றும் 4 ஆம் இலக்க விிடயங்கறைளா நீக்கிவிிடுவிதான்
மூலமும்.
அஅநுநுரர குகுமிமிொொரர தாதாிிசசொொநநொொயயக்க்கக,
நிதாி, தாிட்டமிிடல் மிற்றும் க�ொருளாொதாொர அ�ிவிிருத்தாி அறைமிச்சர்.
நிதாி, தாிட்டமிிடல் மிற்றும் க�ொருளாொதாொர அ�ிவிிருத்தாி அறைமிச்சு,
ககொழும்பு,
2026, சனவிொி 16.
EOG 01 - 0169
1A - PG 7472 — 378 (2026/01) ,yq;if murhq;f mr;Rj; jpizf;fsj;jpw; gjpg;gpf;fg;ngw;wJ.
,t; mjptpNrl tu;j;jkhdpia www.documents.gov.lk vDk; ,izaj;jsj;jpypUe;J gjptpwf;fk; nra;a KbAk;.</t>
  </si>
  <si>
    <t>1bdb287a-af77-4037-a1b8-e8e296681204</t>
  </si>
  <si>
    <t>2471_54</t>
  </si>
  <si>
    <t>2471/54</t>
  </si>
  <si>
    <t>General Government Notification (Gazette 2471/54)</t>
  </si>
  <si>
    <t>m1/raw/2471_54.pdf</t>
  </si>
  <si>
    <t>Y%S ,xld m%cd;dka;%sl iudcjd§ ckrcfha .eiÜ m;%h
w;s úfYI
,yq;ifr; rdehaf Nrhryprf; FbauR th;j;jkhdg; gj;jphpif
mjp tpNr\khdJ
wxl 2471/54 - 2026 ckjdß ui 16 jeks isl=rdod - 2026'01'16
2471/ 54 Mk; ,yf;fk; - 2026 Mk; Mz;L rdthp khjk; 16 Me; jpfjp nts;spf;fpoik
(murhq;fj;jpd; mjpfhuj;Jld; gpuRupf;fg;gl;lJ)
gFjp I : njhFjp (I) - nghJ
murhq;f mwptpj;jy;fs;
22002211 ஆஆம்ம் ஆஆண்ண்டிடின்ன் 1111 ஆஆம்ம் இஇலலக்க்கக,, ககககொொழுழும்ம்புபுத்த் துதுறைறைைைமுமுகக நநககரரப்ப் கக��ொொருருளாளாொொதாதாொொரர ஆஆறைறை��க்க்குகுழுழுச்ச் சசட்ட்டடம்ம்
53 ஆம் �ிொிவிின் கீழாொன கட்டறைளா
2021ஆம் ஆண்டின் 11 ஆம் இலக்க, ககொழும்புத் துறைைமுக நகரப் க�ொருளாொதாொர ஆறை�க்குழுச் சட்டத்தாின் 53 ஆம் �ிொிவிினொல்
எனக்குொித்தாொக்கப்�ட்ட தாத்துவிங்களாின் �யனொக நிதாி, தாிட்டமிிடல் மிற்றும் க�ொருளாொதாொர அ�ிவிிருத்தாி அறைமிச்சர் அநுர குமிொர
தாிசொநொயக்க ஆகிய நொன், ககொழும்புத் துறைைமுக நகரப் க�ொருளாொதாொர ஆறை�க்குழுவிின் சி�ொொிசுகறைளா கருத்தாிற் ககொண்டும்
அறைமிச்சரறைவியின் அங்கீகொரத்தாின்மமிலும் 2025, யூறைல 14 ஆந் தாிகதாிய 2445/05 ஆம் இலக்க அதாிவிிமசட விர்த்தாமிொனியில்
கவிிியிடப்�ட்ட கட்டறைளாறைய இக்கட்டறைளா மூலம் �ின்விருமிொறு தாிருத்துகின்மைன் :-
(1) அக்கட்டறைளாயின் III ஆம் அட்டவிறை�யில் -
(அ) அவ்விட்டவிறை�யின் 3 ஆம் மிற்றும் 4 ஆம் விிடயங்கறைளா நீக்கிவிிடுவிதான் மூலமும் ; அத்துடன்
(ஆ) அவ்விட்டவிறை�யின் 10 ஆம் விிடயத்தாின் இச்சட்டத்தாின் “சகல ஏற்�ொடுகளாிலிருந்து விிலக்களாிக்கப்�டும்” என்னும்
கசொற்களுக்குப் �தாிலொக “இச்சட்டத்தாின் 2 ஆம், 11 ஆம் மிற்றும் 12 ஆம் �ிொிவுகளாிலிருந்து விிலக்களாிக்கப்�டும்” என்னும்
கசொற்கறைளாயும் இலக்கங்கறைளாயும் இடுவிதான் மூலமும் ; அத்துடன்
(2) அக்கட்டறைளாயின் IV ஆம் அட்டவிறை�யில் அவ்விட்டவிறை�யின் 3 ஆம் மிற்றும் 4 ஆம் இலக்க விிடயங்கறைளா நீக்கிவிிடுவிதான்
மூலமும்.
அஅநுநுரர குகுமிமிொொரர தாதாிிசசொொநநொொயயக்க்கக,
நிதாி, தாிட்டமிிடல் மிற்றும் க�ொருளாொதாொர அ�ிவிிருத்தாி அறைமிச்சர்.
நிதாி, தாிட்டமிிடல் மிற்றும் க�ொருளாொதாொர அ�ிவிிருத்தாி அறைமிச்சு,
ககொழும்பு,
2026, சனவிொி 16.
EOG 01 - 0171
1A - PG 7474 — 378 (2026/01) ,yq;if murhq;f mr;Rj; jpizf;fsj;jpw; gjpg;gpf;fg;ngw;wJ.
,t; mjptpNrl tu;j;jkhdpia www.documents.gov.lk vDk; ,izaj;jsj;jpypUe;J gjptpwf;fk; nra;a KbAk;.</t>
  </si>
  <si>
    <t>2d95a85e-7510-4062-a588-d4ac6f5a5001</t>
  </si>
  <si>
    <t>2471_55</t>
  </si>
  <si>
    <t>2471/55</t>
  </si>
  <si>
    <t>General Government Notification (Gazette 2471/55)</t>
  </si>
  <si>
    <t>m1/raw/2471_55.pdf</t>
  </si>
  <si>
    <t>Y%S ,xld m%cd;dka;%sl iudcjd§ ckrcfha .eiÜ m;%h
w;s úfYI
,yq;ifr; rdehaf Nrhryprf; FbauR th;j;jkhdg; gj;jphpif
mjp tpNr\khdJ
wxl 2471/55 - 2026 ckjdß ui 16 jeks isl=rdod - 2026'01'16
2471/ 55 Mk; ,yf;fk; - 2026 Mk; Mz;L rdthp khjk; 16 Me; jpfjp nts;spf;fpoik
(murhq;fj;jpd; mjpfhuj;Jld; gpuRupf;fg;gl;lJ)
gFjp I : njhFjp (I) - nghJ
murhq;f mwptpj;jy;fs;
22002211 ஆஆம்ம் ஆஆண்ண்டிடின்ன் 1111 ஆஆம்ம் இஇலலக்க்கக,, ககககொொழுழும்ம்புபுத்த் துதுறைறைைைமுமுகக நநககரரப்ப் கக��ொொருருளாளாொொதாதாொொரர ஆஆறைறை��க்க்குகுழுழுச்ச் சசட்ட்டடம்ம்
53 ஆம் �ிொிவிின் கீழாொன கட்டறைளா
2021 ஆம் ஆண்டின் 11 ஆம் இலக்க, ககொழும்புத் துறைைமுக நகரப் க�ொருளாொதாொர ஆறை�க்குழுச் சட்டத்தாின் 53 ஆம் �ிொிவிினொல்
எனக்குொித்தாொக்கப்�ட்ட தாத்துவிங்களாின் �யனொக நிதாி, தாிட்டமிிடல் மிற்றும் க�ொருளாொதாொர அ�ிவிிருத்தாி அறைமிச்சர் அநுர குமிொர
தாிசொநொயக்க ஆகிய நொன், ககொழும்புத் துறைைமுக நகரப் க�ொருளாொதாொர ஆறை�க்குழுவிின் சி�ொொிசுகறைளா கருத்தாிற்ககொண்டும்
அறைமிச்சரறைவியின் அங்கீகொரத்தாின்மமிலும் 2025, யூறைல, 14 ஆந் தாிகதாிய 2445/03 ஆம் இலக்க அதாிவிிமசட விர்த்தாமிொனியில்
கவிிியிடப்�ட்ட கட்டறைளாறைய இக்கட்டறைளா மூலம் �ின்விருமிொறு தாிருத்துகின்மைன்:-
(1) அக்கட்டறைளாயின் III ஆம் அட்டவிறை�யில் -
(அ) அவ்விட்டவிறை�யின் 3 ஆம் மிற்றும் 4 ஆம் விிடயங்கறைளா நீக்கிவிிடுவிதான் மூலமும் ; அத்துடன்
(ஆ) அவ்விட்டவிறை�யின் 10 ஆம் விிடயத்தாின் இச்சட்டத்தாின் “சகல ஏற்�ொடுகளாிலிருந்து விிலக்களாிக்கப்�டும்” என்னும்
கசொற்களுக்குப் �தாிலொக “இச்சட்டத்தாின் 2 ஆம், 11 ஆம் மிற்றும் 12 ஆம் �ிொிவுகளாிலிருந்து விிலக்களாிக்கப்�டும்” என்னும்
கசொற்கறைளாயும் இலக்கங்கறைளாயும் இடுவிதான் மூலமும் ; அத்துடன்
(2) அக்கட்டறைளாயின் IV ஆம் அட்டவிறை�யில் அவ்விட்டவிறை�யின் 3 ஆம் மிற்றும் 4 ஆம் இலக்க விிடயங்கறைளா நீக்கிவிிடுவிதான்
மூலமும்.
அஅநுநுரர குகுமிமிொொரர தாதாிிசசொொநநொொயயக்க்கக,
நிதாி, தாிட்டமிிடல் மிற்றும் க�ொருளாொதாொர அ�ிவிிருத்தாி அறைமிச்சர்.
நிதாி, தாிட்டமிிடல் மிற்றும் க�ொருளாொதாொர அ�ிவிிருத்தாி அறைமிச்சு,
ககொழும்பு,
2026, சனவிொி 16.
EOG 01 - 0172
1A - PG 7475 — 378 (2026/01) ,yq;if murhq;f mr;Rj; jpizf;fsj;jpw; gjpg;gpf;fg;ngw;wJ.
,t; mjptpNrl tu;j;jkhdpia www.documents.gov.lk vDk; ,izaj;jsj;jpypUe;J gjptpwf;fk; nra;a KbAk;.</t>
  </si>
  <si>
    <t>f268c7af-aa64-4658-aaa4-10b826de217e</t>
  </si>
  <si>
    <t>2471_56</t>
  </si>
  <si>
    <t>2471/56</t>
  </si>
  <si>
    <t>Industrial Disputes Act (Chapter 131), Section 4(1) — Industrial Award (Gazette 2471/56)</t>
  </si>
  <si>
    <t>m1/raw/2471_56.pdf</t>
  </si>
  <si>
    <t>42a31a58-f011-480c-9833-3ec1dc6895fd</t>
  </si>
  <si>
    <t>2471_57</t>
  </si>
  <si>
    <t>2471/57</t>
  </si>
  <si>
    <t>Industrial Disputes Act (Chapter 131), Section 4(1) — Industrial Award (Gazette 2471/57)</t>
  </si>
  <si>
    <t>m1/raw/2471_57.pdf</t>
  </si>
  <si>
    <t>11295d5b-c4a9-437b-a874-dc9e90a862f5</t>
  </si>
  <si>
    <t>2471_58</t>
  </si>
  <si>
    <t>2471/58</t>
  </si>
  <si>
    <t>Land Acquisition Act (Chapter 460), Section 5 — Notice of Intended Acquisition (Gazette 2471/58)</t>
  </si>
  <si>
    <t>m1/raw/2471_58.pdf</t>
  </si>
  <si>
    <t>III ෙකාටස - (cid:636) ලංකා (cid:541)ජාතා(cid:486)(cid:437)ක සමාජවා(cid:463) ජනරජෙ(cid:591) අ(cid:431) (cid:618)ෙශෂ ගැස(cid:376) ප(cid:436)ය - 2025.12.06 1A
பகுதி III - இலங்ைகச் சனநாயக ேசாச(cid:8098)சக் கு(cid:8074)யரசு வர்த்தமானப் பத்திாிைக - அதி விேசஷமான(cid:8080) - 2025.12.06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22447711//5588 -- 22002266 ජජනනවවාා(cid:604)(cid:604) මමසස 1166 වවැැ(cid:487)(cid:487) (cid:646)(cid:646)(cid:253)(cid:253)රරාාදදාා -- 22002266..0011..1166
2471/58 ஆம் இலக்கம் - 2026 ஆம் ஆண்(cid:8076) சனவாி மாதம் 16 ஆந் திகதி ெவௗ்ளிக்கிழைம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ஜயவர்தன உாிைமேகா(cid:8094)ம் பட்டெகா(cid:8076)ேவ ேஹன; ேமற்கு:
எச்.ஜீ. ஜயவர்தன உாிைமேகா(cid:8094)ம் பட்டெகா(cid:8076)ேவ ேஹன
5 ஆம் பிாிவின் ப(cid:8074)யான பிரகடனம் மற்(cid:8096)ம் (cid:8106)தி அபிவி(cid:8094)த்தி அதிகாரசைப (cid:8106)தி.
கீழ்க்கா(cid:8078)ம் காணி ஒ(cid:8094) பகிரங்கத் ேதைவக்கு ேவண்(cid:8074)யதாய் 02. (cid:8080)(cid:8080)ண்ண்(cid:8076)(cid:8076) ‘B’ –– எஎட்ட்டடம்ம்பபககஹஹ(cid:8089)(cid:8089)லல வவத்த்தத –– வவிிஸ்ஸ்ததீீரரணணம்ம்::
00..00002266 ெெஹஹக்க்டடயயாார்ர்
இ(cid:8094)க்கின்றெதன்(cid:8096)ம் காணி எ(cid:8076)த்தற் சட்டத்தின் ஏற்பா(cid:8076)
வடக்கு: பலக(cid:8076)வ ஓயா மற்(cid:8096)ம் (cid:8094)சிர தரங்க அல்விச் ஜய(cid:8106)ர
களின் பிரகாரம் அ(cid:8080) எ(cid:8076)த்(cid:8080)க் ெகாள்ளப்ப(cid:8076)ெமன்(cid:8096)ம் காணி
உாிைமேகா(cid:8094)ம் எட்டம்பகஹ(cid:8089)ல வத்த; கிழக்கு: (cid:8094)சிர தரங்க
எ(cid:8076)த்தற் சட்டத்தின் 5 ஆம் பிாிவின் (1) ஆம் உபபிாிவின்
அல்விச் ஜய(cid:8106)ர உாிைமேகா(cid:8094)ம் எட்டம்பகஹ(cid:8089)ல வத்த
பிரகாரம் கமத்ெதாழில், கால்நைட வளங்கள், காணி மற்(cid:8096)ம்
மற்(cid:8096)ம் (cid:8106)தி அபிவி(cid:8094)த்தி அதிகாரசைப (cid:8106)தி; ெதற்கு: (cid:8106)தி
நீர்ப்பாசன அைமச்சர் குரகமேக ெதான் லால் காந்த ஆகிய
அபிவி(cid:8094)த்தி அதிகாரசைப (cid:8106)தி மற்(cid:8096)ம் (cid:8094)சிர தரங்க அல்விச்
நான், இத்தால் பிரகடனம் ெசய்கின்ேறன். ஜய(cid:8106)ர உாிைமேகா(cid:8094)ம் எட்டம்பகஹ(cid:8089)ல வத்த; ேமற்கு: (cid:8094)சிர
தரங்க அல்விச் ஜய(cid:8106)ர உாிைமேகா(cid:8094)ம் எட்டம்பகஹ(cid:8089)ல வத்த
மத்திய மாகாணத்தின் மாத்தைள மாவட்டத்தில், உக்குவைள மற்(cid:8096)ம் பலக(cid:8076)வ ஓயா.
பிரேதச ெசயலாளர் பிாிவில், ஹலங்ெகாட (ஈ 347 ஏ) மற்(cid:8096)ம்
பலக(cid:8076)வ (ஈ 357 டீ) கிராம அ(cid:8100)வலா் பிாிவில் ஹலங்ெகாட ேக. (cid:8074). லால் காந்த,
மற்(cid:8096)ம் பலக(cid:8076)வ கிராமத்தில் அைமந்(cid:8080)ள்ள மாத்தைள கமத்ெதாழில், கால்நைட வளங்கள்,
காணி மற்(cid:8096)ம் நீர்ப்பாசன அைமச்சர்.
சிேரஷட் நில அளைவயாளாினால் தயாாிக்கப்பட்ட இலக்கம்
Ma/UKW/2021/420 உம் 2022.04.21 ஆந் திகதி(cid:8092)ைடய
என(cid:8080) இல. : 4-3/18/2021/WS/65
(cid:8089)தற்சுவட்(cid:8076) வைரபடத்தில் விபரமாக காட்டப்பட்ட பின்வ(cid:8094)ம்
கமத்ெதாழில், கால்நைட வளங்கள், காணி
விஸ்தீரணங்ைளக் ெகாண்ட காணித் (cid:8080)ண்(cid:8076)களின் எல்ைலகள்:
மற்(cid:8096)ம் நீர்ப்பாசன அைமச்சு,
“மிஹிகத்தெம(cid:8080)ர”,
01. (cid:8080)(cid:8080)ண்ண்(cid:8076)(cid:8076) ‘A’ –– பபட்ட்டடெெககாா(cid:8076)(cid:8076)ேேவவ ேேஹஹனன –– வவிிஸ்ஸ்ததீீரரணணம்ம்:: இல. 1200/6, இரஜமல்வத்ைத (cid:8106)தி,
00..00003377 ெெஹஹக்க்டடயயாார்ர் பத்தர(cid:8089)ல்ைல,
வடக்கு: (cid:8106)தி அபிவி(cid:8094)த்தி அதிகாரசைப (cid:8106)தி மற்(cid:8096)ம் எச்.ஜீ. 2025, ெசத்ெதம்பர் 26.
ஜயவர்தன உாிைமேகா(cid:8094)ம் பட்டெகா(cid:8076)ேவ ேஹன; கிழக்கு:
எச்.ஜீ. ஜயவர்தன உாிைமேகா(cid:8094)ம் பட்டெகா(cid:8076)ேவ ேஹன
மற்(cid:8096)ம் பலக(cid:8076)வ ஓயா; ெதற்கு: பலக(cid:8076)வ ஓயா மற்(cid:8096)ம் எச். ஜீ. EOG 01 - 0158
1A - G46110 - 11 (2026/01)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</si>
  <si>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8e05e668-947d-4c5c-89d2-81391a8bf589</t>
  </si>
  <si>
    <t>2471_59</t>
  </si>
  <si>
    <t>2471/59</t>
  </si>
  <si>
    <t>Title Registration Act, No. 21 of 1998, Section 14 — Commissioner of Title Settlement's decision under Section 14 (Gazette 2471/59)</t>
  </si>
  <si>
    <t>m1/raw/2471_59.pdf</t>
  </si>
  <si>
    <t>d91160d6-2efa-421a-967c-82b644582297</t>
  </si>
  <si>
    <t>2471_60</t>
  </si>
  <si>
    <t>2471/60</t>
  </si>
  <si>
    <t>Title Registration Act, No. 21 of 1998, Section 14 — Commissioner of Title Settlement's decision under Section 14 (Gazette 2471/60)</t>
  </si>
  <si>
    <t>m1/raw/2471_60.pdf</t>
  </si>
  <si>
    <t>fcbb789b-2361-4f97-a78e-c2623ac16f6c</t>
  </si>
  <si>
    <t>2471_61</t>
  </si>
  <si>
    <t>2471/61</t>
  </si>
  <si>
    <t>Title Registration Act, No. 21 of 1998, Section 14 — Commissioner of Title Settlement's decision under Section 14 (Gazette 2471/61)</t>
  </si>
  <si>
    <t>m1/raw/2471_61.pdf</t>
  </si>
  <si>
    <t>e9b18a98-cb7b-4ccc-95c3-dfd984281f7d</t>
  </si>
  <si>
    <t>2471_62</t>
  </si>
  <si>
    <t>2471/62</t>
  </si>
  <si>
    <t>Title Registration Act, No. 21 of 1998, Section 14 — Commissioner of Title Settlement's decision under Section 14 (Gazette 2471/62)</t>
  </si>
  <si>
    <t>m1/raw/2471_62.pdf</t>
  </si>
  <si>
    <t>fcbe4ee2-518b-4d3c-aef9-c57805f0b410</t>
  </si>
  <si>
    <t>2471_63</t>
  </si>
  <si>
    <t>2471/63</t>
  </si>
  <si>
    <t>Title Registration Act, No. 21 of 1998, Section 14 — Commissioner of Title Settlement's decision under Section 14 (Gazette 2471/63)</t>
  </si>
  <si>
    <t>m1/raw/2471_63.pdf</t>
  </si>
  <si>
    <t>94b36016-1ea2-4b26-b859-9a6076aa40c0</t>
  </si>
  <si>
    <t>2471_64</t>
  </si>
  <si>
    <t>2471/64</t>
  </si>
  <si>
    <t>Title Registration Act, No. 21 of 1998, Section 14 — Commissioner of Title Settlement's decision under Section 14 (Gazette 2471/64)</t>
  </si>
  <si>
    <t>m1/raw/2471_64.pdf</t>
  </si>
  <si>
    <t>8a8dc206-ea49-4b66-947c-d799f94aa7d4</t>
  </si>
  <si>
    <t>2471_65</t>
  </si>
  <si>
    <t>2471/65</t>
  </si>
  <si>
    <t>Title Registration Act, No. 21 of 1998, Section 14 — Commissioner of Title Settlement's decision under Section 14 (Gazette 2471/65)</t>
  </si>
  <si>
    <t>m1/raw/2471_65.pdf</t>
  </si>
  <si>
    <t>4d84ec4b-6c4c-4bdf-ad36-4cdddbcb92a4</t>
  </si>
  <si>
    <t>2471_67</t>
  </si>
  <si>
    <t>2471/67</t>
  </si>
  <si>
    <t>Land Acquisition Act (Chapter 460), Section 5 — Notice of Intended Acquisition (Gazette 2471/67)</t>
  </si>
  <si>
    <t>m1/raw/2471_67.pdf</t>
  </si>
  <si>
    <t>Y%S ,xld m%cd;dka;%sl iudcjd§ ckrcfha .eiÜ m;%h
w;s úfYI
,yqi; fr ; rdehaf Nrhryprf ; FbauR thj; j; khdg ; gjj; phpif
mjp tpNr\khdJ
wxl 2471/67 - 2026 ckjdß ui 16 jeks isl=rdod - 2026'01'16
2471/ 67 Mk; ,yf;fk; - 2026 Mk; Mz;L rdthp khjk; 16 Me; jpfjp nts;spf;fpoik
(murhq;fj;jpd; mjpfhuj;Jld; gpuRupf;fg;gl;lJ)
gFjp IV(M) - cs;~uhl;rp
cs;~u; mjpfhu rigfs; Nju;jy;fs; fl;lisr; rl;l mwptpj;jy;fs;
உஉள்ள்ளூளூர்ர் அஅதிதிிிகாகாாாரர சசபைபைைைகாகாள்ள் தேதேதிதிர்ர்திதில்ல்காகாள்ள் காகாட்ட்டடபைபைைைச்ச் சசட்ட்டடம்ம் ((226622 ஆஆம்ம் அஅத்த்திதிிியாயாாாயாயாம்ம்))
6666 ((22)) ஆஆம்ம் ைைிிாாிிவிவிிின்ன் காகாீீழாழாாானன அஅறிறிிிவிவிிித்த்திதில்ல்
இந்தி அட்டவிபை�யாின் I ஆம் நிிரலில் குறிித்துபைரத்துக் காாட்டப்ைட்டுள்ை நிிருவிாகா மாாவிட்டத்திில் அபைமாயாப்பெைற்றுள்ை,
இவ்விட்டவிபை�யாின் II ஆம் நிிரலில் அதிற்கு தேநிபெராத்தி குறிிப்ைில் குறிித்துபைரத்துக் காாட்டப்ைட்டுள்ை ஒவ்பெவிாரு உள்ளூர்
அதிிகாார சபைைகாளுக்காாகா பெதிாிந்பெதிடுத்து அனுப்ைப்ைட்டுள்ை உறுப்ைினர்காைின் பெையார்காள் காீழ் குறிிப்ைிடப்ைட்டுள்ைவிாபெறின
ைிரகாடனப்ைடுத்திப்ைடுகாின்றிது. இப்பெையார்காள் 2025.12.05 ஆந் திிகாதிியா 2465/18 ஆம் இலக்கா விர்த்திமாானி, 2025.11.14 ஆந்
திிகாதிியா 2462/39 ஆம் இலக்கா விர்த்திமாானி, 2025.11.07 ஆந் திிகாதிியா 2461/37 ஆம் இலக்கா விர்த்திமாானி, 2025.10.17 ஆந்
திிகாதிியா 2458/51 ஆம் இலக்கா விர்த்திமாானி, 2025.10.10 ஆந் திிகாதிியா 2457/31 ஆம் இலக்கா விர்த்திமாானி, 2025.09.26 ஆந் திிகாதிியா
2455/30 ஆம் இலக்கா விர்த்திமாானி, 2025.08.01 ஆந் திிகாதிியா 2447/61 ஆம் இலக்கா விர்த்திமாானி, 2025.07.11ஆந் திிகாதிியா 2444/60
ஆம் இலக்கா விர்த்திமாானி, 2025.07.07 ஆந் திிகாதிியா 2444/ 02 ஆம் இலக்கா விர்த்திமாானி, 2025.07.04 ஆந் திிகாதிியா 2443/60
ஆம் இலக்கா விர்த்திமாானி, 2025.06.27 ஆந் திிகாதிியா 2442/60 ஆம் இலக்கா விர்த்திமாானி, 2025.06.20 ஆந் திிகாதிியா 2441/55 ஆம்
இலக்கா விர்த்திமாானி, 2025.06.13 ஆந் திிகாதிியா 2440/25 ஆம் இலக்கா விர்த்திமாானி, 2025.06.06 ஆந் திிகாதிியா 2439/65 ஆம் இலக்கா
விர்த்திமாானி மாற்றும் அதினுடன் பெதிடர்புபைடயா 2025.05.31 ஆந் திிகாதிியா 2438/66, 2438/67, 2438/69, 2438/70, 2438/71, 2438/72,
2438/80, 2438/81, 2438/83, 2438/84, 2438/87, 2438/88, 2438/89, 2438/90 ஆம் இலக்கா விர்த்திமாானிகாள் மாற்றும் 2025.05.31
ஆந் திிகாதிியா 2438/68, 2438/74, 2438/85 ஆம் இலக்கா விர்த்திமாானிகாைில் குறிிப்ைிடப்ைட்டுள்ை உறுப்ைினர்காைின் பெையார்காளுக்கு
தேமாலதிிகாமாானபைவிபெயானவும் ைிரகாடனப்ைடுத்திப்ைடுகாின்றிது.
ஆஆர்ர்.. எஎம்ம்.. ஏஏ.. எஎல்ல்.. ரரத்த்நிநிாாயாயாக்க்காகா,, எஎம்ம்.. ஏஏ.. பீபீ.. சசீீ.. பெபெைைதேதேரரரராா,, அஅமாமாீீர்ர் ைைாாயாயாிிஸ்ஸ்,,
திவிிசாைர், உறுப்ைினர், உறுப்ைினர்,
தேதிர்தில் ஆபை�க்குழு. தேதிர்தில் ஆபை�க்குழு. தேதிர்தில் ஆபை�க்குழு.
ஏஏ.. சசண்ண்முமுகாகாநிநிாாதிதின்ன்,, தேைராசிாியார் லலக்க்ஷ்ஷ் மாமான்ன் திதிிிசசாாநிநிாாயாயாக்க்காகா,,
உறுப்ைினர், உறுப்ைினர்,
தேதிர்தில் ஆபை�க்குழு. தேதிர்தில் ஆபை�க்குழு.
தேதிர்தில் ஆபை�க்குழு அலுவிலகாம்,
சர� மாாவித்பைதி,
இராஜகாிாியா.
2026, சனவிாி 16.
1A - G 7471 — 13 (2026/01)
,t; mjp tpNrl tu;j;jkhdpia www.documents.gov.lk vd;Dk; ,izaj;jsj;jpypUe;J gjptpwf;fk; nra;a KbAk;.
2A IV ^wd&amp; fldgi - Y%S ,xld m%cd;dka;%sl iudcjd§ ckrcfha w;s úfYI .eiÜ m;%h - 2026'01'16
gFjp IV (M) - ,yq;ifr; rdehaf Nrhryprf; FbauR tu;j;jkhdg; gj;;jpupif - mjp tpNr\khdJ - 2026.01.16
அஅட்ட்டடவிவிபைபை��
நிிரல் I நிிரல் II
மாாவிட்டத்திின் பெையார் உள்ளூர் அதிிகாார சபைை பெதிாிந்பெதிடுத்து அனுப்ைப்ைட்டுள்ை உறுப்ைினர்காள்
அநுராதிபுரம் பெநிாச்சியாாகாமா ைிரதேதிச சபைை முனிவிர திந்திிாிதேகா திமாிந்தி திம்மாிக்கா குமாார ஜயாசிறிி
பெசபெனவிிரத்ன ஏைா ஹிிமாாலி
EOG 01- 0167
,yq;if murhq;f mr;Rj; jpizf;fsj;jpw; gjpg;gpf;fg;ngw;wJ.</t>
  </si>
  <si>
    <t>7d03abc6-6538-421d-a282-200270e47e4d</t>
  </si>
  <si>
    <t>2471_68</t>
  </si>
  <si>
    <t>2471/68</t>
  </si>
  <si>
    <t>Lands notice — Extraordinary Gazette 2471/68 (Part III)</t>
  </si>
  <si>
    <t>ඉඩම් සම්බන්ධ අතිවිශේෂ ගැසට් පත්‍ර දැන්වීම</t>
  </si>
  <si>
    <t>காணி தொடர்பான அதி விசேட வர்த்தமான அறிவித்தல்</t>
  </si>
  <si>
    <t>Lands-related extraordinary gazette notice (Part III). See raw_text for full content; specific statute attribution pending manual verification.</t>
  </si>
  <si>
    <t>m1/raw/2471_68.pdf</t>
  </si>
  <si>
    <t>f6d51495-4d05-4bc3-8a9a-d437a4dfe735</t>
  </si>
  <si>
    <t>2471_69</t>
  </si>
  <si>
    <t>2471/69</t>
  </si>
  <si>
    <t>Title Registration Act, No. 21 of 1998, Section 14 — Commissioner of Title Settlement's decision under Section 14 (Gazette 2471/69)</t>
  </si>
  <si>
    <t>m1/raw/2471_69.pdf</t>
  </si>
  <si>
    <t>dd83f7a0-dd6c-4de5-b844-1fd31ef6ade2</t>
  </si>
  <si>
    <t>2471_70</t>
  </si>
  <si>
    <t>2471/70</t>
  </si>
  <si>
    <t>Land Acquisition Act (Chapter 460), Section 5 — Notice of Intended Acquisition (Gazette 2471/70)</t>
  </si>
  <si>
    <t>m1/raw/2471_70.pdf</t>
  </si>
  <si>
    <t>III කො�ොටස - ශ්‍රී ලංං�ො ප්‍රජාොතාොන්ත්‍රි� සමාොජාවාොදී ජානරජාකො� අති විකො�ෂ ගැැසට් පත්‍රය - 2025.12.06 1A
பகுதிி III - இலங்கைைச் சனநாாயை சசாசலிசக் குடியரசு வர்த்திமாானப் பத்திிாிகைை - அதிி விசசஷமாானது - 2025.12.06
ශ්‍රීශ්‍රී ලංලංංංකාකාාා ප්‍රප්‍රජාජාාාතාතාාාන්න්ත්‍රිත්‍රිකාකා සසමාමාාාජාජාවාවාාාදීදී ජාජානනරරජාජායේයේ�� ගැගැැැසසට්ට් පපත්‍රත්‍රයය
இஇலலங்ங்கைகைைைச்ச் சாசானனநநாாயயைை சசசாசாாாசாசாலிலிசாசாக்க் குகுடிடியயரரசுசு வவர்ர்த்த்திதிமமாானனப்ப் பபத்த்திதிிிாாிிகைகைைை
අඅතිති විවියේයේ��ෂෂ அஅதிதிிி வவிிசசசாசாஷஷமமாானனதுது
අඅංංකාකා 22447711//7700 -- 22002266 ජාජානනවාවාාාරිරි මාමාසස 1177 වාවාැැනිනි යේයේසසනනසුසුරරාාදාදාාා -- 22002266..0011..1177
22447711//7700 ஆஆம்ம் இஇலலக்க்ைைம்ம் -- 22002266 ஆஆம்ம் ஆஆண்ண்டுடு சாசானனவவாாிி மமாாதிதிம்ம் 1177 ஆஆந்ந் திதிிிைைதிதிிி சாசானனிிக்க்ைைிிழழகைகைமம
(அரசாாங்ைத்திின் அதிிைாரத்துடன் பிரசுாிக்ைப்பட்டது)
பபகுகுதிதிிி IIIIII -- ைைாா��ிிைைள்ள்
ைைாா��ிி ககைைாாள்ள்வவனனவுவு பபற்ற்்ற்றிியய அஅ்ற்றிிவவிித்த்திதில்ல்ைைள்ள்
ைைாா��ிி எஎடுடுத்த்திதிற்ற் சாசாட்ட்டடம்ம் ((அஅத்த்திதிிியயாாயயம்ம் 446600)) 01. துதுண்ண்டுடு ‘A’ –– கூகூத்த்திதிிிரராாபபத்த்கைகைதிதி –– வவிிஸ்ஸ்திதிீீரர��ம்ம்:: 00..11882266
கக��க்க்டடயயாார்ர்
வடக்கு: உாிகைம சைாருபவா� கதிாியாதி விகைளயாட்டு
5 ஆம் பிாிவின் படியான பிரைடனம்
கைமதிானம்; ைிழக்கு: வீதிி; கதிற்கு: ைந்கைதியா திவமலா� உாிகைம
சைாரும் சாின்னாலடி; சமற்கு: ைால்வாய் (வ்றண்ட) மற்றும்
ைீழ்க்ைாணும் ைா�ி ஒரு பைிரங்ைத் சதிகைவக்கு சவண்டியதிாய் விஜயைலா மசைஸ்வரன் உாிகைம சைாரும் சாின்னாலடி.
இருக்ைின்்றகதின்றும் ைா�ி எடுத்திற் சாட்டத்திின் ஏற்பாடு
சை. டி. லால் ைாந்தி,
ைளின் பிரைாரம் அது எடுத்துக் கைாள்ளப்படுகமன்றும் ைா�ி
ைமத்கதிாழில், ைால்நகைட வளங்ைள்,
எடுத்திற் சாட்டத்திின் 5 ஆம் பிாிவின் (1) ஆம் உபபிாிவின் ைா�ி மற்றும் நீர்ப்பாசான அகைமச்சார்.
பிரைாரம் ைமத்கதிாழில், ைால்நகைட வளங்ைள், ைா�ி மற்றும்
எனது இல. : 4-3/9/2021/PC/393,
நீர்ப்பாசான அகைமச்சார் குரைமசை கதிான் லால் ைாந்தி ஆைிய
பிரசதிசா கசாயலை கு்றிப்பு இல: KR/DS/LB/ACQ/MOH/2019
நான், இத்திால் பிரைடனம் கசாய்ைின்ச்றன். ைமத்கதிாழில், ைால்நகைட வளங்ைள், ைா�ி
மற்றும் நீர்ப்பாசான அகைமச்சு,
“மி�ிைத்திகமதுர”,
வடமாைா�ம், யாழ்ப்பா�ம் மாவட்டத்திில் ைாகைரநைா�
இல. 1200/6, இரஜமல்வத்கைதி வீதிி,
பிரசதிசா கசாயலாளர் பிாிவில், இல. J/40 ைாகைரநைர்
பத்திரமுல்கைல,
சமற்கு ைிராம அலுவலா� பிாிவில், ைாகைரநைர் ைிராமத்திில் 2025, நகவம்பர் 21.
அகைமந்துள்ள நில அளகைவயாளா� நாயைத்திினால் 2023.11.28
EOG 01 - 0177
ஆந் திிைதிி தியாாிக்ைப்பட்ட Ya/KRN/2022/102 ஆம் இலக்ை
ைா�ித்துண்டின் எல்கைலைள் பின்வருமாறு:
1A - G46121 - 13(2026/01) இலங்கைை அரசாாங்ை அச்சுத் திிகை�க்ைளத்திில் அச்சாிடப்பட்டது.
இவ் அதிிவிச ஷட வர்த்திமானிகைய www.documents.gov.lk எனும் இகை�யத்திளத்திிலிருந்து பதிிவி்றக்ைம் கசாய்ய முடியும்.</t>
  </si>
  <si>
    <t>18ef8fd9-a627-464d-b54f-6bf66b69a51c</t>
  </si>
  <si>
    <t>2471_71</t>
  </si>
  <si>
    <t>2471/71</t>
  </si>
  <si>
    <t>Title Registration Act, No. 21 of 1998, Section 14 — Commissioner of Title Settlement decision (Gazette 2471/71)</t>
  </si>
  <si>
    <t>m1/raw/2471_71.pdf</t>
  </si>
  <si>
    <t>ශ්‍රී ��ක� ප්‍රජ���්ත්‍රික ස��ජ��දී ජනරජ�� ��සට් පත්‍රය
අති වි��ෂ
இலங்�கச் சனந�யக �ச�சலிசக் குடியரசு வர்த்தம�னப் பத்த����க
அத� வ��சஷம�னது
අ�ක 2471/71 - 2026 ජන��රි මස 17 ��නි �සනසුය��� - 2026.01.17
2471/71 ஆம் இலக்கம் - 2026 ஆம் ஆண்டு சனவ�� ம�தம் 17 ஆந் த�கத� சன�க்க�ழ�ம
(அரச�ங்கத்த�ன் அத�க�ரத்துடன் ப�ரசு��க்கப்பட்டது)
பகுத� III - க�ண�கள்
க�ண� �க�ள்வனவு பற்ற�ய அற�வ�த்தல்கள்
க�ண� எடுத்தற் சட்டம் (அத்த�ய�யம் 460) ஆக�ய ப���வு இலக்கத்த�லுள்ள 0.4514 ��க்டய�ர்
�ம�த்த வ�ஸ்த�ரணம் �க�ண்ட க�ண�த்துண்டுகள்.
7 ஆம் ப���வ�ன் க�ழ் அற�வ�த்தல்
1. துண்டு இல. 1
க�ண�ய�ன் �பயர்: பள்�ள�ர�ட்ட �லபீம; வ�பரம்:
ஒரு பக�ரங்கத் �த�வக்கு �வண்டியத�ன க�ழ்க்க�ணும் வீட்டுத்�த�ட்டம், கலப்பு பய�ர்கள் உள்ளன; உ���ம
க�ண��ய எடுத்துக் �க�ள்ள அரச�ட்ச�ய�ர் எண்ண� �க�ருபவர்: தன�ய�ர்; ஆரம்ப உ���ம �க�ருபவர்:
ய�ருக்க�ற�ர்கள் என்ப�த 1964 ஆம் ஆண்டின் 28 ஆம் உ���மய�ளர் கண்டற�ய முடியவ�ல்�ல; வ�ஸ்த�ரணம்:
இலக்க க�ண� எடுத்தற் (த�ருத்தம்) சட்டத்த�ன�ல் 0.0713 ��க்டய�ர்.
த�ருத்தப்பட்டவ�ற�ன க�ண� எடுத்தற் சட்டத்த�ன்
2. துண்டு இல. 2
(அத்த�ய�யம் 460) 7 ஆம் ப���வ�ன் (1) ஆம் உட்
க�ண�ய�ன் �பயர்: பள்�ள�ர�ட்ட �லபீம; வ�பரம்:
ப���வ�ன் க�ழ், ந�ன் இத்த�ல் அற�வ�க்க�ன்�றன்.
வீட்டுத்�த�ட்டம், கலப்பு பய�ர்கள் உள்ளன; உ���ம
�க�ருபவர்: தன�ய�ர்; ஆரம்ப உ���ம �க�ருபவர்:
எடுத்துக்�க�ள்ளவ�ருக்கும் க�ண�ய�ன் வ�பரம்:
உ���மய�ளர் கண்டற�ய முடியவ�ல்�ல; வ�ஸ்த�ரணம்:
அம்ப�ந்�த�ட்�ட ம�வட்டம், அம்பலந்�த�ட்�ட 0.0817 ��க்டய�ர்.
ப�ர�தச �சயல�ளர் ப���வ�ன் 184 ஆம் இலக்க �ர�ட்�ட
3. துண்டு இல. 3
க�ர�ம அலுவலர் ப���வ�ல், பள்�ள�ர�ட்ட க�ர�மத்த�ல்
க�ண�ய�ன் �பயர்: பள்�ள�ர�ட்ட �லபீம; வ�பரம்:
அ�மந்துள்ள, சர்�வயர் ��னரல் அவர்கள�ன் ப�சன வ�ய்க்க�ல்; உ���ம �க�ருபவர்: தன�ய�ர்;
கடஸ்த�ரல் வ�ரபடத்த�ன் இல. 830257, வலய 01, ஆரம்ப உ���ம �க�ருபவர்: யூ. ஏ. �லன�ர்ட், பல்�ல
த�ள் இல. 02 இல் க�ணப்படும் 01, 02 மற்றும் 03 �ர�ட, ம�மடல; வ�ஸ்த�ரணம்: 0.2984 ��க்டய�ர்.
1A - G 46122 - 11 (2026/01)
இவ் அத�வ��சட வர்த்தம�ன��ய www.documents.gov.lk எனும் இ�ணயத்தளத்த�லிருந்து பத�வ�றக்கம் �சய்ய முடியும்.
2A III �ක�ටස - ශ්‍රී ��ක� ‍රජ���්ත්‍රික සම�ජ�� ජ ජනයජ�� අති වි��ෂ ��ස ප ්‍ර� - 2026.01.17
பகுத� III - இலங்�கச் சனந�யக �ச�சலிசக் குடியரசு வர்த்தம�னப் பத்த����க - அத� வ��சஷம�னது - 2026.01.17
�மற்குற�த்த க�ண�க்கு உ��த்துப் �பசுக�ன்ற எழுத்த�ல் இரு ப�ரத�கள�க எனக்கு அற�வ�க்கும்படியும்
சகலரும் த�ம�க அல்லது மு�றப்படி எழுத்த�ல் இத்த�ல் �கட்டுக்�க�ள்ளப்படுக�ன்றனர்.
அத�க�ரம் அள�க்கப்பட்ட க���யக்க�ரர் மூலம�க
2026 ஆம் ஆண்டு �பப்புருவ�� ம�தம் 23 ஆந் த�கத�
மு.ப. 10.30 மண�க்கு அம்பலந்�த�ட்�ட ப�ர�தச ச�ந்த� ப�. டப். வன்ன�ஆரச்ச�,
�சயலகத்த�ல் என் முன்ப�க �வள�ப்படுத்தும்படியும், ப�ர�தச �சயல�ளர்,
அம்பலந்�த�ட்�ட.
�மலும், அக்க�ண�ய�ல் அவர்களுக்குள்ள உடந்�த
கள�ன் தன்�ம�யயும் குற�த்த க�ண��ய எடுத்தற் ப�ர�தச �சயலகம்,
க�ன நஷ்டஈடு பற்ற�ய அவர்கள�ன் �க���க்�ககள�ன் அம்பலந்�த�ட்�ட,
வ�பரங்க�ளயும், நஷ்ட ஈட்டுத் �த��க�யயும் 2026, சனவ�� 12.
அத்�த��க கண�க்கப்பட்ட வ�தத்�தயும் 2026 ஆம்
ஆண்டு �பப்புருவ�� ம�தம் 16 ஆந் த�கத�க்கு முன்னர் EOG 01 - 0178
இலங்�க அரச�ங்க அச்சுத் த��ணக்களத்த�ல் அச்ச�டப்பட்டது.</t>
  </si>
  <si>
    <t>8f979c23-0988-4d2b-a721-a489598bc2c2</t>
  </si>
  <si>
    <t>2471_72</t>
  </si>
  <si>
    <t>2471/72</t>
  </si>
  <si>
    <t>Municipal Councils Ordinance (Chapter 252) — Municipal by-law/notice (Gazette 2471/72)</t>
  </si>
  <si>
    <t>නගර සභා ආඥා පනත (252 වන අධිකාරිය) - නගර සභා දැන්වීම</t>
  </si>
  <si>
    <t>மாநகர சபைக் கட்டளைச் சட்டம் (252 ஆம் அத்தியாயம்) - மாநகர சபை அறிவித்தல்</t>
  </si>
  <si>
    <t>Notice published under the Municipal Councils Ordinance (Chapter 252) and the Municipal Councils (Amendment) Act, No. 20 of 1985, covering municipal by-laws, levies or boundary changes. Part IV(B) — Local Government.</t>
  </si>
  <si>
    <t>Municipal Councils Ordinance (Chapter 252)</t>
  </si>
  <si>
    <t>m1/raw/2471_72.pdf</t>
  </si>
  <si>
    <t>2dd279a1-8b21-4591-b671-fac3b167d5fe</t>
  </si>
  <si>
    <t>2471_73</t>
  </si>
  <si>
    <t>2471/73</t>
  </si>
  <si>
    <t>Land Acquisition Act (Chapter 460), Section 5 — Notice of Intended Acquisition (Gazette 2471/73)</t>
  </si>
  <si>
    <t>m1/raw/2471_73.pdf</t>
  </si>
  <si>
    <t>III ෙකාටස - ශී ලංකා පජාතාන්තික සමාජවාදී ජනරජෙය් අති විෙශෂ ගැසට් පතය - 2026.03.17 1A
பகுதி III - இலங்ைகச் சனநாயக ேசாச(cid:8098)சக் கு(cid:8074)யரசு வர்த்தமானப் பத்திாிைக - அதி விேசஷமான(cid:8080) - 2026.01.17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22447711// 7733-- 22002266 ජජනනවවාා(cid:604)(cid:604) මමසස 1177 වවැැ(cid:487)(cid:487) ෙෙසසනන(cid:648)(cid:648)රරාාදදාා -- 22002266..0011..1177
22447711//7733 ஆஆம்ம் இஇலலக்க்ககம்ம் -- 22002266 ஆஆம்ம் ஆஆண்ண்(cid:8076)(cid:8076) சசனனவவாாிி மமாாததம்ம் 1177 ஆஆந்ந் ததிிககததிி சசனனிிக்க்ககிிழழைைமம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01. (cid:8080)(cid:8080)ண்ண்(cid:8076)(cid:8076) ‘‘AA’’ –– ேேவவாால்ல்ஸ்ஸ் ஒஒ(cid:8104)(cid:8104)ங்ங்ைைககயயிில்ல் வவாாிிமமததிிப்ப்பீபீட்ட்(cid:8076)(cid:8076)
இஇலல.. 8800//2200 ஐஐ உஉைைடடயய ககாாணணிி -- வவிிஸ்ஸ்ததீீரரணணம்ம்:: 00..00003333
5 ஆம் பிாிவின் ப(cid:8074)யான பிரகடனம் ெெஹஹக்க்டடயயாார்ர்
வடக்கு: அம்பலவானன் ஆனந்தன் உாிைம ேகா(cid:8094)ம்
கீழ்க்கா(cid:8078)ம் காணி ஒ(cid:8094) பகிரங்கத் ேதைவக்கு ேவண்(cid:8074)யதாய் ேவால்ஸ் ஒ(cid:8104)ங்ைகயில் வாிமதிப்பீட்(cid:8076) இல. 68/16A ஐ
இ(cid:8094)க்கின்றெதன்(cid:8096)ம் காணி எ(cid:8076)த்தற் சட்டத்தின் ஏற்பா(cid:8076) உைடய காணி(cid:8092)ம் ஷிேராமி தம்மிகா மற்(cid:8096)ம் சிலர் உாிைம
களின் பிரகாரம் அ(cid:8080) எ(cid:8076)த்(cid:8080)க் ெகாள்ளப்ப(cid:8076)ெமன்(cid:8096)ம் காணி ேகா(cid:8094)ம் ேவால்ஸ் ஒ(cid:8104)ங்ைகயில் வாிமதிப்பீட்(cid:8076) இல. 68/16,
எ(cid:8076)த்தற் சட்டத்தின் 5 ஆம் பிாிவின் (1) ஆம் உப பிாிவின் 68/16/1/1 ஐ உைடய காணிக(cid:8102)ம்; கிழக்கு: வாிமதிப்பீட்(cid:8076)
பிரகாரம் கமத்ெதாழில், கால்நைட வளங்கள், காணி மற்(cid:8096)ம் இலக்கம் ெதாியாத அரசாங்கக் காணி(cid:8092)ம், (cid:8080)ண்(cid:8076) B (cid:8092)ம்;
நீர்ப்பாசன அைமச்சர் குரகமேக ெதான் லால் காந்த ஆகிய ெதற்கு: (cid:8080)ண்(cid:8076) B (cid:8092)ம், (cid:8080)ண்(cid:8076) C (cid:8092)ம்; ேமற்கு: (cid:8080)ண்(cid:8076) C
நான், இத்தால் பிரகடனம் ெசய்கின்ேறன். அம்பலவானன் ஆனந்தன் உாிைம ேகா(cid:8094)ம் ேவால்ஸ்
ஒ(cid:8104)ங்ைகயில் வாிமதிப்பீட்(cid:8076) இல. 68/16A ஐ உைடய காணி
ேமல் மாகாணம், ெகா(cid:8104)ம்(cid:8087) மாவட்டம், ெகா(cid:8104)ம்(cid:8087) பிரேதச மற்(cid:8096)ம் ஷிேராமி தம்மிகா மற்(cid:8096)ம் சிலர் உாிைம ேகா(cid:8094)ம்
ெசயலாளர் பிாிவில், அ(cid:8102)த்மாவத்ைத கிராம அ(cid:8100)வலர் ேவால்ஸ் ஒ(cid:8104)ங்ைகயில் வாிமதிப்பீட்(cid:8076) இல. 68/16, 68/16/1/1
பிாிவில், அ(cid:8102)த்மாவத்ைத (ெகா(cid:8104)ம்(cid:8087) மாநகர சைப எல்ைலக் ஐ உைடய காணிகள்.
குட்பட்ட வட்டார இல. 17 - அ(cid:8102)த்மாவத்ைத வட்டாரம்)
கிராமத்தில் அைமந்(cid:8080)ள்ள, நில அளைவயாளர் நாயகத்தினால் 02. (cid:8080)(cid:8080)ண்ண்(cid:8076)(cid:8076) ‘‘BB’’ –– குகுறறிிப்ப்பபிிடடப்ப்பபடடவவிில்ல்ைைலல -- வவிிஸ்ஸ்ததீீரரணணம்ம்::
தயாாிக்கப்பட்ட 2024.12.26 ஆம் திகதிய CO/DSO/2024/01 00..00000077 ெெஹஹக்க்டடயயாார்ர்
ஆம் இலக்க (cid:8089)தற்சுவட்(cid:8076) வைரபடத்தில் (cid:8080)ண்(cid:8076) A, B, C எனக் வடக்கு: (cid:8080)ண்(cid:8076) A; கிழக்கு: வாிமதிப்பீட்(cid:8076) இலக்கம்
காட்டப்பட்ட கீழ் விபாிக்கப்பட்ட எல்ைலக(cid:8102)ள் அைமந்த ெதாியாத அரசாங்கக் காணி; ெதற்கு: வாிமதிப்பீட்(cid:8076) இலக்கம்
(cid:8090)ன்(cid:8096) (03) காணித் (cid:8080)ண்(cid:8076)கள்:
1A - PG 7479 - 23 (2026/01)
இவ் அதிவி ேஷட வர்த்தமானிைய www.documents.gov.lk எ(cid:8084)ம் இைணயத்தளத்தி(cid:8098)(cid:8094)ந்(cid:8080) பதிவிறக்கம் ெசய்ய (cid:8089)(cid:8074)(cid:8092)ம்.
2A III ෙකාටස - ශී ලංකා පජාතාන්තික සමාජවාදී ජනරජෙය් අති විෙශෂ ගැසට් පතය - 2026.01.17
பகுதி III - இலங்ைகச் சனநாயக ேசாச(cid:8098)சக் கு(cid:8074)யரசு வர்த்தமானப் பத்திாிைக - அதி விேசஷமான(cid:8080) - 2026.01.17
ெதாியாத அரசாங்கக் காணி(cid:8092)ம், (cid:8080)ண்(cid:8076) C (cid:8092)ம்; ேமற்கு: ேகா(cid:8094)ேவார் ெதாியாத சீெமந்(cid:8080) வ(cid:8074)கா(cid:8100)ம்; ேமற்கு: உாிைம
ேகா(cid:8094)ேவார் ெதாியாத சீெமந்(cid:8080) வ(cid:8074)கால்.
(cid:8080)ண்(cid:8076) C (cid:8092)ம் (cid:8080)ண்(cid:8076) A (cid:8092)ம்.
ேக. (cid:8074). லால் காந்த,
கமத்ெதாழில், கால்நைட வளங்கள்,
காணி மற்(cid:8096)ம் நீர்ப்பாசன அைமச்சர்.
03. (cid:8080)(cid:8080)ண்ண்(cid:8076)(cid:8076) ‘‘CC’’ –– ேேவவாால்ல்ஸ்ஸ் ஒஒ(cid:8104)(cid:8104)ங்ங்ைைககயயிில்ல் வவாாிிமமததிிப்ப்பீபீட்ட்(cid:8076)(cid:8076)
என(cid:8080) இல. : 4-3/4/2023/LRB/11.
இஇலல.. 8800//2200 A ஐஐ உஉைைடடயய ககாாணணிி -- வவிிஸ்ஸ்ததீீரரணணம்ம்:: 00..00007733
ெகா(cid:8104)ம்(cid:8087) மாநகர் சார்ந்த நகர அபிவி(cid:8094)த்திக் க(cid:8094)த்திட்டத்தின்
ெெஹஹக்க்டடயயாார்ர் காணி எ(cid:8076)த்தல் உத்திேயாகத்தர் குறிப்(cid:8087) இல. MCUDP/LA/
வடக்கு: உாிைம ேகா(cid:8094)ேவார் ெதாியாத சீெமந்(cid:8080) வ(cid:8074)கால், MUT/(W-14)/14/02
கமத்ெதாழில், கால்நைட வளங்கள், க ாணி மற்(cid:8096)ம்
அம்பலவானன் ஆனந்தன் உாிைம ேகா(cid:8094)ம் ேவால்ஸ்
நீர்ப்பாசன அைமச்சு,
ஒ(cid:8104)ங்ைகயில் வாிமதிப்பீட்(cid:8076) இல. 68/16A ஐ உைடய காணி “மிஹிகத ெம(cid:8080)ர”, காணிச் ெசயலகம்,
(cid:8080)ண்(cid:8076) A, B மற்(cid:8096)ம் வாிமதிப்பீட்(cid:8076) இலக்கம் ெதாியாத இல. 1200/6, இரஜமல்வத்ைத (cid:8106)தி,
பத்தர(cid:8089)ல்ைல,
அரசாங்கக் காணி; கிழக்கு: (cid:8080)ண்(cid:8076) A, B மற்(cid:8096)ம் வாி
2025, திெசம்பர் 19.
மதிப்பீட்(cid:8076) இலக்கம் ெதாியாத அரசாங்கக் காணி; ெதற்கு:வாி
மதிப்பீட்(cid:8076) இலக்கம் ெதாியாத அரசாங்கக் காணி(cid:8092)ம், உாிைம EOG 01 - 0180
இலங்ைக அரசாங்க அச்சுத் திைணக்களத்தில் அச்சிடப்பட்ட(cid:8080).</t>
  </si>
  <si>
    <t>969872e0-795b-45d0-959a-e96eab8d36f3</t>
  </si>
  <si>
    <t>2471_74</t>
  </si>
  <si>
    <t>2471/74</t>
  </si>
  <si>
    <t>Title Registration Act, No. 21 of 1998, Section 14 — Commissioner of Title Settlement's decision under Section 14 (Gazette 2471/74)</t>
  </si>
  <si>
    <t>m1/raw/2471_74.pdf</t>
  </si>
  <si>
    <t>d576e6bd-469d-427a-aa44-5a59865f7a63</t>
  </si>
  <si>
    <t>2471_75</t>
  </si>
  <si>
    <t>2471/75</t>
  </si>
  <si>
    <t>Title Registration Act, No. 21 of 1998, Section 14 — Commissioner of Title Settlement's decision under Section 14 (Gazette 2471/75)</t>
  </si>
  <si>
    <t>m1/raw/2471_75.pdf</t>
  </si>
  <si>
    <t>6b1bfe89-a643-4c0b-93b4-33f668825e6e</t>
  </si>
  <si>
    <t>2471_76</t>
  </si>
  <si>
    <t>2471/76</t>
  </si>
  <si>
    <t>Title Registration Act, No. 21 of 1998, Section 14 — Amendment of previous decision (Gazette 2471/76)</t>
  </si>
  <si>
    <t>Amendment to a prior Commissioner of Title Settlement decision under Section 14 of the Title Registration Act No. 21 of 1998. Part III — Lands. References Gazette 2020.09.08 of 2102/17 references Gazette 2025.12.08, 1: 5408. Covers Lot No. 01 of Block 656 in Cadastral 510805. Dated 16 January 2026.</t>
  </si>
  <si>
    <t>m1/raw/2471_76.pdf</t>
  </si>
  <si>
    <t>III ෙක(cid:675)ටස — (cid:636) ලංකා (cid:541)ජාතා(cid:486)(cid:437)ක සමාජවා(cid:463) ජනරජෙ(cid:591) අ(cid:431) (cid:618)ෙශෂ ගැස(cid:376) ප(cid:436)ය - 2026.01.17 1 A
ப(cid:8065)தி III — இல(cid:8113)ைக(cid:8114) சனநாயக ேசாச(cid:8098)ச(cid:8112) (cid:8065)(cid:8074)யர(cid:8070) வ(cid:8125)(cid:8119)தமான(cid:8122) ப(cid:8119)திாிைக - அதிவிேசஷமான(cid:8080) - 2026.01.17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2471/76 - 2026 ජනවා(cid:604) මස 17 වැ(cid:487) ෙසන(cid:648)රාදා - 2026.01.17
2471/76 ஆ(cid:8123) இல(cid:8112)க(cid:8123) - 2026 ஆ(cid:8123) ஆ(cid:8118)(cid:8076) சனவாி மாத(cid:8123) 17 ஆ(cid:8120) திகதி சனி(cid:8112)கிழைம
(அரசா(cid:8113)க(cid:8119)தி(cid:8121) அதிகார(cid:8119)(cid:8080)ட(cid:8121) பிர(cid:8070)ாி(cid:8112)க(cid:8122)ப(cid:8117)ட(cid:8080))
ப(cid:8065)தி III - காணிக(cid:8128)
உாி(cid:8119)(cid:8080)(cid:8122) பதி(cid:8107) ெச(cid:8124)த(cid:8127)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2020.09.08 ஆ(cid:8120) திகதிய 2192/17 ஆ(cid:8123) இல(cid:8112)க இல(cid:8113)ைக(cid:8114) சனநாயக ேசாச(cid:8098)ச(cid:8112) (cid:8065)(cid:8074)யரசி(cid:8121) அதி விேசட
வ(cid:8125)(cid:8119)தமானியி(cid:8127) பிர(cid:8070)ரமான ேம(cid:8127) மாகாண(cid:8119)தி(cid:8121), க(cid:8123)பஹா மாவ(cid:8117)ட(cid:8119)தி(cid:8127), மஹர பிரேதச ெசயலாள(cid:8125) பிாிவி(cid:8127) 307 - க(cid:8080)(cid:8089)(cid:8127)ல கிராம
அ(cid:8100)வல(cid:8125) பிாிவி(cid:8084)(cid:8128) வரபலான எ(cid:8084)(cid:8123) கிராம(cid:8119)தி(cid:8127), 510805 ஆ(cid:8123) இல(cid:8112)க கட(cid:8119)திர(cid:8127) அளைவ வைரபட(cid:8119)தி(cid:8127), பிாி(cid:8107) இல. 01 இ(cid:8127) 656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16 ஆ(cid:8120) திகதி.
EOG 01 - 0183 / 1
1A - G 46125 - 03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- 2026.01.17
ப(cid:8065)தி III — இல(cid:8113)ைக(cid:8114) சனநாயக ேசாச(cid:8098)ச(cid:8112) (cid:8065)(cid:8074)யர(cid:8070) வ(cid:8125)(cid:8119)தமான(cid:8122) ப(cid:8119)திாிைக - அதிவிேசஷமான(cid:8080) - 2026.01.17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2022.11.11 ஆ(cid:8120) திகதிய 2305/26 ஆ(cid:8123) இல(cid:8112)க இல(cid:8113)ைக(cid:8114) சனநாயக ேசாச(cid:8098)ச(cid:8112) (cid:8065)(cid:8074)யரசி(cid:8121) அதி விேசட
வ(cid:8125)(cid:8119)தமானியி(cid:8127) பிர(cid:8070)ரமான ேம(cid:8127) மாகாண(cid:8119)தி(cid:8121), க(cid:8123)பஹா மாவ(cid:8117)ட(cid:8119)தி(cid:8127), மஹர பிரேதச ெசயலாள(cid:8125) பிாிவி(cid:8127) 246 சீ - ெக(cid:8120)த(cid:8098)ய(cid:8119)தபா(cid:8104)வ
வட(cid:8112)(cid:8065) கிராம அ(cid:8100)வல(cid:8125) பிாிவி(cid:8084)(cid:8128) ெக(cid:8120)த(cid:8098)ய(cid:8119)தபா(cid:8104)வ எ(cid:8084)(cid:8123) கிராம(cid:8119)தி(cid:8127), 510835 ஆ(cid:8123) இல(cid:8112)க கட(cid:8119)திர(cid:8127) அளைவ வைரபட(cid:8119)தி(cid:8127), பிாி(cid:8107)
இல. 02 இ(cid:8127) தா(cid:8128) இல. 01 இ(cid:8127) 175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16 ஆ(cid:8120) திகதி.
EOG 01 - 0183 / 2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2016.12.02 ஆ(cid:8120) திகதிய 1995/33 ஆ(cid:8123) இல(cid:8112)க இல(cid:8113)ைக(cid:8114) சனநாயக ேசாச(cid:8098)ச(cid:8112) (cid:8065)(cid:8074)யரசி(cid:8121) அதி விேசட
வ(cid:8125)(cid:8119)தமானியி(cid:8127) பிர(cid:8070)ரமான வடேம(cid:8127) மாகாண(cid:8119)தி(cid:8121), (cid:8087)(cid:8119)தள(cid:8123) மாவ(cid:8117)ட(cid:8119)தி(cid:8127), ெவ(cid:8121)ன(cid:8122)(cid:8087)வ பிரேதச ெசயலாள(cid:8125) பிாிவி(cid:8127) 492 ஏ -
உ(cid:8127)ஹி(cid:8074)யாவ ெத(cid:8126)(cid:8065) கிராம அ(cid:8100)வல(cid:8125) பிாிவி(cid:8084)(cid:8128) உ(cid:8127)ஹி(cid:8074)யாவ எ(cid:8084)(cid:8123) கிராம(cid:8119)தி(cid:8127), 410015 ஆ(cid:8123) இல(cid:8112)க கட(cid:8119)திர(cid:8127) அளைவ
வைரபட(cid:8119)தி(cid:8127), பிாி(cid:8107) இல. 05 இ(cid:8127) 31 ம(cid:8126)(cid:8096)(cid:8123) 32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16 ஆ(cid:8120) திகதி.
EOG 01 - 0183 / 3
III ෙක(cid:675)ටස — (cid:636) ලංකා (cid:541)ජාතා(cid:486)(cid:437)ක සමාජවා(cid:463) ජනරජෙ(cid:591) අ(cid:431) (cid:618)ෙශෂ ගැස(cid:376) ප(cid:436)ය - 2026.01.17 3 A
ப(cid:8065)தி III — இல(cid:8113)ைக(cid:8114) சனநாயக ேசாச(cid:8098)ச(cid:8112) (cid:8065)(cid:8074)யர(cid:8070) வ(cid:8125)(cid:8119)தமான(cid:8122) ப(cid:8119)திாிைக - அதிவிேசஷமான(cid:8080) - 2026.01.17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2018.02.23 ஆ(cid:8120) திகதிய 2059/72 ஆ(cid:8123) இல(cid:8112)க இல(cid:8113)ைக(cid:8114) சனநாயக ேசாச(cid:8098)ச(cid:8112) (cid:8065)(cid:8074)யரசி(cid:8121) அதி விேசட
வ(cid:8125)(cid:8119)தமானியி(cid:8127) பிர(cid:8070)ரமான வடேம(cid:8127) மாகாண(cid:8119)தி(cid:8121), (cid:8087)(cid:8119)தள(cid:8123) மாவ(cid:8117)ட(cid:8119)தி(cid:8127), (cid:8087)(cid:8119)தள(cid:8123) பிரேதச ெசயலாள(cid:8125) பிாிவி(cid:8127) 616 - ேசன(cid:8065)(cid:8074)ாி(cid:8122)(cid:8087)வ
கிராம அ(cid:8100)வல(cid:8125) பிாிவி(cid:8084)(cid:8128) ேசன(cid:8065)(cid:8074)ாி(cid:8122)(cid:8087)வ எ(cid:8084)(cid:8123) கிராம(cid:8119)தி(cid:8127), 410112 ஆ(cid:8123) இல(cid:8112)க கட(cid:8119)திர(cid:8127) அளைவ வைரபட(cid:8119)தி(cid:8127), பிாி(cid:8107) இல. 03
இ(cid:8127) தா(cid:8128) இல. 01 இ(cid:8127) 79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16 ஆ(cid:8120) திகதி.
EOG 01 - 0183 / 4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2021.10.15 ஆ(cid:8120) திகதிய 2249/47 ஆ(cid:8123) இல(cid:8112)க இல(cid:8113)ைக(cid:8114) சனநாயக ேசாச(cid:8098)ச(cid:8112) (cid:8065)(cid:8074)யரசி(cid:8121) அதி விேசட
வ(cid:8125)(cid:8119)தமானியி(cid:8127) பிர(cid:8070)ரமான வடேம(cid:8127) மாகாண(cid:8119)தி(cid:8121), (cid:8087)(cid:8119)தள(cid:8123) மாவ(cid:8117)ட(cid:8119)தி(cid:8127), (cid:8087)(cid:8119)தள(cid:8123) பிரேதச ெசயலாள(cid:8125) பிாிவி(cid:8127) 607 (cid:8075) -
ெபா(cid:8119)தவி(cid:8127)(cid:8100)வ கிராம அ(cid:8100)வல(cid:8125) பிாிவி(cid:8084)(cid:8128) பாலவி எ(cid:8084)(cid:8123) கிராம(cid:8119)தி(cid:8127), 410122 ஆ(cid:8123) இல(cid:8112)க கட(cid:8119)திர(cid:8127) அளைவ வைரபட(cid:8119)தி(cid:8127), பிாி(cid:8107)
இல. 09 இ(cid:8127) தா(cid:8128) இல. 01 இ(cid:8127) 100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16 ஆ(cid:8120) திகதி.
EOG 01 - 0183 / 5
4 A III ෙක(cid:675)ටස — (cid:636) ලංකා (cid:541)ජාතා(cid:486)(cid:437)ක සමාජවා(cid:463) ජනරජෙ(cid:591) අ(cid:431) (cid:618)ෙශෂ ගැස(cid:376) ප(cid:436)ය - 2026.01.17
ப(cid:8065)தி III — இல(cid:8113)ைக(cid:8114) சனநாயக ேசாச(cid:8098)ச(cid:8112) (cid:8065)(cid:8074)யர(cid:8070) வ(cid:8125)(cid:8119)தமான(cid:8122) ப(cid:8119)திாிைக - அதிவிேசஷமான(cid:8080) - 2026.01.17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2019.05.03 ஆ(cid:8120) திகதிய 2121/52 ஆ(cid:8123) இல(cid:8112)க இல(cid:8113)ைக(cid:8114) சனநாயக ேசாச(cid:8098)ச(cid:8112) (cid:8065)(cid:8074)யரசி(cid:8121) அதி விேசட
வ(cid:8125)(cid:8119)தமானியி(cid:8127) பிர(cid:8070)ரமான வடேம(cid:8127) மாகாண(cid:8119)தி(cid:8121), (cid:8087)(cid:8119)தள(cid:8123) மாவ(cid:8117)ட(cid:8119)தி(cid:8127), (cid:8087)(cid:8119)தள(cid:8123) பிரேதச ெசயலாள(cid:8125) பிாிவி(cid:8127) 616 - ேசன(cid:8065)(cid:8074)ாி(cid:8122)(cid:8087)வ
கிராம அ(cid:8100)வல(cid:8125) பிாிவி(cid:8084)(cid:8128) ேசன(cid:8065)(cid:8074)ாி(cid:8122)(cid:8087)வ எ(cid:8084)(cid:8123) கிராம(cid:8119)தி(cid:8127), 410112 ஆ(cid:8123) இல(cid:8112)க கட(cid:8119)திர(cid:8127) அளைவ வைரபட(cid:8119)தி(cid:8127), பிாி(cid:8107) இல. 01
இ(cid:8127) தா(cid:8128) இல. 01 இ(cid:8127) 05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16 ஆ(cid:8120) திகதி.
EOG 01 - 0183 / 6
இல(cid:8113)ைக அரசா(cid:8113)க அ(cid:8114)(cid:8070)(cid:8119) திைண(cid:8112)கள(cid:8119)தி(cid:8127) பதி(cid:8122)பி(cid:8112)க(cid:8122)ெப(cid:8126)ற(cid:8080).</t>
  </si>
  <si>
    <t>be0b3080-8427-4a61-961f-3a24dc7cf835</t>
  </si>
  <si>
    <t>2471_77</t>
  </si>
  <si>
    <t>2471/77</t>
  </si>
  <si>
    <t>Title Registration Act, No. 21 of 1998, Section 14 — Commissioner of Title Settlement's decision under Section 14 (Gazette 2471/77)</t>
  </si>
  <si>
    <t>m1/raw/2471_77.pdf</t>
  </si>
  <si>
    <t>a33412fc-c634-4f49-83ac-789aebca00ba</t>
  </si>
  <si>
    <t>2471_78</t>
  </si>
  <si>
    <t>2471/78</t>
  </si>
  <si>
    <t>Title Registration Act, No. 21 of 1998, Section 14 — Amendment of previous decision (Gazette 2471/78)</t>
  </si>
  <si>
    <t>Amendment to a prior Commissioner of Title Settlement decision under Section 14 of the Title Registration Act No. 21 of 1998. Part III — Lands. Amends prior Gazette 1781/31 of October 25, 2012; covers Land Parcel No. 02 of page No. 01 covering Lot No. 75 in Cadastral Map No. 310025, in Block 1 of 24/47 referencing Land Settlement Department No. 1200/6, Battaramulla. Dated 23 December 2025.</t>
  </si>
  <si>
    <t>m1/raw/2471_78.pdf</t>
  </si>
  <si>
    <t>ශ්‍රී ඼ංකා ප්‍රජාාාා්ත්‍රික වමාජාලාදී ජානරජායේ ගැවට් පත්‍රය
අති විශ඾඿
අිං 2471/78 - 2026 ජනලාරි මව 1 7 ලැනි ශවනසුරාදා - 2026.01.17
(රජායේ බ඼යපිට ප්‍රසිද්ධ කරන ඼දී)
III ලැනි ශ ොටව - ඉඩම්
හිමි ම් ලියාපදිංචි කිරීම
විංශ඾ෝධන
1998 අිං 21 දරන හිමි ම් ලියාපදිංචි කිරීශම් පනත
(14 ලන ලග්තතිය)
උක්ා ශීර්඿ය යටයේ 2012 ඔක්යාෝබර් මව 25 ලන දින අංක 1781/31 දරන ශ්‍රී ඼ංකා ප්‍රජාාාා්ත්‍රික වමාජාලාදී ජානරජායේ අති ශෙය඾඿ ගැවට් පත්‍රයේ
පෂ කරන ඼ද ම යම පෂායේ මාාය දිවත්‍රික්කයේ දල් ඼ ප්‍රාය්ධශීය ය ක ක යක්ට්සාවයේ අංක 4 452  ප යප්ාාන ‍ාම ලධ඼ ා ක යක්ට්සාවය
තුෂ රංගිරිගම නමැති ගය ක පිහිටියා වූ ද, අංක 310025 දරන කැඩැවතාර සිදතියය ක ක඼ාප අංක 02 හි පත්‍ර අංක 01 හි කැබි  අංක 75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01-0185/1
1A - G 046127- 03 (2026/01)
වැ.යු.- යමම අති ශෙය඾඿ ගැවට් පත්‍රය www.documents.gov.lk යලේ අඩශෙයය්ත බාගා කෂ ශැක.
2 A III ශ ොටව : ශ්‍රී ඼ිං ා ‍රජාතා්ත්‍රි වමාජලා ජ ජනරජශඅ අති විශ඾඿ සැව ප ප‍රය - 2026.01.17
විංශ඾ෝධන
1998 අිං 21 දරන හිමි ම් ලියාපදිංචි කිරීශම් පනත
(14 ලන ලග්තතිය)
උක්ා ශීර්඿ය යටයේ 2020 යපබරලාරි මව 18 ලන දින අංක 2163/14 දරන ශ්‍රී ඼ංකා ප්‍රජාාාා්ත්‍රික වමාජාලාදී ජානරජායේ අති ශෙය඾඿ ගැවට් පත්‍රයේ
පෂ කරන ඼ද ම යම පෂායේ මාාය දිවත්‍රික්කයේ දල් ඼ ප්‍රාය්ධශීය ය ක ක යක්ට්සාවයේ අංක 4 453  න නාග඼ලැල ‍ාම ලධ඼ ා ක යක්ට්සාවය
තුෂ යශේ්තල඼යාගම නමැති ගය ක පිහිටියා වූ ද, අංක 310058 දරන කැඩැවතාර සිදතියය ක ක඼ාප අංක 02 හි පත්‍ර අංක 01 හි කැබි  අංක 26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01-0185/2
විංශ඾ෝධන
1998 අිං 21 දරන හිමි ම් ලියාපදිංචි කිරීශම් පනත
(14 ලන ලග්තතිය)
උක්ා ශීර්඿ය යටයේ 2022 මාර්තු මව 10 ලන දින අංක 2270/40 දරන ශ්‍රී ඼ංකා ප්‍රජාාාා්ත්‍රික වමාජාලාදී ජානරජායේ අති ශෙය඾඿ ගැවට් පත්‍රයේ පෂ
කරන ඼ද ම යම පෂායේ මාාය දිවත්‍රික්කයේ දල් ඼ ප්‍රාය්ධශීය ය ක ක යක්ට්සාවයේ අංක 4 453  න නාග඼ලැල ‍ාම ලධ඼ ා ක යක්ට්සාවය තුෂ
යශේ්තල඼යාගම නමැති ගය ක පිහිටියා වූ ද, අංක 310058 දරන කැඩැවතාර සිදතියය ක ක඼ාප අංක 02 හි පත්‍ර අංක 01 හි කැබි  අංක 27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01-0185/3
විංශ඾ෝධන
1998 අිං 21 දරන හිමි ම් ලියාපදිංචි කිරීශම් පනත
(14 ලන ලග්තතිය)
උක්ා ශීර්඿ය යටයේ 2013 යපබරලාරි මව 22 ලන දින අංක 1798/57 දරන ශ්‍රී ඼ංකා ප්‍රජාාාා්ත්‍රික වමාජාලාදී ජානරජායේ අති ශෙය඾඿ ගැවට් පත්‍රයේ
පෂ කරන ඼ද ම යම පෂායේ මාාය දිවත්‍රික්කයේ දල් ඼ ප්‍රාය්ධශීය ය ක ක යක්ට්සාවයේ අංක 4 452 පලුටාල ‍ාම ලධ඼ ා ක යක්ට්සාවය තුෂ
පලුටාල නමැති ගය ක පිහිටියා වූ ද, අංක 310040 දරන කැඩැවතාර සිදතියය ක ක඼ාප අංක 01 හි පත්‍ර අංක 01 හි කැබි  අංක 126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01-0185/4
III ශ ොටව : ශ්‍රී ඼ිං ා ‍රජාතා්ත්‍රි වමාජලා ජ ජනරජශඅ අති විශ඾඿ සැව ප ප‍රය - 2026.01.17 3A
විංශ඾ෝධන
1998 අිං 21 දරන හිමි ම් ලියාපදිංචි කිරීශම් පනත
(14 ලන ලග්තතිය)
උක්ා ශීර්඿ය යටයේ 2024 යන්ලැ කබර් මව 19 ලන දින අංක 2411/23 දරන ශ්‍රී ඼ංකා ප්‍රජාාාා්ත්‍රික වමාජාලාදී ජානරජායේ අති ශෙය඾඿ ගැවට් පත්‍රයේ
පෂ කරන ඼ද ලයඹ පෂායේ කුරුණෑග඼ දිවත්‍රික්කයේ කුරුණෑග඼ ප්‍රාය්ධශීය ය ක ක යක්ට්සාවයේ අංක 816 ම කවාලාල ‍ාම ලධ඼ ා ක
යක්ට්සාවය තුෂ ම කවාලාල නමැති ගය ක පිහිටියා වූ ද, අංක 420438 දරන කැඩැවතාර සිදතියය ක ක඼ාප අංක 5 හි පත්‍ර අංක 01 හි කැබි  අංක 16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01-0185/5
විංශ඾ෝධන
1998 අිං 21 දරන හිමි ම් ලියාපදිංචි කිරීශම් පනත
(14 ලන ලග්තතිය)
උක්ා ශීර්඿ය යටයේ 2025 ජානලාරි මව 02 ලන දින අංක 2417/34 දරන ශ්‍රී ඼ංකා ප්‍රජාාාා්ත්‍රික වමාජාලාදී ජානරජායේ අති ශෙය඾඿ ගැවට් පත්‍රයේ පෂ
කරන ඼ද ලයඹ පෂායේ කුරුණෑග඼ දිවත්‍රික්කයේ කුරුණෑග඼ ප්‍රාය්ධශීය ය ක ක යක්ට්සාවයේ අංක 816 ම කවාලාල ‍ාම ලධ඼ ා ක යක්ට්සාවය
තුෂ ම කවාලාල නමැති ගය ක පිහිටියා වූ ද, අංක 420438 දරන කැඩැවාත ර සිදතියය ක ක඼ාප අංක 5 හි පත්‍ර අංක 01 හි කැබි  අංක 18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01-0185/6
විංශ඾ෝධන
1998 අිං 21 දරන හිමි ම් ලියාපදිංචි කිරීශම් පනත
(14 ලන ලග්තතිය)
උක්ා ශීර්඿ය යටයේ 2024 අයගෝවතතු මව 15 ලන දින අංක 2397/59 දරන ශ්‍රී ඼ංකා ප්‍රජාාාා්ත්‍රික වමාජාලාදී ජානරජායේ අති ශෙය඾඿ ගැවට් පත්‍රයේ
පෂ කරන ඼ද ලයඹ පෂායේ කුරුණෑග඼ දිවත්‍රික්කයේ කුරුණෑග඼ ප්‍රාය්ධශීය ය ක ක යක්ට්සාවයේ අංක 842 උඩල යප්඼ ‍ාම ලධ඼ ා ක
යක්ට්සාවය තුෂ උඩල යප්඼ නමැති ගය ක පිහිටියා වූ ද, අංක 420386 දරන කැඩැවතාර සිදතියය ක ක඼ාප අංක 2 හි කැබි  අංක 96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01-0185/7
4 A III ශ ොටව : ශ්‍රී ඼ිං ා ‍රජාතා්ත්‍රි වමාජලා ජ ජනරජශඅ අති විශ඾඿ සැව ප ප‍රය - 2026.01.17
විංශ඾ෝධන
1998 අිං 21 දරන හිමි ම් ලියාපදිංචි කිරීශම් පනත
(14 ලන ලග්තතිය)
උක්ා ශීර්඿ය යටයේ 2024 ඔක්යාෝබර් මව 27 ලන දින අංක 2407/63 දරන ශ්‍රී ඼ංකා ප්‍රජාාාා්ත්‍රික වමාජාලාදී ජානරජායේ අති ශෙය඾඿ ගැවට් පත්‍රයේ
පෂ කරන ඼ද ලයඹ පෂායේ කුරුණෑග඼ දිවත්‍රික්කයේ කුරුණෑග඼ ප්‍රාය්ධශීය ය ක ක යක්ට්සාවයේ අංක 815 බමුණාල඼ ‍ාම ලධ඼ ා ක
යක්ට්සාවය තුෂ කුඹ යප්඼ නමැති ගය ක පිහිටියා වූ ද, අංක 420368 දරන කැඩැවතාර සිදතියය ක ක඼ාප අංක 09 හි පත්‍ර අංක 01 හි කැබි  අංක 176
දරන ඩඩ ක යක්ටව ව කබ්ත යය්ත එහි උපය ඛනයයහි;
“සිදයලු යා්රතුරු ඩලේ කර වංය඾ෝ නය කරනු ඼ැයේ.”
පී.සී.ඩී. සිශේරා,
ඩඩ ක හිමික ක ලධරවු කි කය ක යක්මවාරිවත ජානරා .
2025 යදවැ කබර් මව 23 ලැලධ දින,
බේාරමු ඼
රජාම ලේා පාර,
“මිහිකා මැදුර”, අංක 1200/6,
ඩඩ ක හිමික ක ලධරවු කි කය ක යදපාර්ාය ක්තතුයේ දී ය.
EOG 01-0185/8
ශ්‍රී ඼ංකා රජායේ මු‍රණ යදපාර්ාය ක්තතුයේ මු‍රණය කරන ඼දී.</t>
  </si>
  <si>
    <t>6cb41f4f-7845-4c8f-b6bc-2b09bd6288f7</t>
  </si>
  <si>
    <t>2471_79</t>
  </si>
  <si>
    <t>2471/79</t>
  </si>
  <si>
    <t>Title Registration Act, No. 21 of 1998, Section 14 — Commissioner of Title Settlement decision (Gazette 2471/79)</t>
  </si>
  <si>
    <t>Commissioner of Title Settlement's decision under Section 14 of the Title Registration Act No. 21 of 1998. Part III — Lands. Land Parcel covering 14 Cadastral Map references 251/14/02 cadastral references; references Gazette 510102 of 22 January 2024. References Gazette 510160 of 17 December 2025 and Gazette 12/2025 from Block 04. References 1: 288 Bock 14, 250, 254 references Gazette 510160 of 17 December 2025 covering 1: 256 cadastral 1: 256, 1: 263, 1: 269, 1: 270, 1: 276.</t>
  </si>
  <si>
    <t>m1/raw/2471_79.pdf</t>
  </si>
  <si>
    <t>III �ක ස�ටස - ශ්‍රී ��ක ස� ‍රා���්ත්‍රික ස සම�ා�� ජ ාජයා�� ි ව ශෙ��ග ��ස ප ්‍ර� - 2026.01.17 1 A
பகுத� III - இலங்�கச் சன��யக �ச�சலிசக் குடியரசு வர்த்தம�னப் பத்த����க - அத� வ��சஷம�னது - 2026.01.17
ශ්‍රී ��ක� ප්‍රජ���්ත්‍රික ස��ජ��දී ජනරජ�� ��සට් පත්‍රය
இலங்�கச் சன��யக �ச�சலிசக் குடியரசு வர்த்தம�னப் பத்த����க
ි ව ශෙ��ග அத� வ��சஷம�னது
ි�ක ස 2471/79 - 2026 ාජ��රි මස 17 ��නි �සජසුය��� - 2026.01.17
2471/79 ஆம் இலக்கம் - 2026 ஆம் ஆண்டு சனவ�� ம�தம் 17 ஆந் த�கத� சன�க்க�ழ�ம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��ன், 1998 ஆம் ஆண்டின் 21 ஆம் இலக்க உ��த்துப் பத�வுச் சட்டத்த�ன் 12 ஆம் ப���வ�ன்
��யத�கள�ன்படி 2025.02.20 ஆந் த�கத�ய, 2424/65 ஆம் இலக்க வர்த்தம�ன�ய�ல் உ��ய மு�றய�ல் �வள�ய�டப்பட்டதும், க�ண�க்க�ன
உ���மக் �க���க்�கக�ளக் �க�ருக�ன்றதும�ன 51/1432 ஆம் இலக்க அற�வ�த்தலில் குற�ப்பீடு �சய்யப்பட்ட �மல் ம�க�ணத்த�ல், கம்பஹ�
ம�வட்டத்த�ல், மஹர ப�ர�தச �சயல�ளர் ப���வ�ல், இல. 288 பீ - �வபட �மற்கு க�ர�ம அலுவலர் ப���வ�னுள் �வபட க�ர�மத்த�ல்
அ�மந்துள்ளதும் 510890 ஆம் இலக்க கடத்த�ரல் அள�வ வ�ரபடத்த�ல் ப���வு இல. 02 இல் அடங்க�யுள்ளதும�ன 1:233, 1:239, 1:255,
1:256, 1:260, 1:263, 1:269, 1:270, 1:276 ஆம் இலக்க க�ண�த்துண்டுகளுக்க�ன உ��த்து �த�டர்ப�க இத�ன�டு இ�ணக்கப்பட்ட
அட்டவ�ணய�ல் தரப்பட்டுள்ளவ�ற�ன எனது த�ர்ம�னத்�த இத்த�ல் �வள�ப்படுத்துக�ன்�றன்.
பீ. ச�. டீ. ச��கர�,
க�ண� உ��த்து ��ர்ணய ஆ�ணய�ளர் ��யகம்.
க�ண� உ��த்து ��ர்ணயத் த��ணக்களம்,
இல. 1200/6, “ம�ஹ�கத �மதுர”,
இரஜமல்வத்த வீத�,
பத்தரமுல்�ல,
2025 ஆம் ஆண்டு யூன் ம�தம் 03 ஆம் த�கத�.
1A - G 46128 - 03 (2026/01)
மு. கு. - இவ் அத�வ��ஷட வர்த்தம�ன��ய www.documents.gov.lk எனும் இ�ணயத்தளத்த�லிருந்து பத�வ�றக்கம் �சய்ய முடியும்.
2 A III �ක ස�ටස - ශ්‍රී ��ක ස� ‍රා���්ත්‍රික ස සම�ා�� ජ ාජයා�� ි ව ශෙ��ග ��ස ප ්‍ර� - 2026.01.17
பகுத� III - இலங்�கச் சன��யக �ச�சலிசக் குடியரசு வர்த்தம�னப் பத்த����க - அத� வ��சஷம�னது - 2026.01.17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 : 233 0.0331 �ஹட்டி ஆரச்ச��க அஜ�த் �ர�ஹன் 681541489V முழுவதும் 1வது வகுப்பு _
அப்புஹ�ம�
இல.477 டீ, �வபட �மற்கு, �வபட.
1 : 239 0.0306 வன�கரத்ன ஆச����க பத்ம� 758302962V முழுவதும் 1வது வகுப்பு க�.து.இல.240ன்
ப்��யந்த� அணுகுவழ�
இல.490/ச�/3, �வபட �மற்கு, �சவகத்த�ற்கு
�வபட. உட்பட்டது.
1 : 255 0.0319 ரணதுங் ஆரச்ச��க ப�ரசன்ன 781161160V முழுவதும் 1வது வகுப்பு க�.து.இல.260ன்
இல. அணுகுவழ�
146/பீ/2/பீ, சூ��யப�லுவ, �சவகத்த�ற்கும்,
கடவத. �தச�ய �சம�ப்பு
வங்க�ய�ன்
இல. 2721 மற்றும்
2025.02.20 த�கத�
அடக�ன்
��பந்த�னகளுக்கு
உட்பட்டது.
1 : 256 0.0087 தன�ய�ர் இல்�ல முழுவதும் 1வது வகுப்பு _ க�.து.இல.257ன்
ப�ர�வசத்த�ற்கு
1 : 260 0.0360 ரத்��யக்க லியன�க ஷதுர லக�ந்து 743510828V முழுவதும் 1வது வகுப்பு _
ரத்��யக்க
இல.490/ச�, �வபட �மற்கு,
�வபட.
1 : 263 0.0324 த�ச���யக்க முத�யன்�சல��க 881281953V முழுவதும் 1வது வகுப்பு க�.து.இல.259ன்
சம�ர புஷ்பகும�ர அணுகுவழ�
இல.498/�ஜ/11, �வபட �மற்கு, �சவகத்த�ற்கும்,
�வபட. �தச�ய �சம�ப்பு
வங்க�ய�ன்
இல.642 மற்றும்
2017.09.29 த�கத�ய�ன்
அடகு பத்த�ரத்த�ன்
��பந்த�னகளுக்கு
உட்பட்டது.
1 : 269 0.0496 ம�ங்�க�ட்ட கங்க�னமல��க அமல் 197634000123 முழுவதும் 1வது வகுப்பு _
க�த்ச��� சமரச�ங்க
இல. 477, �வபட �மற்கு,
�வபட.
1 : 270 0.0158 ரணவீர ஆரச்ச��க �த�ன் சவ�ன் 200411100584 முழுவதும் 1வது வகுப்பு _
�ல�ஷன ஸ்�டன�ஸ் ரணவீர
இல.477, �வபட �மற்கு,
�வபட.
1 : 276 0.0493 �ஹட்டி ஆரச்ச��க அஜ�த் �ர�ஹன் 681541489V முழுவதும் 1வது வகுப்பு _
அப்புஹ�ம�
இல.477/டீ, �வபட �மற்கு,
�வபட.
EOG 01 - 0186/1
III �ක ස�ටස - ශ්‍රී ��ක ස� ‍රා���්ත්‍රික ස සම�ා�� ජ ාජයා�� ි ව ශෙ��ග ��ස ප ්‍ර� - 2026.01.17 3 A
பகுத� III - இலங்�கச் சன��யக �ச�சலிசக் குடியரசு வர்த்தம�னப் பத்த����க - அத� வ��சஷம�னது - 2026.01.17
1998 ஆம் ஆண்டின் 21 ஆம் இலக்க உ��த்துப் பத�வுச் சட்டம்
14 ஆம் ப���வ�ன் க�ழ் உ��த்து ��ர்ணய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��ன், 1998 ஆம் ஆண்டின் 21 ஆம் இலக்க உ��த்துப் பத�வுச் சட்டத்த�ன் 12 ஆம் ப���வ�ன்
��யத�கள�ன்படி 2024.09.01 ஆந் த�கத�ய, 2399/57 ஆம் இலக்க வர்த்தம�ன�ய�ல் உ��ய மு�றய�ல் �வள�ய�டப்பட்டதும், க�ண�க்க�ன
உ���மக் �க���க்�கக�ளக் �க�ருக�ன்றதும�ன 51/1389 ஆம் இலக்க அற�வ�த்தலில் குற�ப்பீடு �சய்யப்பட்ட �மல் ம�க�ணத்த�ல்,
கம்பஹ� ம�வட்டத்த�ல், மஹர ப�ர�தச �சயல�ளர் ப���வ�ல், இல. 286 ஈ - எல்�தன�ய க�ழக்கு க�ர�ம அலுவலர் ப���வ�னுள் �க�ன�ஹன
க�ர�மத்த�ல் அ�மந்துள்ளதும் 510854 ஆம் இலக்க கடத்த�ரல் அள�வ வ�ரபடத்த�ல் ப���வு இல. 04 இல் அடங்க�யுள்ளதும�ன 1:142,
1:143, 1:145, 1:181, 1:182, 1:184, 1:186, 1:187, 1:188, 1:189, 1:203 ஆம் இலக்க க�ண�த்துண்டுகளுக்க�ன உ��த்து �த�டர்ப�க
இத�ன�டு இ�ணக்கப்பட்ட அட்டவ�ணய�ல் தரப்பட்டுள்ளவ�ற�ன எனது த�ர்ம�னத்�த இத்த�ல் �வள�ப்படுத்துக�ன்�றன்.
பீ. ச�. டீ. ச��கர�,
க�ண� உ��த்து ��ர்ணய ஆ�ணய�ளர் ��யகம்.
க�ண� உ��த்து ��ர்ணயத் த��ணக்களம்,
இல. 1200/6, “ம�ஹ�கத �மதுர”,
இரஜமல்வத்த வீத�,
பத்தரமுல்�ல.
2025 ஆம் ஆண்டு யூன் ம�தம் 03 ஆம் த�கத�.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 : 142 0.1055 தஹ��யக்க�க �ரணுக� குமுதுன� 705520208V முழுவதும் 1வது வகுப்பு �க�ழும்பு 03
இல.449/டீ, �தச�ய �சம�ப்பு
�க�ன�ஹன, கடவத. வங்க�யுடன்
ப�.���.ச�.
வ��ஜச�ங்க
இல.2674
மற்றும்
2016.02.25
த�கத�
அடக�ன்
��பந்த�ன
களுக்கும்
உட்பட்டது.
1 : 143 0.1054 தஹ��யக்க�க ச�த� இந்த�ர�ண� அல்லது 725431210V முழுவதும் 1வது வகுப்பு க�.து.இல.203ன்
ச�த� இந்த�ர�ண� தஹ��யக்க அணுகுவழ�
இல.449/பீ, �சவகத்த�ற்கு
�க�ன�ஹன, கடவத. உட்பட்டது.
1 : 145 0.1442 சுரங்க �க�ஷல்ய� தஹ��யக்க 197335900726 முழுவதும் 1வது வகுப்பு க�.து.இல.178ன்
இல.449/ச�, அணுகுவழ�
�க�ன�ஹன, கடவத. �சவகத்த�ற்கு
உட்பட்டது.
4 A III �ක ස�ටස - ශ්‍රී ��ක ස� ‍රා���්ත්‍රික ස සම�ා�� ජ ාජයා�� ි ව ශෙ��ග ��ස ප ්‍ර� - 2026.01.17
பகுத� III - இலங்�கச் சன��யக �ச�சலிசக் குடியரசு வர்த்தம�னப் பத்த����க - அத� வ��சஷம�னது - 2026.01.17
அட்டவ�ண (�த�டர்ச்ச�)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 : 181 0.0185 சூ��ய ஆரச்ச�க சு�ரஷன 832811483V முழுவதும் 1வது வகுப்பு சூ��ய ஆரச்ச��க
�ப�ரர� சுன�ல் �ப�ரர�
இல.448/ச�, �க�ன�ஹன, மற்றும் ம�வத்த
கடவத. அச்ச�ல்ல��க ம�லன�
என்பவ��ன்
ச�வ�யத்த�ற்கு
உட்பட்டது
1 : 182 0.0433 சமரவீர ஆரச்ச��க உபுல் சமந்த 680961085V முழுவதும் 1வது வகுப்பு க�.து.இல.184ன்
�ப�ரர� அணுகுவழ�
இல.448/1 ஏ, �க�ன�ஹன, �சவகத்த�ற்கும்,
கடவத. எல்�லக்குட்பட்ட
பல்�ச�வ
கூட்டுறவு சங்கம்,
மஹர, கடவதவ�ன்
அடக�ற்கும்,
மல்லிக�ர�ச்ச��க
ச���ய�வத�
என்பவ��ன்
ச�வ�யத்த�ற்கு
உட்பட்டது
1 : 184 0.0161 தன�ய�ர் இல்�ல முழுவதும் 1வது வகுப்பு _ க�.து.இல.
182, 185,
183, 176 மற்றும்
175ன்
ப�ர�வசத்த�ற்கு
1 : 186 0.0659 குட� �ஹட்டிஆரச்ச��க 675182990V முழுவதும் 1வது வகுப்பு _
ம��னல் தமயந்த�
இல.304/29, இஹல ப�யன்வல,
கடவத.
1 : 187 0.0273 �ஹட்டி ஆரச்ச��க ஜ�வ� 647700560V முழுவதும் 1வது வகுப்பு _
ப்��யதர்ஷன�
இல.448/பீ/1, �க�ன�ஹன,
கடவத.
1 : 188 0.0431 �ஹட்டி ஆரச்ச��க ஜ�வ� 647700560V முழுவதும் 1வது வகுப்பு _
ப்��யதர்ஷன�
இல.448/பீ, �க�ன�ஹன,
கடவத.
1 : 189 0.0850 குட� �ஹட்டிஆரச்ச��க சஜ�த் 197215600899 முழுவதும் 1வது வகுப்பு _
கும�ர �ஹட்டிஆரச்ச�
இல.448, �க�ன�ஹன, கடவத.
1 : 203 0.1040 தன�ய�ர் இல்�ல முழுவதும் 1வது வகுப்பு _ க�.து.இல. 179,
177,144, 143,
142, 127, 126,
125, 105 மற்றும்
104ன்
ப�ர�வசத்த�ற்கு
EOG 01 - 0186/2
இலங்�க அரச�ங்க அச்சுத் த��ணக்களத்த�ல் பத�ப்ப�க்கப்�பற்றது.</t>
  </si>
  <si>
    <t>88c301c0-02de-4694-a999-2738cf8d10a3</t>
  </si>
  <si>
    <t>2471_80</t>
  </si>
  <si>
    <t>2471/80</t>
  </si>
  <si>
    <t>Title Registration Act, No. 21 of 1998, Section 14 — Commissioner of Title Settlement's decision under Section 14 (Gazette 2471/80)</t>
  </si>
  <si>
    <t>m1/raw/2471_80.pdf</t>
  </si>
  <si>
    <t>1799d673-1ab2-48c7-ac48-79c98c1e5db9</t>
  </si>
  <si>
    <t>2471_81</t>
  </si>
  <si>
    <t>2471/81</t>
  </si>
  <si>
    <t>Title Registration Act, No. 21 of 1998, Section 14 — Commissioner of Title Settlement decision (Gazette 2471/81)</t>
  </si>
  <si>
    <t>m1/raw/2471_81.pdf</t>
  </si>
  <si>
    <t>III ෙක(cid:675)ටස – (cid:636) ලංකා (cid:541)ජාතා(cid:486)(cid:437)ක සමාජවා(cid:463) ජනරජෙ(cid:591) අ(cid:431) (cid:618)ෙශෂ ගැස(cid:376) ප(cid:436)ය – 2026.01.17 1 A
ப(cid:8065)தி III – இல(cid:8113)ைக(cid:8114) சனநாயக ேசாச(cid:8098)ச(cid:8112) (cid:8065)(cid:8074)யர(cid:8070) வ(cid:8125)(cid:8119)தமான(cid:8122) ப(cid:8119)திாிைக - அதி விேசஷமான(cid:8080) – 2026.01.17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2471/81 - 2026 ජනවා(cid:604) මස 17 වැ(cid:487) ෙසන(cid:648)රාදා - 2026.01.17
2471/81 ஆ(cid:8123) இல(cid:8112)க(cid:8123) - 2026 ஆ(cid:8123) ஆ(cid:8118)(cid:8076) சனவாி மாத(cid:8123) 17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2024.12.13 ஆ(cid:8120) திகதிய காணி(cid:8112)கான உாிைம(cid:8112) ேகாாி(cid:8112)ைககைள(cid:8112) ேகா(cid:8094)கி(cid:8121)ற(cid:8080)மான 2414/59 ஆ(cid:8123) இல(cid:8112)க அறிவி(cid:8119)த(cid:8098)(cid:8127)
(cid:8065)றி(cid:8122)(cid:8086)(cid:8076) ெச(cid:8124)ய(cid:8122)ப(cid:8117)ட ேம(cid:8127) மாகாண(cid:8119)தி(cid:8121), க(cid:8123)பஹா மாவ(cid:8117)ட(cid:8119)தி(cid:8127), ஜா எல பிரேதச ெசயலாள(cid:8125) பிாிவி(cid:8127), இல. 207 - வட(cid:8112)(cid:8065) நிவ(cid:8120)தம
கிராம அ(cid:8100)வல(cid:8125) பிாிவி(cid:8084)(cid:8128) நிவ(cid:8120)தம கிராம(cid:8119)தி(cid:8127) அைம(cid:8120)(cid:8080)(cid:8128)ள(cid:8080)(cid:8123) 512203 ஆ(cid:8123) இல(cid:8112)க கட(cid:8119)திர(cid:8127) அளைவ வைரபட(cid:8119)தி(cid:8127) பிாி(cid:8107) இல. 10
இ(cid:8127) அட(cid:8113)கி(cid:8092)(cid:8128)ள(cid:8080)மான 1:176 ஆ(cid:8123) இல(cid:8112)க(cid:8119)ைத(cid:8112) ெகா(cid:8118)ட காணி(cid:8119)(cid:8080)(cid:8118)(cid:8074)(cid:8126)கான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19 ஆ(cid:8120) திகதி.
1A - G 46130 - 03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2026.01.17
ப(cid:8065)தி III – இல(cid:8113)ைக(cid:8114) சனநாயக ேசாச(cid:8098)ச(cid:8112) (cid:8065)(cid:8074)யர(cid:8070) வ(cid:8125)(cid:8119)தமான(cid:8122) ப(cid:8119)திாிைக - அதி விேசஷமான(cid:8080) – 2026.01.17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1:176 0.0303 உ(cid:8070)ெஹ(cid:8117)(cid:8074)ேக (cid:8087)(cid:8119)தபிாிய 198026300220 (cid:8089)(cid:8104)வ(cid:8080)(cid:8123) 1ஆவ(cid:8080) வ(cid:8065)(cid:8122)(cid:8087) உ(cid:8070)ெஹ(cid:8117)(cid:8074)ேக –
அ(cid:8094)ண ஷா(cid:8120)த (cid:8087)(cid:8131)பிகா
203/ஏ, நிவ(cid:8120)தம, ம(cid:8080)ஷானி
ஜா எல. எ(cid:8121)பவர(cid:8080) சீவிய
உாி(cid:8119)தி(cid:8126)(cid:8065)
உ(cid:8117)ப(cid:8117)ட(cid:8080).
EOG 01 - 0188
இல(cid:8113)ைக அரசா(cid:8113)க அ(cid:8114)(cid:8070)(cid:8119) திைண(cid:8112)கள(cid:8119)தி(cid:8127) பதி(cid:8122)பி(cid:8112)க(cid:8122)ெப(cid:8126)ற(cid:8080).</t>
  </si>
  <si>
    <t>c30bc8ee-7f40-4636-8628-32920ad6c90a</t>
  </si>
  <si>
    <t>2471_83</t>
  </si>
  <si>
    <t>2471/83</t>
  </si>
  <si>
    <t>Land Acquisition Act (Chapter 460), Section 5/7 — Land Acquisition Notice (Gazette 2471/83)</t>
  </si>
  <si>
    <t>m1/raw/2471_83.pdf</t>
  </si>
  <si>
    <t>III ෙකාටස - (cid:636) ලංකා (cid:541)ජාතා(cid:486)(cid:437)ක සමාජවා(cid:463) ජනරජෙ(cid:591) අ(cid:431) (cid:618)ෙශෂ ගැස(cid:376) ප(cid:436)ය - 2026.01.17 1A
பகுதி III - இலங்ைகச் சனநாயக ேசாச(cid:8098)சக் கு(cid:8074)யரசு வர்த்தமானப் பத்திாிைக - அதி விேசஷமான(cid:8080) - 2026.01.17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22447711//8833 -- 22002266 ජජනනවවාා(cid:604)(cid:604) මමසස 1177 වවැැ(cid:487)(cid:487) ෙෙසසනන(cid:648)(cid:648)රරාාදදාා -- 22002266..0011..1177
2471/83 ஆம் இலக்கம் - 2026 ஆம் ஆண்(cid:8076) சனவாி மாதம் 17 ஆந் திகதி சனிக்கிழைம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நன்தசிாி உாிைம ேகா(cid:8094)ம் இஹலகமேஹன்யாய; கிழக்கு:
அலேஹேனகம கிராம அ(cid:8100)வலர் பிாி(cid:8107); ெதற்கு: (cid:8080)ண்(cid:8076) B;
5 ஆம் பிாிவின் ப(cid:8074)யான பிரகடனம் ேமற்கு: (cid:8080)ண்(cid:8076) C.
கீழ்க்கா(cid:8078)ம் காணி ஒ(cid:8094) பகிரங்கத் ேதைவக்கு ேவண்(cid:8074)யதாய் 02. (cid:8080)(cid:8080)ண்ண்(cid:8076)(cid:8076) ‘B’ –– இஇஹஹலலககமமேேஹஹன்ன்யயாாயய –– வவிிஸ்ஸ்ததீீரரணணம்ம்::
இ(cid:8094)க்கின்றெதன்(cid:8096)ம் காணி எ(cid:8076)த்தற் சட்டத்தின் ஏற்பா(cid:8076) 00..22222255 ெெஹஹக்க்டடயயாார்ர்
களின் பிரகாரம் அ(cid:8080) எ(cid:8076)த்(cid:8080)க் ெகாள்ளப்ப(cid:8076)ெமன்(cid:8096)ம் காணி வடக்கு: உாிைம ேகா(cid:8094)பர் ேத(cid:8074)க் ெகாள்ள (cid:8089)(cid:8074)யாத மயான
(cid:8088)மி, (cid:8080)ண்(cid:8076)கள் E, D, C மற்(cid:8096)ம் A; கிழக்கு: அலேஹேனகம
எ(cid:8076)த்தற் சட்டத்தின் 5 ஆம் பிாிவின் (1) ஆம் உபபிாிவின்
கிராம அ(cid:8100)வலர் பிாி(cid:8107); ெதற்கு: ஏ. எம். கிாி(cid:8089)தியன்ேஸ
பிரகாரம் கமத்ெதாழில், கால்நைட வளங்கள், காணி மற்(cid:8096)ம்
உாிைம ேகா(cid:8094)ம் இஹலகமேஹன்யாய; ேமற்கு: டப்(cid:8098)வ், ஜீ.
நீர்ப்பாசன அைமச்சர் குரகமேக ெதான் லால் காந்த ஆகிய
எம். பீ. விக்ரமநாயக்க உாிைம ேகா(cid:8094)ம் இஹலகமேஹன்யாய்,
நான், இத்தால் பிரகடனம் ெசய்கின்ேறன்.
(cid:8080)ண்(cid:8076) F மற்(cid:8096)ம் ஈ. எம். பிேரமதாஸ உாிைம ேகா(cid:8094)ம்
இஹலகமேஹன்யாய.
வடேமல் மாகாணம், கு(cid:8094)நாகல் மாவட்டத்தில் ெகாெபய்கேன
பிரேதச ெசயலகப் பிாிவில், பலெதார ேகாரைளயில், சி(cid:8096) 03. (cid:8080)(cid:8080)ண்ண்(cid:8076)(cid:8076) ‘C’ –– இஇஹஹலலககமமேேஹஹன்ன்யயாாயய –– வவிிஸ்ஸ்ததீீரரணணம்ம்::
பிாி(cid:8107) 1316-ெப(cid:8098)ெவவ கிராம அ(cid:8100)வலர் பிாிவின், இஹலகம
00..00448888 ெெஹஹக்க்டடயயாார்ர்
கிராமத்தில் அைமந்(cid:8080)ள்ள நில அளைவயாளர் நாயகத்தினால்
வடக்கு: ஆர். எம். சிாிவர்தன உாிைம ேகா(cid:8094)ம்
2023.06.12 திகதி தயாாிக்கப்பட்ட சுவட்(cid:8076) வைரபட இலக்கம்
இஹலகமேஹன்யாய மற்(cid:8096)ம் டப்(cid:8098)வ். எம். எ(cid:8109)(cid:8098)ன் ேநானா
KU/KBI/2022/401 இன் கீழ் விபாிக்கப்பட்(cid:8076)ள்ள ெபயர்கள்
உாிைம ேகா(cid:8094)ம் இஹலகமேஹன்யாய; கிழக்கு: ஈ. எம்.
மற்(cid:8096)ம் விஸ்தீரணங்க(cid:8102)ைடய காணித்(cid:8080)ண்(cid:8076)களின்
சமன்தநன்தசிாி ஏக்கநாயக்க உாிைமேகா(cid:8094)ம் இஹலகம
எல்ைலகள்:
ேஹன்யாய மற்(cid:8096)ம் (cid:8080)ண்(cid:8076) A; ெதற்கு: (cid:8080)ண்(cid:8076) B; ேமற்கு:
(cid:8080)ண்(cid:8076) D.
01. (cid:8080)(cid:8080)ண்ண்(cid:8076)(cid:8076) ‘A’ –– இஇஹஹலலககமமேேஹஹன்ன்யயாாயய –– வவிிஸ்ஸ்ததீீரரணணம்ம்::
00..00221144 ெெஹஹக்க்டடயயாார்ர்
வடக்கு: டப்(cid:8098)வ். எம். எ(cid:8109)(cid:8098)ன் ேநானா உாிைம ேகா(cid:8094)ம்
இஹலகமேஹன்யாய மற்(cid:8096)ம் மற்(cid:8096)ம் ஈ. எம். சமன்த
1A - G46120 - 48 (2026/01)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- 2026.01.17
பகுதி III - இலங்ைகச் சனநாயக ேசாச(cid:8098)சக் கு(cid:8074)யரசு வர்த்தமானப் பத்திாிைக - அதி விேசஷமான(cid:8080) - 2026.01.17
04. (cid:8080)(cid:8080)ண்ண்(cid:8076)(cid:8076) ‘D’ –– ததன்ன்ககஹஹ(cid:8089)(cid:8089)லலேேஹஹன்ன்யயாாயய –– வவிிஸ்ஸ்ததீீரரணணம்ம்:: 11. (cid:8080)(cid:8080)ண்ண்(cid:8076)(cid:8076) ‘L’ –– குகுறறிிப்ப்பபிிடடப்ப்பபடடவவிில்ல்ைைலல –– வவிிஸ்ஸ்ததீீரரணணம்ம்::
00..00223322 ெெஹஹக்க்டடயயாார்ர் 00..00116644 ெெஹஹக்க்டடயயாார்ர்
வடக்கு: பீ. எம். சந்திரேசகர உாிைம ேகா(cid:8094)ம் தன்கஹ(cid:8089)ல வடக்கு: (cid:8106)தி; கிழக்கு: (cid:8080)ண்(cid:8076)கள் K, J மற்(cid:8096)ம் டப்(cid:8098)வ். பி.
ேஹன்யாய மற்(cid:8096)ம் ஆர். எம். சிாிவர்தன உாிைம ேகா(cid:8094)ம் எம். பீ. விக்ரமநாயக்க உாிைம ேகா(cid:8094)ம் இஹலகமேஹன்யாய;
தன்கஹ(cid:8089)லேஹன்யாய; கிழக்கு: டப்(cid:8098)வ். எம். எ(cid:8109)(cid:8098)ன்
ெதற்கு: (cid:8106)தி ; ேமற்கு: பீ. எம். ேஹரத்பண்டா உாிைம ேகா(cid:8094)ம்
ேநானா உாிைம ேகா(cid:8094)ம் இஹலகமேஹன்யாய மற்(cid:8096)ம் (cid:8080)ண்(cid:8076)
இஹலகமேஹன்யாய, (cid:8080)ண்(cid:8076)கள் N, M, ஈ. எம். ரங்பண்டா
C; ெதற்கு: (cid:8080)ண்(cid:8076) B; ேமற்கு: (cid:8080)ண்(cid:8076) E.
உாிைம ேகா(cid:8094)ம் இஹலகமேஹன்யாய.
05. (cid:8080)(cid:8080)ண்ண்(cid:8076)(cid:8076) ‘E’ –– ததன்ன்ககஹஹ(cid:8089)(cid:8089)லலேேஹஹன்ன்யயாாயய –– வவிிஸ்ஸ்ததீீரரணணம்ம்::
00..00002299 ெெஹஹக்க்டடயயாார்ர் 12. (cid:8080)(cid:8080)ண்ண்(cid:8076)(cid:8076) ‘M’ –– இஇஹஹலலககமமேேஹஹன்ன்யயாாயய –– வவிிஸ்ஸ்ததீீரரணணம்ம்::
வடக்கு: உாிைம ேகா(cid:8094)பவர் ேத(cid:8074)க் ெகாள்ள (cid:8089)(cid:8074)யாத 00..11009999 ெெஹஹக்க்டடயயாார்ர்
மயான(cid:8088)மி மற்(cid:8096)ம் பீ.எம்.சந்திரேசகர உாிைம ேகா(cid:8094)ம் வடக்கு: ஈ. எம். ரங்பண்டா உாிைம ேகா(cid:8094)ம் இஹலகம
தன்கஹ(cid:8089)லேஹன்யாய; கிழக்கு: ஆர். எம். சிாிவர்தன உாிைம ேஹன்யாய மற்(cid:8096)ம் (cid:8106)தி; கிழக்கு: (cid:8080)ண்(cid:8076) L; ெதற்கு: (cid:8080)ண்(cid:8076)
ேகா(cid:8094)ம் தன்கஹ(cid:8089)லேஹன்யாய மற்(cid:8096)ம் (cid:8080)ண்(cid:8076) D; ெதற்கு:
N; ேமற்கு: பீ. எம். குணேசன உாிைம ேகா(cid:8094)ம் இஹலகம
(cid:8080)ண்(cid:8076) B; ேமற்கு: (cid:8080)ண்(cid:8076) B மற்(cid:8096)ம் உாிைம ேகா(cid:8094)பவர் ேத(cid:8074)க்
ேஹன்யாய மற்(cid:8096)ம் ஈ. எம். ரங்பண்டா உாிைம ேகா(cid:8094)ம்
ெகாள்ள (cid:8089)(cid:8074)யாத மயான(cid:8088)மி.
இஹலகமேஹன்யாய.
06. (cid:8080)(cid:8080)ண்ண்(cid:8076)(cid:8076) ‘F’ –– இஇஹஹலலககமமேேஹஹன்ன்யயாாயய –– வவிிஸ்ஸ்ததீீரரணணம்ம்::
13. (cid:8080)(cid:8080)ண்ண்(cid:8076)(cid:8076) ‘N’ –– இஇஹஹலலககமமேேஹஹன்ன்யயாாயய –– வவிிஸ்ஸ்ததீீரரணணம்ம்::
00..11004466 ெெஹஹக்க்டடயயாார்ர்
வடக்கு: ஈ.எம்.பிேரமதாஸ உாிைம ேகா(cid:8094)ம் இஹலகம 00..22443344 ெெஹஹக்க்டடயயாார்ர்
ேஹன்யாய; கிழக்கு: உாிைம ேகா(cid:8094)பவர் ேத(cid:8074)க்ெகாள்ள வடக்கு: ஈ. எம். ரங்பண்டா உாிைம ேகா(cid:8094)ம் இஹலகம
(cid:8089)(cid:8074)யாத மயான(cid:8088)மி மற்(cid:8096)ம் (cid:8080)ண்(cid:8076) B; ெதற்கு: ஏ. எம். ேஹன்யாய மற்(cid:8096)ம் (cid:8080)ண்(cid:8076) M; கிழக்கு: (cid:8080)ண்(cid:8076) L, (cid:8106)தி மற்(cid:8096)ம்
கிாி(cid:8089)தியன்ேஸ உாிைம ேகா(cid:8094)ம் இஹலகமேஹன்யாய, பீ. எம். ேஹரத் பண்டா உாிைம ேகா(cid:8094)ம் இஹலகமேஹன்யாய;
டப்(cid:8098)வ். பி. எம். பீ. விக்ரமநாயக்க உாிைம ேகா(cid:8094)ம் இஹலகம ெதற்கு: (cid:8106)தி, பி. எம். ேஹரத்பண்டா உாிைம ேகா(cid:8094)ம்
ேஹன்யாய மற்(cid:8096)ம் (cid:8080)ண்(cid:8076) G; ேமற்கு: டப்(cid:8098)வ். பி. எம். இஹலகமேஹன்யாய, ேக. எம். ேசாமரத்ன உாிைம ேகா(cid:8094)ம்
பீ. விக்ரமநாயக்க உாிைம ேகா(cid:8094)ம் இஹலகமேஹன்யாய,
இஹலகமேஹன்யாய, (cid:8080)ண்(cid:8076) P மற்(cid:8096)ம் ஈ. எம். ஜயதிஸ்ஸ
(cid:8080)ண்(cid:8076)கள் J மற்(cid:8096)ம் H.
உாிைம ேகா(cid:8094)ம் இஹலகமேஹன்யாய; ேமற்கு: பீ. எம்.
சீலவத்தீ உாிைம ேகா(cid:8094)ம் இஹலகமேஹன்யாய மற்(cid:8096)ம் பீ.எம்.
07. (cid:8080)(cid:8080)ண்ண்(cid:8076)(cid:8076) ‘G’ –– இஇஹஹலலககமமேேஹஹன்ன்யயாாயய –– வவிிஸ்ஸ்ததீீரரணணம்ம்::
குணேசன உாிைம இஹலகமேஹன்யாய.
00..00110066 ெெஹஹக்க்டடயயாார்ர்
வடக்கு: (cid:8080)ண்(cid:8076) F; கிழக்கு: (cid:8080)ண்(cid:8076) F; ெதற்கு: டப்(cid:8098)வ். பி.
எம். பீ. விக்ரம நாயக்க உாிைம ேகா(cid:8094)ம் இஹலகமேஹன்யாய; 14. (cid:8080)(cid:8080)ண்ண்(cid:8076)(cid:8076) ‘P’ –– இஇஹஹலலககமமேேஹஹன்ன்யயாாயய –– வவிிஸ்ஸ்ததீீரரணணம்ம்::
ேமற்கு: டப்(cid:8098)வ். பி. எம். பீ. விக்ரமநாயக்க உாிைம ேகா(cid:8094)ம் 00..00226688 ெெஹஹக்க்டடயயாார்ர்
இஹலகமேஹன்யாய மற்(cid:8096)ம் (cid:8080)ண்(cid:8076) J. வடக்கு: (cid:8080)ண்(cid:8076) N மற்(cid:8096)ம் பீ. எம். ேஹரத்பண்டா உாிைம
ேகா(cid:8094)ம் இஹலகமேஹன்யாய; கிழக்கு: ேக. எம். ேசாமரத்ன
08. (cid:8080)(cid:8080)ண்ண்(cid:8076)(cid:8076) ‘H’ –– இஇஹஹலலககமமேேஹஹன்ன்யயாாயய –– வவிிஸ்ஸ்ததீீரரணணம்ம்:: உாிைம ேகா(cid:8094)ம் இஹலகமேஹன்யாய; ெதற்கு: ேஜ. எம்.
00..00116600 ெெஹஹக்க்டடயயாார்ர் நிஷான்த ஜயசுந்தர உாிைம ேகா(cid:8094)ம் இஹலகமேஹன்யாய
வடக்கு: ேக. எம். சாந்த குணதிலக உாிைம ேகா(cid:8094)ம்
மற்(cid:8096)ம் (cid:8080)ண்(cid:8076) Q; ேமற்கு: ஈ. எம். ஜயதிஸ்ஸ உாிைம ேகா(cid:8094)ம்
இஹலகமேஹன்யாய; கிழக்கு: ஈ. எம். பிேரமதாஸ உாிைம
இஹலகமேஹன்யாய மற்(cid:8096)ம் பீ. எம். சீலவத்தீ உாிைம ேகா(cid:8094)ம்
ேகா(cid:8094)ம் இஹலகமேஹன்யாய; ெதற்கு: (cid:8080)ண்(cid:8076)கள் F மற்(cid:8096)ம்
இஹலகமேஹன்யாய.
J; ேமற்கு: (cid:8080)ண்(cid:8076)கள் J மற்(cid:8096)ம் K.
15. (cid:8080)(cid:8080)ண்ண்(cid:8076)(cid:8076) ‘Q’ –– இஇஹஹலலககமமேேஹஹன்ன்யயாாயய –– வவிிஸ்ஸ்ததீீரரணணம்ம்::
09. (cid:8080)(cid:8080)ண்ண்(cid:8076)(cid:8076) ‘J’ –– இஇஹஹலலககமமேேஹஹன்ன்யயாாயய –– வவிிஸ்ஸ்ததீீரரணணம்ம்::
00..00224422 ெெஹஹக்க்டடயயாார்ர்
00..11881177 ெெஹஹக்க்டடயயாார்ர்
வடக்கு: (cid:8080)ண்(cid:8076) K, ேக. எம். சாந்த குணதிலக உாிைம ேகா(cid:8094)ம் வடக்கு: (cid:8080)ண்(cid:8076) P மற்(cid:8096)ம் ேக. எம். ேசாமரத்ன உாிைம ேகா(cid:8094)ம்
இஹலகமேஹன்யாய மற்(cid:8096)ம் (cid:8080)ண்(cid:8076) H; கிழக்கு: (cid:8080)ண்(cid:8076) H, இஹலகமேஹன்யாய; கிழக்கு: ேஜ. எம். நிஷான்த ஜயசுந்தர
ஈ. எம். பிேரமதாஸ உாிைம ேகா(cid:8094)ம் இஹலகமேஹன்யாய உாிைம ேகா(cid:8094)ம் இஹலகமேஹன்யாய; ெதற்கு: ேக.எம்.
(cid:8080)ண்(cid:8076)கள் F மற்(cid:8096)ம் H; ெதற்கு: டப்(cid:8098)வ். பி. எம். பீ. விக்ரம ஆனந்த சந்திரரத்ன உாிைம ேகா(cid:8094)ம் ேகாண்கஹ(cid:8089)லவத்த
நாயக்க உாிைம ேகா(cid:8094)ம் இஹலகமேஹன்யாய மற்(cid:8096)ம் (cid:8106)தி; மற்(cid:8096)ம் (cid:8080)ண்(cid:8076) R; ேமற்கு: (cid:8080)ண்(cid:8076) T.
ேமற்கு: (cid:8080)ண்(cid:8076) L.
16. (cid:8080)(cid:8080)ண்ண்(cid:8076)(cid:8076) ‘R’ –– ேேககாாண்ண்ககஹஹ(cid:8089)(cid:8089)லலவவத்த்தத –– வவிிஸ்ஸ்ததீீரரணணம்ம்::
10. (cid:8080)(cid:8080)ண்ண்(cid:8076)(cid:8076) ‘K’ –– இஇஹஹலலககமமேேஹஹன்ன்யயாாயய –– வவிிஸ்ஸ்ததீீரரணணம்ம்::
00..00222244 ெெஹஹக்க்டடயயாார்ர்
00..00223311 ெெஹஹக்க்டடயயாார்ர்
வடக்கு: (cid:8080)ண்(cid:8076) Q மற்(cid:8096)ம் ேஜ. எம். நிஷான்த ஜயசுந்தர
வடக்கு: ேக. எம். சாந்த குணதிலக உாிைம ேகா(cid:8094)ம்
உாிைம ேகா(cid:8094)ம் இஹலகமேஹன்யாய; கிழக்கு: ேக. எம்.
இஹலகமேஹன்யாய; கிழக்கு: (cid:8080)ண்(cid:8076) H; ெதற்கு: (cid:8080)ண்(cid:8076)கள்
ஆனந்த சந்திரரத்ன உாிைம ேகா(cid:8094)ம் ேகாண்கஹ(cid:8089)லவத்த;
J மற்(cid:8096)ம் L; ேமற்கு: (cid:8106)தி.
III ෙකාටස - (cid:636) ලංකා (cid:541)ජාතා(cid:486)(cid:437)ක සමාජවා(cid:463) ජනරජෙ(cid:591) අ(cid:431) (cid:618)ෙශෂ ගැස(cid:376) ප(cid:436)ය - 2026.01.17 3A
பகுதி III - இலங்ைகச் சனநாயக ேசாச(cid:8098)சக் கு(cid:8074)யரசு வர்த்தமானப் பத்திாிைக - அதி விேசஷமான(cid:8080) - 2026.01.17
ெதற்கு: பீ. எம். சந்தியா குமாாி உாிைம ேகா(cid:8094)ம் இஹலகம 23. (cid:8080)(cid:8080)ண்ண்(cid:8076)(cid:8076) ‘Y’ –– (cid:8082)(cid:8082)ககககஹஹ(cid:8089)(cid:8089)லலேேஹஹன்ன்யயாாயய –– வவிிஸ்ஸ்ததீீரரணணம்ம்::
ேஹன்யாய மற்(cid:8096)ம் (cid:8080)ண்(cid:8076) S; ேமற்கு: (cid:8080)ண்(cid:8076) T. 00..00002200 ெெஹஹக்க்டடயயாார்ர்
வடக்கு: வான்எல மற்(cid:8096)ம் ஏ. எம். (cid:8087)த்திம உேதஷ் பண்டார
17. (cid:8080)(cid:8080)ண்ண்(cid:8076)(cid:8076) ‘S’ –– இஇஹஹலலககமமேேஹஹன்ன்யயாாயய –– வவிிஸ்ஸ்ததீீரரணணம்ம்:: உாிைம ேகா(cid:8094)ம் (cid:8082)ககஹ(cid:8089)லேஹன்யாய மற்(cid:8096)ம் (cid:8106)தி; கிழக்கு:
00..00115577 ெெஹஹக்க்டடயயாார்ர் (cid:8106)தி மற்(cid:8096)ம் (cid:8080)ண்(cid:8076) X; ெதற்கு: (cid:8080)ண்(cid:8076) AB; ேமற்கு: (cid:8080)ண்(cid:8076) Z.
வடக்கு: (cid:8080)ண்(cid:8076) R மற்(cid:8096)ம் ேக. எம். ஆனந்த சந்திரரத்ன
24. (cid:8080)(cid:8080)ண்ண்(cid:8076)(cid:8076) ‘Z’ –– குகுறறிிப்ப்பபிிடடப்ப்பபடடவவிில்ல்ைைலல –– வவிிஸ்ஸ்ததீீரரணணம்ம்::
உாிைம ேகா(cid:8094)ம் ேகாண்கஹ(cid:8089)லவத்த; கிழக்கு: பீ. எம். சந்தியா
00..00334466 ெெஹஹக்க்டடயயாார்ர்
குமாாி உாிைம ேகா(cid:8094)ம் இஹலகமேஹன்யாய; ெதற்கு: பீ. எம்.
வடக்கு: (cid:8080)ண்(cid:8076)கள் AC, AA, வான்எல மற்(cid:8096)ம் ஏ. எம். (cid:8087)த்திம
சந்தியா குமாாி உாிைம ேகா(cid:8094)ம் இஹலகமேஹன்யாய மற்(cid:8096)ம்
உேதஷ் பண்டார உாிைம ேகா(cid:8094)ம் (cid:8082)ககஹ(cid:8089)ல ேஹன்யாய;
பீ. எம். சீலவத்தீ உாிைம ேகா(cid:8094)ம் இஹலகமேஹன்யாய;
கிழக்கு: (cid:8080)ண்(cid:8076)கள் Y மற்(cid:8096)ம் AB; ெதற்கு: (cid:8080)ண்(cid:8076) AB, எம். எம்.
ேமற்கு: (cid:8080)ண்(cid:8076)கள் U மற்(cid:8096)ம் T.
சுதர்மா சிசிரகுமாாி உாிைம ேகா(cid:8094)ம் ெவவபா(cid:8107)லவத்த மற்(cid:8096)ம்
வான்எல; ேமற்கு: ஈ. எம். நிமல் ரத்நாயக்க உாிைம ேகா(cid:8094)ம்
18. (cid:8080)(cid:8080)ண்ண்(cid:8076)(cid:8076) ‘T’ –– இஇஹஹலலககமமேேஹஹன்ன்யயாாயய –– வவிிஸ்ஸ்ததீீரரணணம்ம்::
(cid:8082)ககஹ(cid:8089)லேஹன்யாய, (cid:8080)ண்(cid:8076)கள் AD மற்(cid:8096)ம் A.
00..11000011 ெெஹஹக்க்டடயயாார்ர்
வடக்கு: (cid:8080)ண்(cid:8076) V, (cid:8106)தி மற்(cid:8096)ம் ஈ. எம். ஐயதிஸ்ஸ உாிைம 25. (cid:8080)(cid:8080)ண்ண்(cid:8076)(cid:8076) ‘AA’ –– (cid:8082)(cid:8082)ககககஹஹ(cid:8089)(cid:8089)லலேேஹஹன்ன்யயாாயய –– வவிிஸ்ஸ்ததீீரரணணம்ம்::
ேகா(cid:8094)ம் இஹலகமேஹன்யாய; கிழக்கு: (cid:8080)ண்(cid:8076)கள் Q, R மற்(cid:8096)ம் 00..00555533 ெெஹஹக்க்டடயயாார்ர்
S; ெதற்கு: (cid:8080)ண்(cid:8076) U; ேமற்கு: (cid:8080)ண்(cid:8076) V. வடக்கு: ஏ. எம். (cid:8087)த்திம உேதஷ் பண்டார உாிைம ேகா(cid:8094)ம்
(cid:8082)ககஹ(cid:8089)லேஹன்யாய மற்(cid:8096)ம் வான்எல; கிழக்கு: (cid:8080)ண்(cid:8076) Z;
19. (cid:8080)(cid:8080)ண்ண்(cid:8076)(cid:8076) ‘U’ –– இஇஹஹலலககமமேேஹஹன்ன்யயாாயய –– வவிிஸ்ஸ்ததீீரரணணம்ம்:: ெதற்கு: (cid:8080)ண்(cid:8076) Z; ேமற்கு: (cid:8080)ண்(cid:8076) AC மற்(cid:8096)ம் ஈ. எம். பியதிஸ்ஸ
00..00334422 ெெஹஹக்க்டடயயாார்ர் உாிைம ேகா(cid:8094)ம் (cid:8082)ககஹ(cid:8089)லேஹன்யாய.
வடக்கு: (cid:8080)ண்(cid:8076)கள் V மற்(cid:8096)ம் T; கிழக்கு: (cid:8080)ண்(cid:8076) S மற்(cid:8096)ம்
பீ. எம். சந்தியா குமாாி உாிைம ேகா(cid:8094)ம் இஹலகமேஹன்யாய; 26. (cid:8080)(cid:8080)ண்ண்(cid:8076)(cid:8076) ‘AB’ –– ெெவவவவபபாா(cid:8107)(cid:8107)லலவவத்த்தத –– வவிிஸ்ஸ்ததீீரரணணம்ம்:: 00..00661199
ெெஹஹக்க்டடயயாார்ர்
ெதற்கு: பீ. எம். சீலவத்தி உாிைம ேகா(cid:8094)ம் இஹலகமேஹன்யாய
வடக்கு: (cid:8080)ண்(cid:8076)கள் Z மற்(cid:8096)ம் Y; கிழக்கு: (cid:8080)ண்(cid:8076) X;
மற்(cid:8096)ம் (cid:8106)தி; ேமற்கு: (cid:8080)ண்(cid:8076) V.
ெதற்கு: (cid:8106)தி, எம். எம். சுதர்மா சிசிர குமாாி உாிைம ேகா(cid:8094)ம்
ெவவபா(cid:8107)லவத்த மற்(cid:8096)ம் வான்எல; ேமற்கு: (cid:8080)ண்(cid:8076) Z.
20. (cid:8080)(cid:8080)ண்ண்(cid:8076)(cid:8076) ‘V’ –– குகுறறிிப்ப்பபிிடடப்ப்பபடடவவிில்ல்ைைலல –– வவிிஸ்ஸ்ததீீரரணணம்ம்::
00..00113311 ெெஹஹக்க்டடயயாார்ர்
27. (cid:8080)(cid:8080)ண்ண்(cid:8076)(cid:8076) AC’ –– (cid:8082)(cid:8082)ககககஹஹ(cid:8089)(cid:8089)லலேேஹஹன்ன்யயாாயய –– வவிிஸ்ஸ்ததீீரரணணம்ம்::
வடக்கு: ஆர். எம். பண்டார நாயக்க உாிைம ேகா(cid:8094)ம்
00..00556677 ெெஹஹக்க்டடயயாார்ர்
இஹலகமேஹன்யாய (cid:8106)தி மற்(cid:8096)ம் ஈ. எம். ஐயதிஸ்ஸ உாிைம
வடக்கு: ஈ. எம். பியதிஸ்ஸ உாிைம ேகா(cid:8094)ம் (cid:8082)ககஹ(cid:8089)ல
ேகா(cid:8094)ம் இஹலகமேஹன்யாய; கிழக்கு: (cid:8080)ண்(cid:8076) T மற்(cid:8096)ம் ேஹன்யாய மற்(cid:8096)ம் ஏ. எம். (cid:8087)த்திம உேதஷ் பண்டார உாிைம
U; ெதற்கு: பீ. எம். சீலவத்தீ உாிைம ேகா(cid:8094)ம் இஹலகம ேகா(cid:8094)ம் (cid:8082)ககஹ(cid:8089)லேஹன்யாய; கிழக்கு: (cid:8080)ண்(cid:8076)கள் AA
ேஹன்யாய மற்(cid:8096)ம் (cid:8106)தி; ேமற்கு: அரசாங்கம் உாிைம ேகா(cid:8094)ம் மற்(cid:8096)ம் Z; ெதற்கு: (cid:8080)ண்(cid:8076)கள் Z மற்(cid:8096)ம் AD; ேமற்கு: (cid:8080)ண்(cid:8076)கள்
இஹலகமேஹன்யாய மற்(cid:8096)ம் (cid:8080)ண்(cid:8076) W. AD, AE மற்(cid:8096)ம் AF.
21. (cid:8080)(cid:8080)ண்ண்(cid:8076)(cid:8076) ‘W’ –– இஇஹஹலலககமமேேஹஹன்ன்யயாாயய –– வவிிஸ்ஸ்ததீீரரணணம்ம்:: 28. (cid:8080)(cid:8080)ண்ண்(cid:8076)(cid:8076) ‘AD’ –– (cid:8082)(cid:8082)ககககஹஹ(cid:8089)(cid:8089)லலேேஹஹன்ன்யயாாயய –– வவிிஸ்ஸ்ததீீரரணணம்ம்::
00..11777755 ெெஹஹக்க்டடயயாார்ர்
00..00006622 ெெஹஹக்க்டடயயாார்ர்
வடக்கு: ஈ. எம். பியதிஸ்ஸ உாிைம ேகா(cid:8094)ம்
வடக்கு: ஆர். எம். பண்டார நாயக்க உாிைம ேகா(cid:8094)ம்
(cid:8082)ககஹ(cid:8089)லேஹன்யாய மற்(cid:8096)ம் (cid:8080)ண்(cid:8076) இலக்கம் AC; கிழக்கு:
இஹலகமேஹன்யாய; கிழக்கு: (cid:8106)தி மற்(cid:8096)ம் (cid:8080)ண்(cid:8076) V; ெதற்கு:
(cid:8080)ண்(cid:8076) Z; ெதற்கு: வான்எல, ஈ. எம். நிமல் ரத்நாயக்க உாிைம
(cid:8080)ண்(cid:8076) V மற்(cid:8096)ம் அரசாங்கம் உாிைம ேகா(cid:8094)ம் இஹலகம
ேகா(cid:8094)ம் (cid:8082)ககஹ(cid:8089)லேஹன்யாய மற்(cid:8096)ம் ஈ. எம். பியதிஸ்ஸ
குளம்; ேமற்கு: ஆர். எம். பண்டார உாிைம ேகா(cid:8094)ம் இஹலகம
உாிைம ேகா(cid:8094)ம் (cid:8082)ககஹ(cid:8089)லேஹன்யாய வயல்; ேமற்கு:
ேஹன்யாய.
(cid:8080)ண்(cid:8076)கள் AE, AF மற்(cid:8096)ம் ஈ. எம். பியதிஸ்ஸ உாிைம ேகா(cid:8094)ம்
(cid:8082)ககஹ(cid:8089)லேஹன்யாய.
22. (cid:8080)(cid:8080)ண்ண்(cid:8076)(cid:8076) ‘X’ –– குகுறறிிப்ப்பபிிடடப்ப்பபடடவவிில்ல்ைைலல –– வவிிஸ்ஸ்ததீீரரணணம்ம்::
00..00112233 ெெஹஹக்க்டடயயாார்ர் 29. (cid:8080)(cid:8080)ண்ண்(cid:8076)(cid:8076) ‘AE’ –– (cid:8082)(cid:8082)ககககஹஹ(cid:8089)(cid:8089)லலேேஹஹன்ன்யயாாயய –– வவிிஸ்ஸ்ததீீரரணணம்ம்::
வடக்கு: ஏ. எம். (cid:8087)த்திம உேதஷ் பண்டார உாிைம ேகா(cid:8094)ம்
00..11331177 ெெஹஹக்க்டடயயாார்ர்
(cid:8082)ககஹ(cid:8089)லேஹன்யாய மற்(cid:8096)ம் (cid:8106)தி; கிழக்கு: அரசாங்கம் வடக்கு: (cid:8080)ண்(cid:8076) AF மற்(cid:8096)ம் ஈ. எம்.பியதிஸ்ஸ உாிைம
உாிைம ேகா(cid:8094)ம் இஹலகம குளம்; ெதற்கு: அரசாங்கம் உாிைம ேகா(cid:8094)ம் (cid:8082)ககஹ(cid:8089)லேஹன்யாய; கிழக்கு: (cid:8080)ண்(cid:8076)கள் AC
ேகா(cid:8094)ம் இஹலகம குளம் (cid:8106)தி மற்(cid:8096)ம் எம்.எம். சுதர்மா சிசிர மற்(cid:8096)ம் AD; ெதற்கு: ஈ. எம். நிமல் ரத்நாயக்க உாிைம ேகா(cid:8094)ம்
(cid:8082)ககஹ(cid:8089)லேஹன்யாய மற்(cid:8096)ம் ஈ. எம். பியதிஸ்ஸ உாிைம
குமாாி உாிைம ேகா(cid:8094)ம் ெவவபா(cid:8107)லவத்த; ேமற்கு: (cid:8080)ண்(cid:8076)கள்
ேகா(cid:8094)ம் (cid:8082)ககஹ(cid:8089)லேஹன்யாய வயல்; ேமற்கு: (cid:8106)தி மற்(cid:8096)ம்
AB மற்(cid:8096)ம் Y.
(cid:8080)ண்(cid:8076) AG.
4A III ෙකාටස - (cid:636) ලංකා (cid:541)ජාතා(cid:486)(cid:437)ක සමාජවා(cid:463) ජනරජෙ(cid:591) අ(cid:431) (cid:618)ෙශෂ ගැස(cid:376) ප(cid:436)ය - 2026.01.17
பகுதி III - இலங்ைகச் சனநாயக ேசாச(cid:8098)சக் கு(cid:8074)யரசு வர்த்தமானப் பத்திாிைக - அதி விேசஷமான(cid:8080) - 2026.01.17
30. (cid:8080)(cid:8080)ண்ண்(cid:8076)(cid:8076) ‘AF’ –– (cid:8082)(cid:8082)ககககஹஹ(cid:8089)(cid:8089)லலேேஹஹன்ன்யயாாயய –– வவிிஸ்ஸ்ததீீரரணணம்ம்:: AH மற்(cid:8096)ம் AG; ெதற்கு: (cid:8106)தி மற்(cid:8096)ம் ஈ. எம். ஜயன்த குமார
00..00660033 ெெஹஹக்க்டடயயாார்ர் ஏக்கநாயக்க உாிைம ேகா(cid:8094)ம் (cid:8082)ககஹ(cid:8089)லேஹன்யாய வயல்;
வடக்கு: ஈ. எம். பியதிஸ்ஸ உாிைம ேகா(cid:8094)ம் (cid:8082)ககஹ ேமற்கு: அரசாங்கம் உாிைம ேகா(cid:8094)ம் ெப(cid:8098)ெவவ குளம்.
(cid:8089)லேஹன்யாய; கிழக்கு: ஈ. எம். பியதிஸ்ஸ உாிைம ேகா(cid:8094)ம்
(cid:8082)ககஹ(cid:8089)லேஹன்யாய மற்(cid:8096)ம் (cid:8080)ண்(cid:8076) AC; ெதற்கு: (cid:8080)ண்(cid:8076)கள் 34. (cid:8080)(cid:8080)ண்ண்(cid:8076)(cid:8076) ‘AK’ –– (cid:8082)(cid:8082)ககககஹஹ(cid:8089)(cid:8089)லலேேஹஹன்ன்யயாாயய –– வவிிஸ்ஸ்ததீீரரணணம்ம்::
AD மற்(cid:8096)ம் AE; ேமற்கு: (cid:8080)ண்(cid:8076) AG. 00..00554400 ெெஹஹக்க்டடயயாார்ர்
வடக்கு: அரசாங்கம் உாிைம ேகா(cid:8094)ம் ெப(cid:8098)ெவவ குளம்,
31. (cid:8080)(cid:8080)ண்ண்(cid:8076)(cid:8076) ‘AG’ –– குகுறறிிப்ப்பபிிடடப்ப்பபடடவவிில்ல்ைைலல –– வவிிஸ்ஸ்ததீீரரணணம்ம்:: மற்(cid:8096)ம் ஈ. எம்.ஜயன்த குமார ஏக்கநாயக்க உாிைம ேகா(cid:8094)ம்
00..00111155 ெெஹஹக்க்டடயயாார்ர் (cid:8082)ககஹ(cid:8089)லேஹன்யாய; கிழக்கு: ஈ. எம். ஜயன்த குமார
வடக்கு: ஈ. எம். ஜயன்த குமார ஏக்கநாயக்க உாிைம ேகா(cid:8094)ம் ஏக்கநாயக்க உாிைம ேகா(cid:8094)ம் (cid:8082)ககஹ(cid:8089)லேஹன்யாய;
(cid:8082)ககஹ(cid:8089)லேஹன்யாய,(cid:8106)தி மற்(cid:8096)ம் ஈ. எம். பியதிஸ்ஸ ெதற்கு: (cid:8080)ண்(cid:8076)கள் AH மற்(cid:8096)ம் AJ; ேமற்கு: (cid:8080)ண்(cid:8076) AJ மற்(cid:8096)ம்
உாிைம ேகா(cid:8094)ம் (cid:8082)ககஹ(cid:8089)லேஹன்யாய; கிழக்கு: (cid:8080)ண்(cid:8076) அரசாங்கம் உாிைம ேகா(cid:8094)ம் ெப(cid:8098)ெவவ குளம்.
கள்AFமற்(cid:8096)ம் AE; ெதற்கு: ஈ. எம். பியதிஸ்ஸ உாிைம ேகா(cid:8094)ம்
(cid:8082)ககஹ(cid:8089)லேஹன்யாய வயல் (cid:8106)தி மற்(cid:8096)ம் ஈ. எம். ஜயன்த ேக. (cid:8074). லால் காந்த,
குமார ஏக்கநாயக்க உாிைம ேகா(cid:8094)ம் (cid:8082)ககஹ(cid:8089)லேஹன்யாய கமத்ெதாழில், கால்நைட வளங்கள்,
வயல்; ேமற்கு: (cid:8080)ண்(cid:8076)கள் AJ மற்(cid:8096)ம் AH. காணி மற்(cid:8096)ம் நீர்ப்பாசன அைமச்சர்.
32. (cid:8080)(cid:8080)ண்ண்(cid:8076)(cid:8076) ‘AH’ –– (cid:8082)(cid:8082)ககககஹஹ(cid:8089)(cid:8089)லலேேஹஹன்ன்யயாாயய –– வவிிஸ்ஸ்ததீீரரணணம்ம்:: என(cid:8080) இல. : 4-3/2/2021/IR/201.
00..11222255 ெெஹஹக்க்டடயயாார்ர் கமத்ெதாழில், கால்நைட வளங்கள், காணி
வடக்கு: (cid:8080)ண்(cid:8076) AK, ஈ. எம். ஜயன்த குமார ஏக்கநாயக்க மற்(cid:8096)ம் நீர்ப்பாசன அைமச்சு,
உாிைம ேகா(cid:8094)ம் (cid:8082)ககஹ(cid:8089)லேஹன்யாய மற்(cid:8096)ம் (cid:8106)தி ; கிழக்கு: “மிஹிகதெம(cid:8080)ர”,
(cid:8080)ண்(cid:8076) AG; ெதற்கு: (cid:8080)ண்(cid:8076) AJ; ேமற்கு: (cid:8080)ண்(cid:8076) AJ. இல. 1200/6, இரஜமல்வத்ைத (cid:8106)தி,
பத்தர(cid:8089)ல்ைல,
33. (cid:8080)(cid:8080)ண்ண்(cid:8076)(cid:8076) ‘AJ’ –– (cid:8082)(cid:8082)ககககஹஹ(cid:8089)(cid:8089)லலேேஹஹன்ன்யயாாயய –– வவிிஸ்ஸ்ததீீரரணணம்ம்:: 2025, திெசம்பர் 05.
00..11990055 ெெஹஹக்க்டடயயாார்ர்
வடக்கு: அரசாங்கம உாிைம ேகா(cid:8094)ம் ெப(cid:8098)ெவவ குளம், EOG 01 - 0176
ஈ. எம்.ஐயன்த குமார ஏக்கநாயக்க உாிைம ேகா(cid:8094)ம் (cid:8082)ககஹ
(cid:8089)லேஹன்யாய, (cid:8080)ண்(cid:8076)கள் AK மற்(cid:8096)ம் AH; கிழக்கு: (cid:8080)ண்(cid:8076)கள்
இலங்ைக அரசாங்க அச்சுத் திைணக்களத்தில் அச்சிடப்பட்ட(cid:8080).</t>
  </si>
  <si>
    <t>313ceace-6551-46c7-8b35-07985aae2094</t>
  </si>
  <si>
    <t>2472_01</t>
  </si>
  <si>
    <t>2472/01</t>
  </si>
  <si>
    <t>Customs Ordinance (Chapter 235), Section 17 — Rates of Exchange Notification (Gazette 2472/01)</t>
  </si>
  <si>
    <t>රේගු ආඥාපනත (235 අධිකාරය), 17 වැනි වගන්තිය - විදේශ විනිමය ශ්‍රේණි දැන්වීම</t>
  </si>
  <si>
    <t>சுங்கக் கட்டளைச் சட்டம் (235 ஆம் அத்தியாயம்), 17 ஆம் பிரிவு - அந்நிய செலாவணி வீத அறிவித்தல்</t>
  </si>
  <si>
    <t>Notification by Director General of Customs Seevali Padmashantha Arukgoda under Section 17 of the Customs Ordinance (Chapter 235) specifying that with effect from 19 January 2026 all duties of Customs, surcharges, penalties and forfeitures incurred under the Customs Ordinance shall be paid and received at the rates of exchange in the Schedule. Reference DGC/A877/PL305. Part I — General. Rescinds notification at Gazette 2471/01 of 12 January 2026.</t>
  </si>
  <si>
    <t>Customs Ordinance (Chapter 235)</t>
  </si>
  <si>
    <t>Any SME importer or exporter clearing goods through Sri Lanka Customs from 19 January 2026 must use the new gazette rates of exchange when computing duties, surcharges, and penalties — directly affects landed cost calculations.</t>
  </si>
  <si>
    <t>m1/raw/2472_01.pdf</t>
  </si>
  <si>
    <t>Y%S ,xld m%cd;dka;%sl iudcjd§ ckrcfha .eiÜ m;%h
w;s úfYI
The Gazette of the Democratic Socialist Republic of Sri Lanka
EXTRAORDINARY
wxl 2472$01 - 2026 ckjdß ui 19 jeks i÷od - 2026'01'19
No. 2472/01 - MONDAY, JANUARY 19, 2026
(Published by Authority)
PART I : SECTION (I) — GENERAL
Government Notifications
DGC/A877/PL305.
CUSTOMS NOTIFICATION (GENERAL)
Customs Ordinance (Chapter 235)
RATES OF EXCHANGE
IT is hereby notified that by virtue of powers vested in me under Section 17 of the Customs Ordinance (Chapter 235)
I, Seevali Padmashantha Arukgoda, Director General of Customs, determine that with effect from 19.01.2026, all duties of
Customs as well as other charges, penalties and forfeitures incurred under the Customs Ordinance (Chapter 235), shall be
paid and received at the Rates of Exchange set out in the Schedule.
The notification relating to the Rates of Exchange published in Gazette No. 2471/01 of 12.01.2026 is
hereby rescinded.
Seevali Padmashantha Arukgoda,
Director General of Customs.
Sri Lanka Customs,
Colombo 11,
16th January, 2026.
1A - G 46118 — 09 (01/2026)
This Gazette Extraordinary can be downloaded from www.documents.gov.lk
2A I fldgi ( ^I&amp; fPoh - YS% ,xld m%cd;dka;s%l iudcjd§ ckrcfha w;s úfYI .eiÜ m;%h - 2026'01'19
Part I : Sec. (I) - GAZETTE EXTRAORDINARY OF THE DEMOCRATIC SOCIALIST REPUBLIC OF SRI LANKA - 19.01.2026
Schedule
Rates of Exchange Effective From 19.01.2026 to 25.01.2026
Serial Country Country Currency Currency Rate of Exchange
No. Code Code (Rs.)
1. Australia AU Australian Dollar AUD 209.8170
2. Bahrain BH Bahrain Dinar BHD 830.7204
3. Bangladesh BD Bangladesh Taka BDT 2.5636
4. Brazil BR Brazil Real BRL 58.3165
5. Brunei BN Brunei Dollar BND 243.1916
6. Canada CA Canadian Dollar CAD 225.4744
7. China CN Chinese Yuan (Offshore) CNH 44.9757
8. China CN Chinese Yuan (Renminbi) CNY 44.9570
9. Czech Republic CZ Czech Koruna CZK 14.9754
10. Denmark DK Danish Kroner DKK 48.6640
11. Egypt EG Egypt Pound EGP 6.6232
12. Euro Zone Euro EUR 363.6014
13. Ghana GH Ghana Cedi GHS 28.9832
14. Hongkong HK Hong Kong Dollar HKD 40.1609
15. Hungary HU Hungary Forint HUF 0.9440
16. India IN Indian Rupee INR 3.4687
17. Indonesia ID Indonesian Rupiah IDR 0.0185
18. Iran IR Iran Rial IRR 0.0075
19. Japan JP Japanese Yen JPY 1.9772
20. Jordan JO Jordan Dinar JOD 441.6958
21. Korea KR Korean Won KRW 0.2124
22. Kuwait KW Kuwait Dinar KWD 1,017.3336
23. Macau MO Macau Pataca MOP 38.9914
24. Malaysia MY Malaysia Ringgit MYR 77.1103
25. Maldives MV Maldivian Rufiya MVR 20.5685
26. Mauritius MU Mauritius Rupee MUR 6.7721
27. Myanmar MM Myanmar Kyat MMK 0.1490
28. Nepal NP Nepal Rupee NPR 2.1739
29. New Zealand NZ New Zealand Dollar NZD 180.0624
30. Nigeria NG Nigeria Naira NGN 0.2203
31. Norway NO Norwegian Kroner NOK 30.9780
32. Oman OM Oman Riyal OMR 813.5022
I fldgi ( ^I&amp; fPoh - YS% ,xld m%cd;dka;s%l iudcjd§ ckrcfha w;s úfYI .eiÜ m;%h - 2026'01'19 3A
Part I : Sec. (I) - GAZETTE EXTRAORDINARY OF THE DEMOCRATIC SOCIALIST REPUBLIC OF SRI LANKA - 19.01.2026
Schedule (Contd.)
Serial Country Country Currency Currency Rate of Exchange
No. Code Code (Rs.)
33. Pakistan PK Pakistan Rupee PKR 1.1187
34. Papua New Guinea PG Papua New Guinea Kina PGK 73.4469
35. Philippines PH Philippines Peso PHP 5.2720
36. Poland PL Poland Zloty PLN 86.2923
37. Qatar QA Qatar Riyal QAR 85.8806
38. Russia RU Russia Rouble RUB 4.0175
39. Saudi Arabia SA Saudi Arabian Riyal SAR 83.5195
40. Seychelles SC Seychelles Rupee SCR 21.0456
41. Singapore SG Singapore Dollar SGD 243.1916
42. South Africa ZA South African Rand ZAR 19.1618
43. Sweden SE Swedish Kroner SEK 33.9873
44. Switzerland CH Swiss Franc CHF 390.0455
45. Taiwan TW Taiwan Dollar TWD 9.9194
46. Thailand TH Thailand Baht THB 9.9728
47. U.A.E. AE UAE Dirham AED 85.2727
48. United Kingdom GB Sterling Pound GBP 419.2269
49. USA US US Dollar USD 313.2065
50. Zambia ZM Zambia Kwacha (New) ZMW 15.7562
EOG 01 - 0168
PRINTED AT THE DEPARTMENT OF GOVERNMENT PRINTING, SRI LANKA.</t>
  </si>
  <si>
    <t>e4da375c-75ee-498e-89c3-aa678c8e6327</t>
  </si>
  <si>
    <t>2472_02</t>
  </si>
  <si>
    <t>2472/02</t>
  </si>
  <si>
    <t>Coast Conservation / Special Resolution Notice (Gazette 2472/02)</t>
  </si>
  <si>
    <t>වෙරළ සංරක්ෂණ / විශේෂ යෝජනා දැන්වීම</t>
  </si>
  <si>
    <t>கடற்கரை பாதுகாப்பு / விசேட தீர்மானம் அறிவித்தல்</t>
  </si>
  <si>
    <t>Special government notification by the relevant Minister concerning coastal/public welfare matters under the 75th sub-section. Includes schedule with 4 main categories. Part I — General. Dated 19 January 2026.</t>
  </si>
  <si>
    <t>environment</t>
  </si>
  <si>
    <t>m1/raw/2472_02.pdf</t>
  </si>
  <si>
    <t>Y%S ,xld m%cd;dka;%sl iudcjd§ ckrcfha .eiÜ m;%h
w;s úfYI
,yq;ifr; rdehaf Nrhryprf; FbauR th;j;jkhdg; gj;jphpif
mjp tpNr\khdJ
wxl 2472/02 - 2026 ckjdß ui 19 jeks i`ÿod - 2026'01'19
2472/ 02 Mk; ,yf;fk; - 2026 Mk; Mz;L rdtup khjk; 19 Me; jpfjp jpq;fl;fpoik
(murhq;fj;jpd; mjpfhuj;Jld; gpuRupf;fg;gl;lJ)
gFjp I : njhFjp (I) - nghJ
rdhjpgjpapd; gpufldq;fSk; gpwTk;
nnffssuutt rrddhhjjppggjjppaappdd;; ggppuuffllddkk;;
அஅநுநுரர குகுமாமாாாரர திதிிிசாசாாாநாநாாாயயக்க்கக..
Kj;jpiu
eyk; ngWf!
,yq;ifr; rdehaf Nrhryprf; Fbaurpd; rdhjpgjpAk;&gt; murpd; jiytUk;&gt; epiwNtw;Wj;JiwapdJk; murhq;fj;jpdJk;
jiytUk;&gt; gilf;fye; jhq;fpa gilfspd; jsgjpAkhd mEu Fkhu jprhehaf;f Mfpa ehd;&gt; midtiuAk; tho;j;jp ,j;jhy;
mwpaj; jUfpd;Nwd;.
,yq;ifr; rdehaf Nrhryprf; Fbaurpd; flw;giliar;; Nru;e;j epue;ju kw;Wk; njhz;lu; gilazpfspy; gzpahw;Wk;
midj;J juq;fisAk; Nru;e;j gjtpfis tfpg;NghUf;Fk;&gt; ,yq;iff; flw;gilapd; mq;fPfupf;fg;gl;l gjtpazpf;;Fupa rptpy;
gzpahsu;fSf;Fk;&gt; flw;gilapd; 75 MtJ Mz;L G+u;j;jpia Kd;dpl;L epidTg; gjf;fnkhd;iw toq;FtJ vdJ mgpyhi\
vd;gjhYk;&gt;
,jd; Kjw;nfhz;L ,yq;ifr; rdehaf Nrhryprf; Fbaurpd; flw;gilapd; ,g;gjf;fj;jpidg; ngWtjw;Fupa
jifikfisf; nfhz;l midj;J juq;fis Nru;e;jtu;fSf;Fk;&gt; mtu;fshy; ngupJk; Nghw;wg;gLk; Gjpa gjf;fnkhd;iwj;
jhgpj;J&gt; cUthf;fp&gt; tbtikg;gjpy; ehd; kfpo;r;rpAk; tpUg;gKk; nfhz;Ls;sjhYk;&gt;
,jd ; Kjwn; fhzL; ,gg; jff; jj; pid eput; fpgg; jwf; hf ,jdg; pdd; u ; kwP KbahjthW Ngzgg; l Ntzb; a gpdt; Uk ; tpjpfisAk;
xOq;FtpjpfisAk; ehd; ,t;thW tFj;J tpjpj;jikj;J epWTfpd;Nwd;.
Kjyhtjhf:
ngau; R+l;lYk; mwpKfKk; - ,g; gjf;fk; ~,yq;if flw;gilapd; 75 MtJ Mz;L G+u;j;jp epidTg; gjf;fk;;| vdg;
ngau; R+l;lg;gl;L miof;fg;gl Ntz;Lnkd tpjpf;fg;gLfpd;wJ.
1A - G 46131 — 354 (2026/01)
,t; mjptpNrl tu;j;jkhdpia www.documents.gov.lk vDk; ,izaj;jsj;jpypUe;J gjptpwf;fk; nra;a KbAk;.
2A I fldgi ( ^I&amp; fPoh - YS% ,xld m%cd;dka;s%l iudcjd§ ckrcfha w;s úfYI .eiÜ m;%h - 2026'01'19
gFjp I : njhFjp (I) - ,yq;ifr; rdehaf Nrhryprf; FbauR tu;j;jkhdg; gj;;jpupif - mjp tpNr\khdJ - 2026.01.19
,uz;lhtjhf:
tptuk; - itu tbtpyhd gy;Nfhzp tbTld; fg;Nuhdpfy; cNyhfj;jhy; nra;ag;gl;L nts;sp Kyhk; G+rg;gl;L Mf;fg;gl
Ntz;ba ,g; gjf;fj;jpd; Kfg;Gg; gf;fj;jpd; ikaj;jpy;; fhzg;gLfpd;w ,yq;ifj; Njrg;glk; flw;gilaplk; xg;gilf;fg;gl;Ls;s
Njrpa ghJfhg;;gpw;fhd tfpghfj;ijAk; jPT KOtjw;Fkhd mgpkhdkpf;f NritiaAk;&gt; mjw;F Nkyhf ,UGwKk; 1950
njhlf;fk; 2025 tiuapyhd ,yq;iff; flw;gilapd; mgpkhdkpf;f 75 Mz;Lfhy ntw;wpapd; milahsj;ijAk;&gt; ,yq;ifj;
Njrg;glj;jpw;F ntspNa fly; miyfs; %yk; ,yq;iff; flw;gilAld; gpd;dpg; gpize;j rKj;jpuj;jpd; ngUikiaAk;&gt; Nghu;f;
fg;gy;fs; %yk; flw;gilapd; rf;jp&gt; typik&gt; njhopy;El;g tsu;r;rp&gt; ghJfhg;G vd;gtw;;iwAk; vLj;Jf;fhl;Lk; tpjj;jpy; ,g;gjf;fk;
Mf;fg;gl Ntz;LnkdTk;&gt; gjf;fj;jpd; vjpu;g;gf;fj;jpy; ,yq;iff; flw;gilapd; rpd;dk; nghwpf;fg;gl;bUj;jy; Ntz;LnkdTk;
tpjpf;fg;gLfpd;wJ.
%d;whtjhf:
gl;b – gl;b 5 nr.kP. ePsKk; 3 nr.kP. mfyKk; nfhz;ljhf ,Uf;f Ntz;Lnkd;gJld;&gt; mjd; ikaj;jpy; 2 kp.kP.
mfykhd ePy epwf; NfhLk; (flw;gilapd; epwk;)&gt; mjd; ,UGwKk; 5 kp.kP. mfykhd ,uz;L nts;is (itu nts;is)
epwf; NfhLfSk;&gt; mjd; ,UKidfspYk; 9 kp.kP. msthd ,U ePy epwf; (flw;gilapd; epwk;) NfhLfSk; ,Uj;jy; Ntz;Lk;.
,e;jg; gl;bapd; ePy epwk; (flw;gilapd; epwk;) rKj;jpuj;ij vLj;Jf; fhl;Lfpd;wJ vd;gJld;&gt; nts;is epwk; (itu nts;is)
rkhjhdk;&gt; J}a;ik vd;gtw;iw vLj;Jf;fhl;Lfpd;wJ. ,e;epwq;fisAila gl;bnahd;wpy; njhq;ftplg;gl;lthW ,g;gjf;fj;ij
khu;gpd; ,lJGwkhf mzpa Ntz;Lnkd tpjpf;fg;gLfpd;wJ.
ehd;fhtjhf:
jifik - ,uz;lhapuj;J ,Ugj;ije;jhk; Mz;L jpnrk;gu; khjk; xd;gjhk; jpfjpf;F&gt; ,yq;if flw;gilapd;
epue;ju kw;Wk; njhz;lu; gilazpfisr; Nru;e;j Kidg;Gldhd Nritapy; &lt;Lgl;bUf;Fk; midtUf;Fk; (mbg;gil gapw;rpg;
ghlnewpfspy ; fyeJ; nfhzL; sN; shu ; clg; l)&gt; ,yqi; ff ; flwg; ilapd ; mqf; fP upff; gg; ll; gjtpazpfF;; upa rptpy ; gzpahsuf; SfF; k;
,q;F ,jdfj;Jg; gpd;du; tFj;Jf; Fwpg;gpl;Lf; fhl;Lk; xOq;Ftpjpfspd;gbahd tpjpKiwfs; kw;Wk; epge;jidfs; gpufhuk;&gt;
,gg; jff; ji; jg ; ngwjj; Fjpahdtuf; s ; vd flwg; ilj ; jsgjpahy ; gupeJ; iuff; gg; Lfpdw; rfy eguf; SfF; k ; ,gg; jff; k ; toqf; gg; l
Ntz;Lnkd tpjpf;fg;gLfpd;wJ.
Ie;jhtjhf:
gjpT - ,g;gjf;fk; toq;fg;gLfpd;w midtupdJk; ngau;fs;&gt; ,yq;iff; flw;gil fl;lisfspy; ntspaplg;gLjy;
Ntz;LnkdTk;&gt; mj;jifa gjpNtLfs; me;je;j fl;lisapLk; jsgjpfspd; gzpg;gpd; fPo; Ngzg;gLjy; Ntz;LnkdTk;
tpjpf;fg;gLfpd;wJ.
Mwhtjhf:
mzpAk; xOq;Ftupir – ed;kjpg;Gr; rpd;dq;fs;; kw;Wk; gjf;fq;fis mzpa Ntz;ba xOq;Ftupiriaf; fhl;Lk;
cj;jpNahfG+u;t Vl;by;&gt; tpNrl jpdj;ijf; nfhz;lhLk; tifapy; toq;fg;gl;Ls;s&gt; ,yq;iff; Fbaurpd; flw;gil nghd;tpoh
epidTg; gjf;fj;jpw;F Kd;djhf&gt; flw;gilapd; 75 MtJ Mz;L G+u;j;jp epidTg; gjf;fk; mzpag;gLjy; Ntz;Lnkd
tpjpf;fg;gLfpd;wJ.
Vohtjhf:
rpw;WUt mikg;Gfs; - gjf;fq;fs; toq;fg;ngw;wtu;fs; rpy re;ju;g;gq;fspy; mzpe;J nfhs;sf;$baJk;&gt; rpw;WUt
ed;kjpg;Gr; rpd;dk; vd miof;fg;gLtJkhd&gt; rpw;WUt gjf;fj;jpd;; msT mz;zsthf&gt; toq;fg;gl;l gjf;fj;jpd; miuthrp
msTilajhf ,Ujj; y ; NtzL; k ; vdg; Jld&gt;; mrr; pwW; Ut edk; jpgG; r ; rpdd; jj; pd ; Kjj; piu nghwpff; gg; ll; khjpupnahdW; &gt; ,yqi; ff;
flw;gil jiyikafj;jpy; itf;fg;gl;L Ngzg;gLjy; Ntz;LnkdTk; tpjpf;fg;gLfpd;wJ.
vl;lhtjhf:
gwpKjy; nra;jYk; kPsspj;jYk; - ,q;F ,jdfj;Jg; gpd;du; tpjpf;fg;gLk; xOq;Ftpjpfspd; fPo;&gt; vtNuDk; xUtUf;F
mspf;fg;gl;l gjf;fnkhd;iw twpjhf;fp epuhfupg;gjw;fhd mjpfhuk; kw;Wk; mt;thW twpjhf;fg;gLk; gjf;fnkhd;iw kPz;Lk;
nry;YgbahFk; tpjj;jpy; mspg;gjw;fhd mjpfhuk; nfsut rdhjpgjp vd;w tifapy; vdf;F cz;L vd tpjpf;fg;gLfpd;wJ.
NkYk;&gt; mt;thW mspf;fg;gl;l gjf;fnkhd;iw twpjhf;Fjy; my;yJ kPsspj;jy; ,lk;ngWk; xt;nthU re;ju;g;gj;jpYk;&gt; mJ
njhlu;ghf cupa flw;gil fl;lisfspy; ntspaplg;gLjy; Ntz;Lk;.
I fldgi ( ^I&amp; fPoh - YS% ,xld m%cd;dka;s%l iudcjd§ ckrcfha w;s úfYI .eiÜ m;%h - 2026'01'19 3A
gFjp I : njhFjp (I) - ,yq;ifr; rdehaf Nrhryprf; FbauR tu;j;jkhdg; gj;;jpupif - mjp tpNr\khdJ - 2026.01.19
,yq;ifr; rdehaf Nrhryprf; Fbaurpd; mur ,yl;;rpidapd; fPo;&gt; ,uz;lhapuj;J ,Ugj;ije;jhk; Mz;L brk;gu; khjk; 12
Mk; jpfjp rdhjpgjp mYtyj;jpy; toq;fg;gl;lJ.
nfsut rdhjpgjpapd; Mizg;gb&gt;
fyhepjp vvdd;;..vv]];;.. FFkkhheehhaaff;;ff&gt;&gt;
rdhjpgjpapd; nrayhsu;.
,,yyqq;;iiff ffllww;;ggiillaappdd;; 7755 MMttJJ MMzz;;LL GG++uu;;jj;;jjpp eeppiiddTTgg;; ggjjff;;ffkk;;
rdhjpgjp Mizr;;rPl;by; tpjpf;fg;ngw;w Vw;ghLfis tpsf;fkhd tifapy; flw;gilapd; 75 MtJ Mz;L G+u;j;jp epidTg;
gjf;fk; toq;Fjy;&gt; twpjhf;Fjy;&gt; kPsspj;jy;; kw;Wk; mjDld; njhlu;Gila gpw tplaq;fs; njhlu;ghf ,yq;ifr; rdehaf
Nrhryprf; Fbaurpd; nfsut rdhjpgjp mtu;fspdhy; cUthf;fg;gl;l xOq;Ftpjpfs;.
nfsut rdhjpgjpapd; Mizg;gb&gt;
fyhepjp vvdd;;..vv]];;.. FFkkhheehhaaff;;ff&gt;&gt;
rdhjpgjpapd; nrayhsu;.
rdhjpgjp mYtyfk;&gt;
nfhOk;G - 01
2025&gt; jpnrk;gu; 12.
,,yyqq;;iiff ffllww;;ggiillaappdd;; 7755 MMttJJ MMzz;;LL GG++uu;;jj;;jjpp eeppiiddTTgg;; ggjjff;;ffkk;; nnjjhhlluu;;gghhdd xxOOqq;;FFttppjjppffss;;
1. ,uz;lhapuj;J ,Ugj;ije;;jhk; Mz;L jpnrk;gu; khjk; xd;gjhk;; jpfjpf;F&gt; ,yq;if flw;gilapd; epue;ju kw;Wk; njhz;lu;
flw;gilapy; Kidg;Gldhd Nritapy; &lt;Lgl;Ls;stu;fSk; (mbg;gil gapw;rpnewpfspy; gq;Fgw;WNthu; cl;gl)&gt; ,yq;if
flw;gilapd; mq;fPfupf;fg;gl;l gjtpazpf;Fupa rptpy; gzpahsu;fSk;&gt; ,q;F ,jdfj;Jg; gpd;du; tFj;Jf; Fwpg;gpl;Lf;
fhl;Lk; xOq;Ftpjpfspd;gbahd tpjpKiwfs; kw;Wk; epge;jidfs; gpufhuk;&gt; ,g;gjf;fj;ijg; ngwj;jFjpahdtu;fs; vd
flw;gilj; jsgjpahy; gupe;Jiuf;fg;gLfpd;w egu;fSk; ,g;gjf;fj;ijg; ngwj; jFjpAilNahuhtu;.
2. gpd;tUk; egu;fs; gjf;fk; ngwj; jFjpaw;wtuhthu;fs;.
(m) 2025 jpnrk;gu; khjk; 09 Mk; jpfjpf;F tpLKiw ngw;Wf;nfhs;shJ Nritf;F rKfkspf;fhjtu;fs; my;yJ
NritapypUe;J jg;gpNahba egu;fs;
(M) 2025 jpnrk;gu; khjk; 09 Mk; jpfjpf;F flikiaj; jtpu;f;f cly; eyk; Fd;wpaJ Nghy; ghrhq;F nra;jtu;fSk;&gt;
jhq;fNs jq;fSf;F clY}W Vw;gLj;jpf; nfhz;ltu;fSk;&gt; Ntz;Lnkd;Nw flikfisj; jl;bf;fopj;jtu;fSk;.
3. kuzj;jpd; gpd;dUk; ,t; mspg;G&gt; mspg;G ngWgtupd; neUq;fpa cwtpdUf;F my;yJ neUq;fpa cwtpduhy; ngau;
Fwpg;gplg;gl;l xUtUf;F toq;fg;gl KbAk;.
4. xt;nthU gupe;JiuAlDk;&gt; gupe;Jiuf;fg;gLgtu;fspd; ,yf;fk;&gt; gjtp tupir kw;Wk; KOg;ngau; Mfpa tpguq;fs;
rku;g;gpf;fg;gly; Ntz;Lk;.
5. gjf;fk; toq;fg;gl;Nlhupd; ngau;fs;&gt; cupa flw;gil fl;lisfspy; ntspaplg;gLjy; Ntz;Lk; vd;gJld;&gt; ,g; gjf;fk;
ngWeu;fs; midtupdJk; ngau;g;gl;bay;fs; flw;gilj; jsgjpapd; gzpg;gpd; fPo; Ngzg;gLjy; Ntz;Lk;.
6. gjf;fk; mspf;fg;gl;bUe;jNghJ flw;gilapypUe;J mgfPu;j;jpAld; NritapypUe;J ntspNaw;wg;gLk;&gt; mtkhdj;Jld;
tpyff; gg; Lk&gt;; mfww; gg; Lk ; myy; J mjpfhuthizapypUeJ; ,uh[pdhkhr ; nrat; jwF; myy; J XaT; ngWtjwF; gzpff; gg; Lk;
flw;giliar; Nru;e;j xt;nthU egUf;Fk;&gt; nfsut rdhjpgjpatu;fshy; NtWtpjkhd cj;juT gpwg;gpf;fg;glhjtiu
mtUf;F mspf;fg;gl;l gjf;fk; ,of;fg;gLjy; Ntz;Lk;.
7. vtNuDk ; xUtUfF; ,gg; jff; k ; mspff; gg; lb; Uej; NghJ&gt; mur JNuhfk&gt;; mur gpuptpid&gt; fyfqf; s&gt;; Nfhiojj; dk&gt;; ,awi; ffF;
khWgl;l tpjj;jpy; mtkhdKila elj;ij Nghd;w xU Fw;wj;jpw;F Fw;wthspahf;fg;gl;bUg;gpd;&gt; my;yJ xOf;ff;Nflhd
tplaq;fs; fhuzkhf NritapypUe;J ePf;fg;gl;bUg;gpd; my;yJ flw;gilr; rl;lj;jpw;F Ml;gLj;jg;gl;bUf;;ifapy;
rptpy; mjpfhupfshy; Fw;wj;jPu;g;G mspf;fg;gbd;&gt; me;j egUf;F nfsut rdhjpgjpatu;fshy; NtWtpjkhf fl;lis
gpwg;gpf;fg;gl;lhyd;wp&gt; mtUf;F mspf;fg;gl;l gjf;fk; ,of;fg;gLjy; Ntz;Lk;.
4A I fldgi ( ^I&amp; fPoh - YS% ,xld m%cd;dka;s%l iudcjd§ ckrcfha w;s úfYI .eiÜ m;%h - 2026'01'19
gFjp I : njhFjp (I) - ,yq;ifr; rdehaf Nrhryprf; FbauR tu;j;jkhdg; gj;;jpupif - mjp tpNr\khdJ - 2026.01.19
8. vtNuDnkhUtuhy; ,of;fg;gl;l gjf;fj;ij&gt; jdJ jw;WzpGf;F mika kPsspg;gjw;F rdhjpgjp mtu;fSf;F KbAk;.
9. ,of;fr; nra;jy; my;yJ kPsspj;jy;; ,lk;ngWk; xt;nthU re;ju;g;gj;jpYk;&gt; mJ njhlu;ghd mwptpj;jnyhd;W cupa
flw;gil fl;lisfspy; ntspaplg;gLjy; Ntz;Lk;.
10. vtNuDNkhu; cj;jpNahfj;ju;;&gt; flw;gil tPunuhUtu; my;yJ rptpy; gzpahsnuhUtu;&gt; jdJ njhiye;j gjf;fj;Jf;Fg;
gjpyhf NtnwhU gjf;fj;ijg; ngw;Wf;nfhs;s vjpu;ghu;g;ghuhapd;&gt; mt; cj;jpNahfj;ju;&gt; flw;gil tPuu; my;yJ rptpy;
gzpahsu; mg; gjf;fk; njhiye;J Nghd tpjk; gw;wpa thf;F%ynkhd;iw fl;lisapLk; mjpfhupaplk;/ cau; mjpfhupaplk;;
rku;g;gpj;jy; Ntz;Lk;. mjd; gpd;du;&gt; me;j thf;F%yj;ij cupaKiwapy; nfsut rdhjpgjp mtu;fsplk; rku;g;gpj;jy;
Ntz;Lk;. gjf;fk; njhiye;jik njhlu;gpy; Fwpg;gplg;gl;Ls;s tplaq;fs; jpUg;jpfukhdit vd Vw;Wf;nfhs;sg;gl;lhy;&gt;
njhiye;j gjf;fj;jpw;Fg; gjpyhf NtnwhU gjf;fj;ij&gt; cupa njhifiar; nrYj;jpg; ngw;Wf;nfhs;s KbAk;.
11. ,t;nthOq;Ftpjpfspy;:
(m) ‘flw;gil’ vDk; gjk; - ,yq;if flw;gil vd;gijf; Fwpf;Fk; vd;gijf; ftdj;jpw;nfhs;sy; Ntz;Lk;.
ffllww;;ggiillaappdd;; 7755 MMttJJ MMzz;;LL GG++uu;;jj;;jjpp eeppiiddTTgg;; ggjjff;;ffkk;;
Kd;gf;fk; gpd;gf;fk;
EOG 01 - 0189
,yq;if murhq;f mr;Rj; jpizf;fsj;jpw; gjpg;gpf;fg;ngw;wJ.</t>
  </si>
  <si>
    <t>0753a9da-75bf-4d71-9467-44510e35896a</t>
  </si>
  <si>
    <t>2472_03</t>
  </si>
  <si>
    <t>2472/03</t>
  </si>
  <si>
    <t>Local Authorities Elections Ordinance, Section 10A(1) — Returning Officer notice (Gazette 2472/03)</t>
  </si>
  <si>
    <t>පළාත් පාලන ආයතන ඡන්ද විමසීම් ආඥාපනත, 10අ(1) වගන්තිය යටතේ භාරගැනීමේ නිලධාරියාගේ දැන්වීම</t>
  </si>
  <si>
    <t>உள்ளூராட்சி அதிகார சபைகள் தேர்தல்கள் கட்டளைச் சட்டம், 10அ(1) ஆம் பிரிவின் கீழ் தேர்தல் அதிகாரியின் அறிவித்தல்</t>
  </si>
  <si>
    <t>Returning Officer notice under Section 10A(1)(a) of the Local Authorities Elections Ordinance declaring that a named council member has ceased to be a party member and therefore loses their seat. Part IV(B) — Local Government.</t>
  </si>
  <si>
    <t>m1/raw/2472_03.pdf</t>
  </si>
  <si>
    <t>IV ^wd&amp; fldgi - Y%S ,xld m%cd;dka;%sl iudcjd§ ckrcfha w;s úfYI .eiÜ m;%h - 2025'06'02 1A
gFjp IV (M) - ,yq;ifr; rdehaf Nrhryprf; FbauR tu;j;jkhdg; gj;;jpupif - mjp tpNr\khdJ - 2025.06.02
Y%S ,xld m%cd;dka;%sl iudcjd§ ckrcfha .eiÜ m;%h
w;s úfYI
,yq;ifr; rdehaf Nrhryprf; FbauR tu;j;jkhdg; gj;jpupif
mjp tpNr\khdJ
wxl 2472/03 - 2026 ckjdß ui 20 jeks w`yyrejdod - 2026'01'20
2472/ 03 Mk; ,yf;fk; - 2026 Mk; Mz;L rdtup khjk; 20 Me; jpfjp nrt;tha;f;fpoik
(murhq;fj;jpd; mjpfhuj;Jld; gpuRupf;fg;gl;lJ)
gFjp IV(M) - cs;~uhl;rp
cs;~u; mjpfhurigfs; Nju;jy;fs; fl;lisr; rl;l mwptpj;jy;fs;
உஉள்ள்ளூளூர்ர் அஅதிதிிிகாகாாாரர சசபைபைைைகாகாள்ள் தேதேதிதிர்ர்திதில்ல்காகாள்ள் காகாட்ட்டடபைபைைைச்ச் சசட்ட்டடத்த்திதிிின்ன் 1100 அஅ ((11)) ((அஅ)) ஆஆம்ம் ைைிிாாிிவிவிிின்ன் காகாீீழாழாாானன அஅறிறிிிவிவிிித்த்திதில்ல்
காகாலிலிகாகாமுமுவிவி ைைிிரரதேதேதிதிசச சசபைபைைை
காலிகாமுவி ைிரதேதிச சபைையிின் உறுப்ைினரராருவிரான திிரு. ரகாாடயிலாாதேகா லாலித் தேராஹன பீாிஸ் அவிர்காள் சர்விஜன அதிிகாாரம்
காட்சியிின் உறுப்ைினராகா உள்ைபைை இல்லாாரதிாழாிந்துள்ைதிால் தேைற்ைடி சபைையிின் அவிரது உறுப்ைினர் ைதிவிிபையி அவிர்
இழாந்துள்ைாரரன காலிகாமுவி ைிரதேதிச சபைையிின் ரதிாிவித்திாட்சி அலுவிலாரான காருணாாதிிலாகா ராலாஹாைிலாாதேகா விசுந்திரா எரந்திி
திிசாநாாயிக்கா ஆகாியி நாான், (262 ஆம் அத்திியிாயிைான) உள்ளூர் அதிிகாார சபைைகாள் தேதிர்தில்காள் காட்டபைைச் சட்டத்திின் 10அ (1)
(அ) என்னும் ைிாிவிின் காீழ் இத்திால் ரவிைிப்ைடுத்துகாின்தேறின்.
தேதேகாகா.. ஆஆர்ர்.. விவிசுசுந்ந்திதிரராா இஇ.. திதிிிசசாாநாநாாாயியிக்க்காகா,,
ரதிாிவித்திாட்சி அலுவிலார்,
காலிகாமுவி ைிரதேதிச சபைை.
ைாவிட்ட தேதிர்தில்காள் அலுவிலாகாம்,
தேகாகாாபைலா,
2026, சனவிாி ைாதிம் 19 ஆம் திிகாதிி.
EOG 01-0191
1A - PG 7481 — 08 (2026/01)
,t; mjptpNrl tu;j;jkhdpia www.documents.gov.lk vDk; ,izaj;jsj;jpypUe;J gjptpwf;fk; nra;a KbAk;.</t>
  </si>
  <si>
    <t>765b02e8-d928-4315-aaee-dc3e60805042</t>
  </si>
  <si>
    <t>2472_04</t>
  </si>
  <si>
    <t>2472/04</t>
  </si>
  <si>
    <t>Local Authorities Elections Ordinance, Section 10A(1) — Returning Officer notice (Gazette 2472/04)</t>
  </si>
  <si>
    <t>Returning Officer notice under Section 10A(1)(a) of the Local Authorities Elections Ordinance declaring that a named council member has ceased to be a party member and therefore loses their seat. Part IV(B) — Local Government. Mannar District Elections Office.</t>
  </si>
  <si>
    <t>m1/raw/2472_04.pdf</t>
  </si>
  <si>
    <t>IV ^wd&amp; fldgi - Y%S ,xld m%cd;dka;%sl iudcjd§ ckrcfha w;s úfYI .eiÜ m;%h - 2025'06'02 1A
gFjp IV (M) - ,yq;ifr; rdehaf Nrhryprf; FbauR tu;j;jkhdg; gj;;jpupif - mjp tpNr\khdJ - 2025.06.02
Y%S ,xld m%cd;dka;%sl iudcjd§ ckrcfha .eiÜ m;%h
w;s úfYI
,yq;ifr; rdehaf Nrhryprf; FbauR tu;j;jkhdg; gj;jpupif
mjp tpNr\khdJ
wxl 2472/04 - 2026 ckjdß ui 20 jeks w`yyrejdod - 2026'01'20
2472/ 04 Mk; ,yf;fk; - 2026 Mk; Mz;L rdtup khjk; 20 Me; jpfjp nrt;tha;f;fpoik
(murhq;fj;jpd; mjpfhuj;Jld; gpuRupf;fg;gl;lJ)
gFjp IV(M) - cs;~uhl;rp
cs;~u; mjpfhurigfs; Nju;jy;fs; fl;lisr; rl;l mwptpj;jy;fs;
உஉள்ள்ளூளூர்ர் அஅதிதிிிகாகாாாரர சசபைபைைைகாகாள்ள் தேதேதிதிர்ர்திதில்ல்காகாள்ள் காகாட்ட்டடபைபைைைச்ச் சசட்ட்டடத்த்திதிிின்ன் 1100 அஅ ((11)) ((அஅ)) ஆஆம்ம் ைைிிாாிிவிவிிின்ன் காகாீீழாழாாானன அஅறிறிிிவிவிிித்த்திதில்ல்
மமன்ன்னனாார்ர் நநகாகாரர சசபைபைைை
மன்னார் நகார சபைை உறுப்ைினரராருவிரான திிரு. தேசவிியர் தேயாண்ஸ் ரைாலிங்ரன் அவிர்காள் ஸ்ரீ லங்காா ரதிாழாிலாைர் காட்சியின்
உறுப்ைினராகா உள்ைபைம இல்லாரதிாழாிந்துள்ைதிால் தேமற்ைடி சபைையின் அவிரது உறுப்ைினர் ைதிவிிபைய அவிர் இழாந்துள்ைாரரன
மன்னார் நகார சபைையின் ரதிாிவித்திாட்சி அலுவிலரான ரகாங்காாதிரன் முகுந்தின் ஆகாிய நான், (262 ஆம் அத்திியாயமான) உள்ளூர்
அதிிகாார சபைைகாள் தேதிர்தில்காள் காட்டபைைச் சட்டத்திின் 10அ (1) (அ) என்னும் ைிாிவிின் காீழ் இத்திால் ரவிைிப்ைடுத்துகாின்தேறின்.
ரரகாகா.. முமுகுகுந்ந்திதின்ன்,,
ரதிாிவித்திாட்சி அலுவிலர்,
மன்னார் நகார சபைை.
மாவிட்ட தேதிர்தில்காள் அலுவிலகாம்,
மன்னார்,
2026, சனவிாி 19.
EOG 01-0190
1A - PG 7480 — 08 (2026/01) ,yq;if murhq;f mr;Rj; jpizf;fsj;jpw; gjpg;gpf;fg;ngw;wJ.
,t; mjptpNrl tu;j;jkhdpia www.documents.gov.lk vDk; ,izaj;jsj;jpypUe;J gjptpwf;fk; nra;a KbAk;.</t>
  </si>
  <si>
    <t>d5d01578-a6b9-4891-b0c0-d150c317baea</t>
  </si>
  <si>
    <t>2472_05</t>
  </si>
  <si>
    <t>2472/05</t>
  </si>
  <si>
    <t>Industrial Disputes Act (Chapter 131), Section 4(1) — Industrial Award (Gazette 2472/05)</t>
  </si>
  <si>
    <t>m1/raw/2472_05.pdf</t>
  </si>
  <si>
    <t>72756f34-9bd4-43ed-98eb-db9c4bd9fb99</t>
  </si>
  <si>
    <t>2472_06</t>
  </si>
  <si>
    <t>2472/06</t>
  </si>
  <si>
    <t>Industrial Disputes Act (Chapter 131), Section 4(1) — Industrial Award (Gazette 2472/06)</t>
  </si>
  <si>
    <t>m1/raw/2472_06.pdf</t>
  </si>
  <si>
    <t>a1caba5a-9d0f-49ea-993f-219d785592fd</t>
  </si>
  <si>
    <t>2472_07</t>
  </si>
  <si>
    <t>2472/07</t>
  </si>
  <si>
    <t>Provincial Councils Act, No. 42 of 1987 — Appointment under Section 32(1) (Gazette 2472/07)</t>
  </si>
  <si>
    <t>m1/raw/2472_07.pdf</t>
  </si>
  <si>
    <t>Y%S ,xld m%cd;dka;%sl iudcjd§ ckrcfha .eiÜ m;%h
w;s úfYI
,yqi; fr ; rdehaf Nrhryprf ; FbauR thj; j; khdg ; gjj; phpif
mjp tpNr\khdJ
wxl 2472/07 - 2026 ckjdß ui 20 jeks w`yyrejdod - 2026'01'20
2472/ 07 Mk; ,yf;fk; - 2026 Mk; Mz;L rdtup khjk; 20 Me; jpfjp nrt;tha;f;fpoik
(murhq;fj;jpd; mjpfhuj;Jld; gpuRupf;fg;gl;lJ)
gFjp IV(M) - cs;~uhl;rp
cs;~u; mjpfhu rigfs; Nju;jy;fs; fl;lisr; rl;l mwptpj;jy;fs;
22001122 ஆஆம்ம் ஆஆண்ண்டிடின்ன் 2222 ஆஆம்ம் இஇலலக்க்கக உஉள்ள்ளூளூர்ர் அஅதிதிிிககாாரர சசபைபைைைககள்ள் தேதேதிதிர்ர்திதில்ல்ககள்ள் ((திதிிிருருத்த்திதிம்ம்)) சசட்ட்டடத்த்திதிிினானாாால்ல்
திதிிிருருத்த்திதிப்ப்ைைட்ட்டடவாவாாாறாறாாானானா உஉள்ள்ளூளூர்ர் அஅதிதிிிககாாரர சசபைபைைைககள்ள் தேதேதிதிர்ர்திதில்ல்ககள்ள் ககட்ட்டடபைபைைைச்ச் சசட்ட்டடத்த்திதிிின்ன் 6666((எஎ)) உஉறுறுப்ப்புபுபைபைரரயியிிின்ன் ககீீழ்ழ்
செசெசசய்ய்யியிப்ப்ைைடுடும்ம் அஅறாறாிிவாவாிித்த்திதில்ல்
சைரகமுவா மாாகாணத்திில், உள்ளூராட்சித் திிபைணக்கைத்திின் உள்ளூராட்சி ஆபைணயிாைர் முதிியின்தேசலாதேக ைிரத்யிாகீர்த்திி
வாி தே�சுன்திர ைண்டார ஆகியி நாான், 2012 ஆம் ஆண்டின் 22 ஆம் இலக்க உள்ளூர் அதிிகார சபைைகள் தேதிர்தில்கள் (திிருத்திம்)
சட்டத்திினாால் திிருத்திப்ைட்ட உள்ளூர் அதிிகார சபைைகள் தேதிர்தில்கள் கட்டபைைச் சட்டத்திின் 66(எ) உறுப்புபைரயிின் கீழ், எனாக்கு
வாழங்கப்ைட்டுள்ை அதிிகாரத்திின் மூலமாாக சைரகமுவா மாாகாணத்திிற்குள் அபைமாந்துள்ை ைின்வாரும் அட்டவாபைணயிின் கீதேழ
அதிற்தேகற்ை குறாிப்ைிடப்ைட்டுள்ை செையிாில் குறாிப்ைிடப்ைட்டுள்ை இடத்திில் அதின் முதில் கூட்டம் மாீண்டும் அபைழக்கப்ைடும் என்ைபைதி
2012 ஆம் உள்ளூராட்சி மான்றாத்துக்கானா திவாிசாைபைரத் செதிாிவு செசய்வாதிற்கானா ைணிக்கானா கூட்டம் அதின் அட்டவாபைணயிின்
கீழ் குறாிப்ைிடப்ைட்டுள்ை திினாத்திில் குறாிப்ைிடப்ைட்டுள்ை தேநாரத்திில் குறாிப்ைிடப்ைட்டுள்ை இடத்திில் அபைழக்கப்ைடும் என்ைபைதி
இதின் மூலம் அறாிவாிக்கிதேறான்.
அஅட்ட்டடவாவாபைபைணண
மாாவாட்டம் உள்ளூராட்சி செதிாிவு செசய் முதில் கூட்டம் மாீண்டும் மாீண்டும் அபைழக்கப்ைடும் இடம்
மான்றாத்திின் யிப்ைட உள்ை முதிலில் அபைழக் அபைழக்கப்ைடும் மாற்றும் முகவாாி
செையிர் ைதிவாிகள் கப்ைட்ட திிகதிி தேநாரம்
ைலாங்செகாபைட ைலாங்செகாபைட நாகர சபைை கூட்ட
இரத்திினாபுாி திவாிசாைர் 2026.02.12 மு. ை. 10.00
நாகர சபைை மாண்டைம், நாகர சபைை, ைலாங்செகாபைட
எஎல்ல்.. எஎம்ம்.. பீபீ.. டடப்ப்.. ைைண்ண்டடாாரர,,
உள்ளூராட்சி ஆபைணயிாைர்,
சைரகமுவா மாாகாணம்.
உள்ளூராட்சித் திிபைணக்கைம்,
சைரகமுவா மாாகாண சபைை,
புதிியி நாகரம்,
இரத்திினாபுாி,
2026, சனாவாாி 20.
EOG 01- 0282
1A - PG 7501 — 04 (2026/01) ,yq;if murhq;f mr;Rj; jpizf;fsj;jpw; gjpg;gpf;fg;ngw;wJ.
,t; mjp tpNrl tu;j;jkhdpia www.documents.gov.lk vd;Dk; ,izaj;jsj;jpypUe;J gjptpwf;fk; nra;a KbAk;.</t>
  </si>
  <si>
    <t>309e7910-e41d-4123-a5a2-4b90d750cb64</t>
  </si>
  <si>
    <t>2472_08</t>
  </si>
  <si>
    <t>2472/08</t>
  </si>
  <si>
    <t>Title Registration Act, No. 21 of 1998, Section 14 — Commissioner of Title Settlement decision (Gazette 2472/08)</t>
  </si>
  <si>
    <t>Commissioner of Title Settlement's decision under Section 14 of the Title Registration Act No. 21 of 1998. Part III — Lands. Land Parcel No. 153 of Block 14 in Cadastral Map No. 620308, Village of Hemagama, Grama Niladhari Division of Saharaguanwa, District of Western Province. References Gazette 2430/30 of 03 April 2025.</t>
  </si>
  <si>
    <t>m1/raw/2472_08.pdf</t>
  </si>
  <si>
    <t>ශ්‍රී ලංකා ප්‍රජාාාා්ත්‍රික සමාජාවාදී ජානරජායේ ගැසට් පත්‍රය
The Gazette of the Democratic Socialist Republic of Sri Lanka
අති විශෙෂ EXTRAORDINARY
අංක 2472/08 - 2026 ජනවාරි මස 20 වැනි අඟහරුවාදා - 2026.01.20
No. 2472/08 – TUESDAY, JANUARY 20,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153 of Block 34,
contained in the Cadastral Map No. 520001, situated in the Village of Homagama, within the Grama Niladhari Division of No. 486 A
Homagama in the Divisional Secretary's Division of Homagama, in the District of Colombo, in the Province of Western, referred to in
Notice calling for claims to land parcels which was duly published in the Gazette No. 2430/30 of 03rd April, 2025 in terms of Section
55 of the Registration of Title Act, No.21 of 1998.
P. C. D. Sigera,
Commissioner General of Land Title Settlement.
Land Title Settlement Department,
No. 1200/6, “Mihikatha Medura”,
Rajamalwatta Road,
Battaramulla,
08th December, 2025.
1A - G 46136 - 03 (01/2026)
N.B.– This Gazette Extraordinary can be downloaded from www.documents.gov.lk
2 A III යකොටස - ශ්‍රී ලංකා ප්‍රජාාාා්ත්‍රික සමාජාවාදී ජානරජායේ ි ව ශෙය ග ගැසට් පත්‍රය - 2026.01.20
Part III – GAZETTE EXTRA ORDINARY OF THE DEMOCRATIC SOCIALIST REPUBLIC OF SRI LANKA – 20.01.2026
SCHEDULE
Particulars Particulars
Class and regarding if
National Extent Nature Mortgages subject
Parcel Extent Full Name/s of Owner/s Identity Owned of Encumbrances to any
No. and Address Card No. Title pending form of
Adjudication special or
and personal
Injunction law
(Hectare)
153 0.0409 Dilidu Didaksha Samaraweera 198962300220 Full 1st Class With the right –
No. 12/45, High Level Road, to access with
Homagama servitude of
EOG 01 - 0195/1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22 of Block 44,
contained in the Cadastral Map No. 520001, situated in the Village of Homagama, within the Grama Niladhari Division of No. 486 E
Katuwana in the Divisional Secretary's Division of Homagama, in the District of Colombo, in the Province of Western, referred to in
Notice calling for claims to land parcels which was duly published in the Gazette No. 2430/30 of 03rd April, 2025 in terms of Section
55 of the Registration of Title Act, No.21 of 1998.
P. C. D. Sigera,
Commissioner General of Land Title Settlement.
Land Title Settlement Department,
No. 1200/6, “Mihikatha Medura”,
Rajamalwatta Road,
Battaramulla,
08th December, 2025.
SCHEDULE
Particulars Particulars
Class and regarding if
National Extent Nature Mortgages subject
Parcel Extent Full Name/s of Owner/s Identity Owned of Encumbrances to any
No. and Address Card No. Title pending form of
Adjudication special or
and personal
Injunction law
(Hectare)
22 0.0398 Murage Don Thusith Chamara 198916801119 Full 1st Class Subject to the –
Waidyarathna life interest of
No. 311/7, Kulasiri Kumarage Mawatha, Murage Don
Katuwana, Homagama Chandraprema
With the right
to access with
servitude of
EOG 01 - 0195/2
III යකොටස - ශ්‍රී ලංකා ප්‍රජාාාා්ත්‍රික සමාජාවාදී ජානරජායේ ි ව ශෙය ග ගැසට් පත්‍රය - 2026.01.20 3 A
Part III – GAZETTE EXTRA ORDINARY OF THE DEMOCRATIC SOCIALIST REPUBLIC OF SRI LANKA – 20.01.2026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399 of Block 22,
contained in the Cadastral Map No. 520007, situated in the Village of Pitipana South, within the Grama Niladhari Division of No. 484
A Pitipana South in the Divisional Secretary's Division of Homagama, in the District of Colombo, in the Province of Western, referred
to in Notice calling for claims to land parcels which was duly published in the Gazette No. 2421/61 of 01st February, 2025 in terms of
Section 55 of the Registration of Title Act, No.21 of 1998.
P. C. D. Sigera,
Commissioner General of Land Title Settlement.
Land Title Settlement Department,
No. 1200/6, “Mihikatha Medura”,
Rajamalwatta Road,
Battaramulla,
08th December, 2025.
SCHEDULE
Particulars Particulars
Class and regarding if
National Extent Nature Mortgages subject
Parcel Extent Full Name/s of Owner/s Identity Owned of Encumbrances to any
No. and Address Card No. Title pending form of
Adjudication special or
and personal
Injunction law
(Hectare)
399 0.0537 Wijekoon Mudiyanselage Darshani 197766102367 Full 1st Class With the right –
Abeywardhana Wijekoon to access with
No. 351/2/1, Pitipana South, servitude of
Homagama parcel No. 401
EOG 01 - 0195/3
PRINTED AT THE DEPARTMENT OF GOVERNMENT PRINTING, SRI LANKA.</t>
  </si>
  <si>
    <t>ee78a214-fc30-40c7-b30f-d7ea4eef87dc</t>
  </si>
  <si>
    <t>2472_09</t>
  </si>
  <si>
    <t>2472/09</t>
  </si>
  <si>
    <t>Title Registration Act, No. 21 of 1998, Section 14 — Commissioner of Title Settlement's decision under Section 14 (Gazette 2472/09)</t>
  </si>
  <si>
    <t>m1/raw/2472_09.pdf</t>
  </si>
  <si>
    <t>700dcb3d-6298-4b47-a755-f01c92acc833</t>
  </si>
  <si>
    <t>2472_10</t>
  </si>
  <si>
    <t>2472/10</t>
  </si>
  <si>
    <t>Title Registration Act, No. 21 of 1998, Section 12 — preliminary notice calling for claims (Gazette 2472/10)</t>
  </si>
  <si>
    <t>Preliminary notice calling for claims published under the Title Registration Act, No. 21 of 1998 for specified land parcels identified by Cadastral Map and Grama Niladhari Division. Part III — Lands. Issued from the Land Title Settlement Department, Battaramulla.</t>
  </si>
  <si>
    <t>m1/raw/2472_10.pdf</t>
  </si>
  <si>
    <t>a25fa101-9b01-4f72-9770-c85b020da1a1</t>
  </si>
  <si>
    <t>2472_11</t>
  </si>
  <si>
    <t>2472/11</t>
  </si>
  <si>
    <t>Title Registration Act, No. 21 of 1998, Section 14 — Commissioner of Title Settlement's decision under Section 14 (Gazette 2472/11)</t>
  </si>
  <si>
    <t>m1/raw/2472_11.pdf</t>
  </si>
  <si>
    <t>00f00b6e-4be3-49b7-a384-c02470fa95f5</t>
  </si>
  <si>
    <t>2472_12</t>
  </si>
  <si>
    <t>2472/12</t>
  </si>
  <si>
    <t>Title Registration Act, No. 21 of 1998, Section 14 — Commissioner of Title Settlement's decision under Section 14 (Gazette 2472/12)</t>
  </si>
  <si>
    <t>m1/raw/2472_12.pdf</t>
  </si>
  <si>
    <t>5977859f-d144-4ff4-86a8-ca668ef5273e</t>
  </si>
  <si>
    <t>2472_13</t>
  </si>
  <si>
    <t>2472/13</t>
  </si>
  <si>
    <t>Land Acquisition Act (Chapter 460), Section 5 — Notice of Intended Acquisition (Gazette 2472/13)</t>
  </si>
  <si>
    <t>m1/raw/2472_13.pdf</t>
  </si>
  <si>
    <t>III කො�ොටස - ශ්‍රී ලංං�ා ප්‍රජාාතාාන්ත්‍රි� සමාාජාවාාදී ජානරජාකො� අති විකො�ෂ ගැැසට් පත්‍රය - 2026.01.04 1A
பகுதி III - இலங்கைச் சனநாயகை சசாசலிசக் குடியரசு வர்ததமானப் ப்ததிாி்கை - அதி விசசஷமானது - 2026.01.04
ශ්‍රීශ්‍රී ලංලංංංකාකාාා ප්‍රප්‍රජාජාාාතාතාාාන්න්ත්‍රිත්‍රිකාකා සසමාමාාාජාජාවාවාාාදීදී ජාජානනරරජාජායේයේ�� ගැගැැැසසට්ට් පපත්‍රත්‍රයය
இஇலலஙங்்கைகைச்ச் சசனனநநாாயயகைகை சசசசாாசசலிலிசசக்க் குகுடிடியயரரசுசு வவரர்த்த்த்தமமாானனப்ப் பப்த்த்த்ததிதிாாதிதி்்கைகை
අඅතිති විවියේයේ��ෂෂ அஅ்த்ததிதி வவதிதிசசசசஷஷமமாானனதுது
අංඅංංංකක 22447722//1133 -- 22002266 ජජනනවාවාාාරිරි මමසස 2200 වාවාැැනිනි අංඅංඟඟහහරුරුවාවාාාදාදාාා -- 22002266..0011..2200
22447722//1133 ஆஆம்ம் இஇலலக்க்கைகைம்ம் -- 22002266 ஆஆம்ம் ஆஆண்ண்டுடு சசனனவவாாதிதி மமாா்த்தம்ம் 2200 ஆஆந்ந் ்த்ததிதிகைகை்த்ததிதி சசசசவவவவாாயயக்க்கைகைதிதிழழ்்மம
(அரசாஙகை்த்ததின் அ்ததிகைார்ததுடன் பதிரசுாதிக்கைப்படடது)
பபகுகு்த்ததிதி IIIIII -- கைகைாாணணதிதிகைகைள்ள்
கைகைாாணணதிதி சசகைகைாாள்ள்வவனனவுவு பபறற்்திதியய அஅ்்திதிவவதிதி்த்த்த்தலலகைகைள்ள்
கைகைாாணணதிதி எஎடுடு்த்த்த்தறற சசடடடடம்ம் ((அஅ்த்த்த்ததிதியயாாயயம்ம் 446600)) யாளர அ்தியப்படவதில்ல; சமறகு: மருச்தாண்டிக்கைாடு
உாதி்மயாளர அ்தியப்படவதில்ல, வதிலலூன்்தி ்தீர்த்தக்சகைணதி
5 ஆம் பதிாதிவதின் படியான பதிரகைடனம் ஒழுங்கை.
கைீழக்கைாணும் கைாணதி ஒரு பகைதிரஙகை ச்த்வக்கு சவண்டிய்தாய
சகை. டி. லால கைாந்்த,
இருக்கைதின்்ச்தன்றும் கைாணதி எடு்த்தற சடட்த்ததின் ஏறபாடுகைளதின்
கைம்தச்தாழதில, கைாலந்ட வளஙகைள்,
பதிரகைாரம் கைாணதி எடு்ததுக்சகைாள்ளப்படுசமன்றும் கைாணதி
கைாணதி மறறும் நீரப்பாசன அ்மச்சர.
எடு்த்தற சடட்த்ததின் 5 ஆம் பதிாதிவதின் (1) ஆம் உபபதிாதிவதின்
பதிரகைாரம் கைம்தச்தாழதில, கைாலந்டவளஙகைள், கைாணதி மறறும்
நீரப்பாசன அ்மச்சர குரகைமசகைா ச்தான் லால கைாந்்த ஆகைதிய
நான், இ்த்தால பதிரகைடனம் சசயகைதின்ச்ன். கைம்தச்தாழதில, கைாலந்ட வளஙகைள், கைாணதி மறறும்
நீரப்பாசன அ்மச்சதின் கு்திப்பு இல. : 4-3/9/2017/WS/203.
வட மாகைாணம், யாழப்பாணம் மாவடடம், யாழப்பாணம் பதிரச்தச சசயலகை கு்திப்பு இல. : J/DS/2/9/4/07-2016.
பதிரச்தச சசயலாளர பதிாதிவதில, J/83, சகைாடடடி கைதிராம
அலுவலர பதிாதிவதில வண்ணாரபண்்ண ச்தன் சமறகு கைம்தச்தாழதில, கைாலந்ட வளஙகைள், கைாணதி மறறும்
கைதிராம்த்ததில யாழ மாநகைரச்ப எல்லக்கு உடபடட வடடார நீரப்பாசன அ்மச்சு,
“மதிெதிகை்த சமதுர”, கைாணதிச் சசயலகைம்,
இல. 20 (நாவாந்து்்) அ்மந்துள்ள நதில அள்வயாளர
1200/ இரஜமலவ்த்்த வீ்ததி,
நாயகை்த்ததினால ்தயாாதிக்கைப்படட 2017.11.17 ஆம் ்ததிகை்ததிய
ப்த்தரமுல்ல,
YA/JFF/2017/195 ஆம் இலக்கை மு்தற சுவடடு வ்ரபட்த்ததில
2025, சச்தச்தம்பர 11.
துண்டு A எனக் கைாடடப்படட சுமார 0.0434 செக்சடயார
வதிஸ்தீரணமு்டய கைீசழ வதிபாதிக்கைப்படடுள்ள எல்லகைளுள்
அ்மந்்த கைாணதி்ததுண்டு:
EOG 01 - 0200
01. துதுண்ண்டுடு ‘‘AA’’ –– மமருருசச்த்தாாண்ண்டிடிக்க்கைகைாாடுடு,, வவாாதிதிமம்த்ததிதிப்ப்பீபீடடடுடு இஇலலக்க்கைகைம்ம்
இஇலல்்லல,, கைகைாா்்ரர்த்தீீவுவு வீவீ்த்ததிதி -- வவதிதிஸஸ்த்தீீரரணணம்ம்:: 00..00443344 சசெெக்க்டடயயாாரர
வடக்கு : வதிலலூன்்தி ்தீர்த்தக்சகைணதி ஒழுங்கை, பா்்த;
கைதிழக்கு: பா்்த, மருச்தாண்டிக்கைாடு, உாதி்மயாளர
அ்தியப்படவதில்ல; ச்தறகு: மருச்தாண்டிக்கைாடு உாதி்ம
1A - G46132 - 13 (2026/01) இலங்கை அரசாஙகை அச்சு்த ்ததி்ணக்கைள்த்ததில அச்சதிடப்படடது.
இவ அ்ததிவதிச ஷட வர்த்தமானதி்ய www.documents.gov.lk எனும் இ்ணய்த்தள்த்ததிலிருந்து ப்ததிவதி்க்கைம் சசயய முடியும்.</t>
  </si>
  <si>
    <t>0a8286bf-06de-4189-ac85-d3998a08f301</t>
  </si>
  <si>
    <t>2472_14</t>
  </si>
  <si>
    <t>2472/14</t>
  </si>
  <si>
    <t>Land Acquisition Act (Chapter 460), Section 5 — Notice of Intended Acquisition (Gazette 2472/14)</t>
  </si>
  <si>
    <t>Notice under Section 5 of the Land Acquisition Act (Chapter 460) declaring intended acquisition of identified land parcels. Part III — Lands. Survey/Department notice.</t>
  </si>
  <si>
    <t>m1/raw/2472_14.pdf</t>
  </si>
  <si>
    <t>III ෙකොටස – ශී ලංකා පජාතාන්තික සමාජවාදී ජනරජෙය් අති විෙශෂ ගැසට් පතය – 2012.10.25 1 A
பகுதி III – இலங்ைகச் சனநாயக ேசாச(cid:8098)சக் கு(cid:8074)யரசு வர்த்தமானப் பத்திாிைக - அதி விேசஷமான(cid:8080) – 2012.10.25
ශී ලංකා පජාතාන්තික සමාජවාදී ජනරජෙය් ගැසට් පතය
இலங்ைகச் சனநாயக ேசாச(cid:8098)சக் கு(cid:8074)யரசு வர்த்தமானப் பத்திாிைக
අති විෙශෂ அதி விேசஷமான(cid:8080)
අංක 2472/14 - 2026 ජනවාරි මස 20 වැනි අඟහරුවාදා - 2026.01.20
2472/14 ஆம் இலக்கம் - 2026 ஆம் ஆண்(cid:8076) சனவாி மாதம் 20 ஆந் திகதி ெசவ்வாய்க்கிழைம
(அரசாங்கத்தின் அதிகாரத்(cid:8080)டன் பிரசுாிக்கப்பட்ட(cid:8080))
பகுதி III - காணிகள்
உாித்(cid:8080)ப் பதி(cid:8107) ெசய்தல்
1998 ஆம் ஆண்(cid:8074)ன் 21 ஆம் இலக்க உாித்(cid:8080)ப் பதி(cid:8107)ச் சட்டம்
14 ஆம் பிாிவின் கீழ் உாித்(cid:8080) நிர்ணய ஆைணயாளாின் தீர்மானத்ைத ெவளிப்ப(cid:8076)த்தல்
1998 ஆம் ஆண்(cid:8074)ன் 21 ஆம் இலக்க உாித்(cid:8080)ப் பதி(cid:8107)ச் சட்டத்தின் 14 ஆம் பிாிவின் கீழ் எனக்குாித்தாக்கப்பட்(cid:8076)ள்ள தத்(cid:8080)வங்களின்
பயைனக்ெகாண்(cid:8076), கீேழ ஒப்பமிட்(cid:8076)ள்ள நான், 1998 ஆம் ஆண்(cid:8074)ன் 21 ஆம் இலக்க உாித்(cid:8080)ப் பதி(cid:8107)ச் சட்டத்தின் 55 ஆம் பிாிவின்
நியதிகளின்ப(cid:8074) 2025.08.07 ஆம் திகதிய 2448/42 ஆம் இலக்க வர்த்தமானியில் உாிய (cid:8089)ைறயில் ெவளியிடப்பட்ட(cid:8080)ம், காணிக்கான உாிைமக்
ேகாாிக்ைககைளக் ேகா(cid:8094)கின்ற(cid:8080)மான மத்திய மாகாணத்தில், கண்(cid:8074) மாவட்டத்தில், ெதா(cid:8100)வ பிரேதச ெசயலாளர் பிாிவில், இல. 1127 -
சிங்ஹபி(cid:8074)ய வடக்கு கிராம அ(cid:8100)வலர் பிாிவி(cid:8084)ள் சிங்ஹபி(cid:8074)ய வடக்கு கிராமத்தில் அைமந்(cid:8080)ள்ள(cid:8080)ம் 320073 ஆம் இலக்க கடத்திரல் அளைவ
வைரபடத்தில் பிாி(cid:8107) இல. 01 இல் அடங்கி(cid:8092)ள்ள(cid:8080)மான 69 மற்(cid:8096)ம் 70 எ(cid:8084)ம் காணித்(cid:8080)ண்(cid:8076)க(cid:8102)க்கான உாித்(cid:8080) ெதாடர்பாக இதேனா(cid:8076)
இைணக்கப்பட்ட அட்டவைணயில் தரப்பட்(cid:8076)ள்ளவாறான என(cid:8080) தீர்மானத்ைத இத்தால் ெவளிப்ப(cid:8076)த்(cid:8080)கின்ேறன்.
பீ.சீ.டீ. சிேகரா,
காணி உாித்(cid:8080) நிர்ணய ஆைணயாளர் நாயகம்.
காணி உாித்(cid:8080) நிர்ணயத் திைணக்களம்,
இல. 1200/6, “மிஹிகத ெம(cid:8080)ர”,
இரஜமல்வத்த (cid:8106)தி,
பத்தர(cid:8089)ல்ைல,
2025 ஆம் ஆண்(cid:8076) ெசத்ெதம்பர் மாதம் 18 ஆம் திகதி.
1A - G 46141 - 03 (2026 / 01)
(cid:8089). கு. - இவ் அதிவிேஷட வர்த்தமானிைய www.documents.gov.lk எ(cid:8084)ம் இைணயத்தளத்தி(cid:8098)(cid:8094)ந்(cid:8080) பதிவிறக்கம் ெசய்ய (cid:8089)(cid:8074)(cid:8092)ம்.
2 A III ෙකොටස – ශී ලංකා පජාතාන්තික සමාජවාදී ජනරජෙය් අති විෙශෂ ගැසට් පතය – 2026.01.20
பகுதி III – இலங்ைகச் சனநாயக ேசாச(cid:8098)சக் கு(cid:8074)யரசு வர்த்தமானப் பத்திாிைக - அதி விேசஷமான(cid:8080) – 2026.01.20
அட்டவைண
காணி விேசட
வழக்கிற்கு அல்ல(cid:8080)
காணித் விஸ்தீரணம் ெசாந்தக்காரர்/ ெசாந்தக் ேதசிய உாித்(cid:8080)க்குாிய உாித்தின(cid:8080) உட்பட்ட தனியா(cid:8094)க்
(cid:8080)ண்(cid:8074)ன் காரர்களின் (cid:8089)(cid:8104)ப் ெபயர்க(cid:8102)ம் அைடயாள இடத்தின் வகுப்(cid:8087)ம் ஈ(cid:8076), குத் குாிய சட்டங்
இல. (ெஹக்டயார்) (cid:8089)கவாி(cid:8092)ம் அட்ைட விஸ்தீரணம் இயல்(cid:8087)ம் தைக க(cid:8102)ள் எவ்
இல. த(cid:8076)ப்(cid:8087)க் வைகக்கும்
கட்டைள அைமந்தி(cid:8094)ப்
பற்றிய பின் விபரங்
விபரங்கள் கள்
69 0.0452 ரத்நாயக்க (cid:8089)தியன்ேசலாேக நிசாந்த 197201001076 (cid:8089)(cid:8104)வ(cid:8080)ம் 1வ(cid:8080) வகுப்(cid:8087) – –
ரத்நாயக்க
இல. 419, சிங்ஹபி(cid:8074)ய உட பாைத,
கம்ெபால.
70 0.0452 ரத்நாயக்க (cid:8089)தியன்ேசலாேக ந(cid:8098)ந்த 198104301687 (cid:8089)(cid:8104)வ(cid:8080)ம் 1வ(cid:8080) வகுப்(cid:8087) – –
ரத்நாயக்க
இல. 419/1/1, சிங்ஹபி(cid:8074)ய உட பாைத,
கம்ெபால.
EOG 01 - 0203
இலங்ைக அரசாங்க அச்சுத் திைணக்களத்தில் பதிப்பிக்கப்ெபற்ற(cid:8080).</t>
  </si>
  <si>
    <t>bba4658a-f43d-452a-96d0-6bbe0dba7ccc</t>
  </si>
  <si>
    <t>2472_15</t>
  </si>
  <si>
    <t>2472/15</t>
  </si>
  <si>
    <t>Title Registration Act, No. 21 of 1998, Section 14 — Commissioner of Title Settlement decision (Gazette 2472/15)</t>
  </si>
  <si>
    <t>m1/raw/2472_15.pdf</t>
  </si>
  <si>
    <t>III ෙක(cid:675)ටස – (cid:636) ලංකා (cid:541)ජාතා(cid:486)(cid:437)ක සමාජවා(cid:463) ජනරජෙ(cid:591) අ(cid:431) (cid:618)ෙශෂ ගැස(cid:376) ප(cid:436)ය – 2026.01.20 1 A
ப(cid:8065)தி III – இல(cid:8113)ைக(cid:8114) சனநாயக ேசாச(cid:8098)ச(cid:8112) (cid:8065)(cid:8074)யர(cid:8070) வ(cid:8125)(cid:8119)தமான(cid:8122) ப(cid:8119)திாிைக - அதி விேசஷமான(cid:8080) – 2026.01.20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2472/15 - 2026 ජනවා(cid:604) මස 20 වැ(cid:487) අඟහ(cid:606)වාදා - 2026.01.20
2472/15 ஆ(cid:8123) இல(cid:8112)க(cid:8123) - 2026 ஆ(cid:8123) ஆ(cid:8118)(cid:8076) சனவாி மாத(cid:8123) 20 ஆ(cid:8120) திகதி ெச(cid:8130)வா(cid:8124)(cid:8112)கிழைம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2024.09.13 ஆ(cid:8120) திகதிய 2401/37 ஆ(cid:8123) இல(cid:8112)க வ(cid:8125)(cid:8119)தமானியி(cid:8127) உாிய (cid:8089)ைறயி(cid:8127) ெவளியிட(cid:8122)ப(cid:8117)ட(cid:8080)(cid:8123), காணி(cid:8112)கான உாிைம(cid:8112)
ேகாாி(cid:8112)ைககைள(cid:8112) ேகா(cid:8094)கி(cid:8121)ற(cid:8080)மான ேம(cid:8127) மாகாண(cid:8119)தி(cid:8121) க(cid:8123)பஹா மாவ(cid:8117)ட(cid:8119)தி(cid:8127), மஹர பிரேதச ெசயலாள(cid:8125) பிாிவி(cid:8127), இல. 288 - ேவபட
வட(cid:8112)(cid:8065) கிராம அ(cid:8100)வல(cid:8125) பிாிவி(cid:8084)(cid:8128) ேவபட கிராம(cid:8119)தி(cid:8127) அைம(cid:8120)(cid:8080)(cid:8128)ள(cid:8080)(cid:8123) 510812 ஆ(cid:8123) இல(cid:8112)க கட(cid:8119)திர(cid:8127) அளைவ வைரபட(cid:8119)தி(cid:8127) பிாி(cid:8107)
இல. 04 இ(cid:8127) அட(cid:8113)கி(cid:8092)(cid:8128)ள(cid:8080)மான 19:1, 19:2 ம(cid:8126)(cid:8096)(cid:8123) 19:3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14 ஆ(cid:8120) திகதி.
1A - G 46142 - 03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2026.01.20
ப(cid:8065)தி III – இல(cid:8113)ைக(cid:8114) சனநாயக ேசாச(cid:8098)ச(cid:8112) (cid:8065)(cid:8074)யர(cid:8070) வ(cid:8125)(cid:8119)தமான(cid:8122) ப(cid:8119)திாிைக - அதி விேசஷமான(cid:8080) – 2026.01.20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19:01 0.0326 வ(cid:8080)கார ேதவேக ச(cid:8116)ஞீவ 790373049V (cid:8089)(cid:8104)வ(cid:8080)(cid:8123) 1ஆவ(cid:8080) வ(cid:8065)(cid:8122)(cid:8087) கா.(cid:8080).இல.03
அம(cid:8127) (cid:8065)மார இ(cid:8121) ம(cid:8126)(cid:8096)(cid:8123)
இல. 332, ேவபட வட(cid:8112)(cid:8065), 510812/04
ேவபட. தா(cid:8128) இல.01/
கா.(cid:8080).இல.
11 இ(cid:8121)
அ(cid:8078)(cid:8065)வழி
ேசவக(cid:8119)தி(cid:8126)(cid:8065)
உ(cid:8117)ப(cid:8117)ட(cid:8080)
19:02 0.0146 வ(cid:8080)கார ேதவேக (cid:8111)யானி 705210160V (cid:8089)(cid:8104)வ(cid:8080)(cid:8123) 1ஆவ(cid:8080) வ(cid:8065)(cid:8122)(cid:8087) கா.(cid:8080).இல.03
ம(cid:8113)க(cid:8098)கா இ(cid:8121) ம(cid:8126)(cid:8096)(cid:8123)
இல. 332/(cid:8086), ேவபட வட(cid:8112)(cid:8065), 510812/04
ேவபட. தா(cid:8128) இல.01/
கா.(cid:8080).இல.
11 இ(cid:8121)
அ(cid:8078)(cid:8065)வழி
ேசவக(cid:8119)தி(cid:8126)(cid:8065)
உ(cid:8117)ப(cid:8117)ட(cid:8080).
19:03 0.0035 தனியா(cid:8125) _ (cid:8089)(cid:8104)வ(cid:8080)(cid:8123) 1ஆவ(cid:8080) வ(cid:8065)(cid:8122)(cid:8087) கா.(cid:8080).இல.01
ம(cid:8126)(cid:8096)(cid:8123)
02 இ(cid:8121)
பிரேவச(cid:8119)
தி(cid:8126)(cid:8065).
EOG 01 - 0204
இல(cid:8113)ைக அரசா(cid:8113)க அ(cid:8114)(cid:8070)(cid:8119) திைண(cid:8112)கள(cid:8119)தி(cid:8127) பதி(cid:8122)பி(cid:8112)க(cid:8122)ெப(cid:8126)ற(cid:8080).</t>
  </si>
  <si>
    <t>d33c817f-a634-41b1-9ec2-5307a133f4f8</t>
  </si>
  <si>
    <t>2472_16</t>
  </si>
  <si>
    <t>2472/16</t>
  </si>
  <si>
    <t>Land Acquisition Act (Chapter 460), Section 5 - Notice of Intended Acquisition (East Mahaweli upper region; land claimed by Jayalath Sripala)</t>
  </si>
  <si>
    <t>ඉඩම් අත්පත් කරගැනීමේ පනත (460 අධිකාරය), 5 වැනි වගන්තිය - අත්පත් කරගැනීමේ අරමුණේ දැන්වීම (නැගෙනහිර මහවැලි - ඉහළ කලාපය; ජයලත් ශ්‍රීපාල විසින් උරුමය ලෙස ඉල්ලා සිටින ඉඩම)</t>
  </si>
  <si>
    <t>காணி எடுத்தற் சட்டம் (460 ஆம் அத்தியாயம்), 5 ஆம் பிரிவின் கீழ் காணி கொள்வனவு பற்றிய அறிவித்தல் - கிழக்கு மகாவலி (மேல் பகுதி); ஜயலத் ஸ்ரீபால உரிமை கோரும் நிலம்</t>
  </si>
  <si>
    <t>Notice under Section 5 of the Land Acquisition Act (Chapter 460) declaring intended acquisition of land in the East Mahaweli upper region, including parcels claimed by Jayalath Sripala. Reference 4/3/16/2021/W(KG). Published 20 January 2026.</t>
  </si>
  <si>
    <t>m1/raw/2472_16.pdf</t>
  </si>
  <si>
    <t>III ෙකොටස - ශී ලංකා පජාතාන්තික සමාජවාදී ජනරජෙය් අති විෙශෂ ගැසට් පතය - 2026.01.04 1A
பகுதி III - இலங்ைகச் சனநாயக ேசாச(cid:8098)சக் கு(cid:8074)யரசு வர்த்தமானப் பத்திாிைக - அதி விேசஷமான(cid:8080) - 2026.01.04
ශීශී ලලංංකකාා පපජජාාතතාාන්න්තිතිකක සසමමාාජජවවාාදීදී ජජනනරරජජෙෙය්ය් ගගැැසසට්ට් පපතතයය
இஇலலங்ங்ைைககச்ச் சசனனநநாாயயகக ேேசசாாசச(cid:8098)(cid:8098)சசக்க் குகு(cid:8074)(cid:8074)யயரரசுசு வவர்ர்த்த்ததமமாானனப்ப் பபத்த்ததிிாாிிைைகக
අඅතිති විවිෙෙශශෂෂ அஅததிி வவிிேேசசஷஷமமாானன(cid:8080)(cid:8080)
අඅංංකක 22447722//1166 -- 22002266 ජජනනවවාාරිරි මමසස 2200 වවැැනිනි අඅඟඟහහරුරුවවාාදදාා -- 22002266..0011..2200
22447722//1166 ஆஆம்ம் இஇலலக்க்ககம்ம் -- 22002266 ஆஆம்ம் ஆஆண்ண்(cid:8076)(cid:8076) சசனனவவாாிி மமாாததம்ம் 2200 ஆஆந்ந் ததிிககததிி ெெசசவ்வ்வவாாய்ய்க்க்ககிிழழைைமம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ஓவிட; கிழக்கு: (cid:8106)தியின் (ேமல் பகுதி) நிமித்தம் ஒ(cid:8080)க்கி(cid:8092)ள்ள
நிலம் மற்(cid:8096)ம் ஜயலத்ேக சிறிபால உாிைம ேகா(cid:8094)கின்ற
5 ஆம் பிாிவின் ப(cid:8074)யான பிரகடனம் வக்கலன் ஓவிட மற்(cid:8096)ம் (cid:8106)தி; ெதற்கு: நந்தனி ேர(cid:8084)கா
விேஜசுந்தர உாிைம ேகா(cid:8094)கின்ற வக்கலன் ஓவிட; ேமற்கு :
கீழ்க்கா(cid:8078)ம் காணி ஒ(cid:8094) பகிரங்க ேதைவக்கு ேவண்(cid:8074)யதாய் ஜயலத்ேக அமரசிறி உாிைம ேகா(cid:8094)கின்ற வக்கலன் ஓவிட.
இ(cid:8094)க்கின்றெதன்(cid:8096)ம் காணி எ(cid:8076)த்தற் சட்டத்தின் ஏற்பா(cid:8076)களின்
பிரகாரம் காணி எ(cid:8076)த்(cid:8080)க்ெகாள்ளப்ப(cid:8076)ெமன்(cid:8096)ம் காணி
ேக. (cid:8074). லால் காந்த,
எ(cid:8076)த்தற் சட்டத்தின் 5 ஆம் பிாிவின் (1) ஆம் உபபிாிவின்
கமத்ெதாழில், கால்நைட வளங்கள்,
பிரகாரம் கமத்ெதாழில், கால்நைட வளங்கள், காணி மற்(cid:8096)ம்
காணி மற்(cid:8096)ம் நீர்ப்பாசன அைமச்சர்.
நீர்ப்பாசன அைமச்சர் குரகமேகா ெதான் லால் காந்த ஆகிய
நான், இத்தால் பிரகடனம் ெசய்கின்ேறன்.
என(cid:8080) இல. : 4-3/18/2021/WS/40.
ெதன் மாகாணத்தின், கா(cid:8098) மாவட்டத்தில், நாெகாட கமத்ெதாழில், கால்நைட வளங்கள், காணி மற்(cid:8096)ம்
பிரேதச ெசயலகப் பிாிவில், இலக்கம் 219 சீ, உ(cid:8076)கம வடக்கு நீர்ப்பாசன அைமச்சு,
கிராம அ(cid:8100)வலர் பிாிவில், உ(cid:8076)கம (இ.கி.வ. 528) கிராமத்தில் “மிஹிகத ெம(cid:8080)ர”,
அைமந்(cid:8080)ள்ள நில அளைவயாளர் நாயகத்தினால் 2021.12.29 காணிச் ெசயலகம்,
ஆம் திகதி தயாாிக்கப்பட்(cid:8076)ள்ள ேமம்ப(cid:8076)த்தப்பட்ட வைரபட இரஜமல்வத்ைத (cid:8106)தி,
இலக்கம் GA/NGD/2021/557 இல் குறிப்பிடப்பட்ட பின்வ(cid:8094)ம் பத்தர(cid:8089)ல்ைல,
காணி (cid:8080)ண்(cid:8076)க(cid:8102)க்கான எல்ைலகள்:
2025, ெசத்ெதம்பர் 11.
01. (cid:8080)(cid:8080)ண்ண்(cid:8076)(cid:8076) ‘‘AA’’ –– வவக்க்ககலலன்ன் ஓஓவவிிடட AA -- வவிிஸ்ஸ்ததீீரரணணம்ம்:: 00..00883366
EOG 01 - 0205
ெெஹஹக்க்டடயயாார்ர்
வடக்கு : (cid:8106)தியின் (ேமல் பகுதி) நிமித்தம் ஒ(cid:8080)க்கி(cid:8092)ள்ள நிலம்
மற்(cid:8096)ம் ஜயலத்ேக சிறிபால உாிைம ேகா(cid:8094)கின்ற வக்கலன்
1A - G46143 - 13 (2026/01)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</si>
  <si>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7d8449cc-6cc8-44e6-b0af-a57f2f190370</t>
  </si>
  <si>
    <t>2472_17</t>
  </si>
  <si>
    <t>2472/17</t>
  </si>
  <si>
    <t>Provincial Councils (Special Provisions) — Notice under Section 255 (Gazette 2472/17)</t>
  </si>
  <si>
    <t>පළාත් සභා (විශේෂ විධිවිධාන) - 255 වැනි වගන්තිය යටතේ දැන්වීම</t>
  </si>
  <si>
    <t>மாகாண சபைகள் (விசேட ஏற்பாடுகள்) - 255 ஆம் பிரிவின் கீழ் அறிவித்தல்</t>
  </si>
  <si>
    <t>Provincial Councils notification under Sections 203 and 255 issued by the Western Provincial Council Chairman concerning local administrative matters. Dated 2026 January 20.</t>
  </si>
  <si>
    <t>m1/raw/2472_17.pdf</t>
  </si>
  <si>
    <t>IV ^w&amp; fldgi - Y%S ,xld m%cd;dka;%sl iudcjd§ ckrcfha w;s úfYI .eiÜ m;%h - 2026'01'20 1 A
gFjp IV (m) - ,yq;ifr; rdehaf Nrhryprf; FbauR tu;j;jkhdg; gj;;jpupif - mjp tpNr\khdJ - 2026.01.20
Y%S ,xld m%cd;dka;%sl iudcjd§ ckrcfha .eiÜ m;%h
w;s úfYI
,yq;ifr; rdehaf Nrhryprf; FbauR th;j;jkhdg; gj;jphpif
mjp tpNr\khdJ
wxl 2472$17 - 2026 ckjdß ui 20 jeks w`yyrejdod - 2026'01'20
2472/ 17 Mk; ,yf;fk; - 2026 Mk; Mz;L rdtup khjk; 20 Me; jpfjp nrt;tha;f;fpoik
(murhq;fj;jpd; mjpfhuj;Jld; gpuRupf;fg;gl;lJ)
gFjp IV(m) - khfhz rigfs;
khfhz rig mwptpj;jy;fs;
மம��ல்ல் ��ாாகாகாாாணண ��ாாகாகாாாணண சசபைபைைை
11999900 ஆஆம்ம் ஆஆண்ண்டிடின்ன் 1122 ஆஆம்ம் இஇலலக்க்காகா ��ாாகாகாாாணண சசபைபைைைகாகாள்ள் சசட்ட்டடத்த்திதிிின்ன் ((இஇபைபைடடமமேேர்ர் விவிிிபைபைைைவிவிாானன ஏஏற்ற்ைைாாடுடுகாகாள்ள்))
சசட்ட்டடத்த்திதிிின்ன் 22 ஆஆவிவிதுது ைைிிாாிிவுவுடடன்ன் விவிாாசசிிக்க்காகாப்ப்ைைடட மமவிவிண்ண்டிடியய 225555 ஆஆம்ம் அஅதிதிிிகாகாாாரர��ாானன ேேகாகாரர சசபைபைைைகாகாள்ள் காகாட்ட்டடபைபைைைச்ச்
சசட்ட்டடத்த்திதிிின்ன் 220033 ஆஆம்ம் ைைிிாாிிவிவிிின்ன் காகாீீழ்ழ் ைைிிறறப்ப்ைைிிக்க்காகாப்ப்ைைடுடும்ம் காகாட்ட்டடபைபைைை
ம�ல் �ாகாாணத்திின் ஆளுேர் ஹனீப் யூசுப் ஆகாிய ோன், 1989 ஆம் ஆண்டின் 12 ஆம் இலக்கா �ாகாாண சபைைகாள்
(இபைடமேர்விிபைைவிான ஏற்ைாடுகாள்) சட்டத்திின் 2 ஆம் ைிாிவுடன் விாசிக்காப்ைடமவிண்டிய 255 ஆம் அதிிகாார�ான ேகார சபைைகாள்
காட்டபைைச் சட்டத்திின் 203 ஆம் ைிாிவிின் காீழ் எனக்கு ஒப்ைபைடக்காப்ைட்ட அதிிகாாரங்காைின் ைிரகாாரம் ைின்விரும் காட்டபைைபைய
ைிறப்ைிப்ைதிாகா இங்கு அறிவிிக்காின்மறன்.
ஹனீப் யூசுப்,
ஆளுேர்,
ம�ல் �ாகாாணம்.
ம�ல் �ாகாாண சபைை காட்டடத் ததிாகுதிியில் அபை�ந்துள்ை,
ம�ல் �ாகாாண ஆளுேர் காாாியாலயம்,
ைத்திரமுல்ல,
2026 ஆம் ஆண்டு சனவிாி �ாதிம் 20 ஆம் திிகாதிி.
1A - PG 7483 — 04 (2026/01)
,t; mjp tpNrl tu;j;jkhdpia www.documents.gov.lk vd;Dk; ,izaj;jsj;jpypUe;J gjptpwf;fk; nra;a KbAk;.
2 A IV ^w&amp; fldgi - Y%S ,xld m%cd;dka;%sl iudcjd§ ckrcfha w;s úfYI .eiÜ m;%h - 2026'01'20
gFjp IV (m) - ,yq;ifr; rdehaf Nrhryprf; FbauR tu;j;jkhdg; gj;;jpupif - mjp tpNr\khdJ - 2026.01.20
மம��ற்ற்கூகூறறிியய காகாட்ட்டடபைபைைை
1. இந்திக் காட்டபைை தைாறலஸ்காமுவி ேகார சபைையின் 2026 ஆம் ஆண்டிற்கு உாிய விரவு தசலவுத் திிட்டம் ததிாடர்ைாகா
255 ஆம் அதிிகாார�ான ேகாரசபைைகாள் காட்டபைைச் சட்டத்திின் 178(1) உை ைிாிவு �ற்றும் 2012 ஆம் ஆண்டின் 21 ஆம்
இலக்கா உள்ளூராட்சி திாைனங்காள் (விிமசட ஏற்ைாடுகாள்) சட்டத்திினால் திிருத்திப்ைட்ட ம�ற்கூறிய ேகார சபைைகாள்
காட்டபைைச் சட்டத்திின் 178 அ ைிாிவிில் குறிப்ைிடப்ைடும் சட்ட ஏற்ைாடுகாபைை பூர்த்திி தசய்விதிற்காான காால ேீடிப்பைை
ேபைடமுபைறப்ைடுத்துவிதிற்காாகா இந்தி காட்டபைை ைிறப்ைிக்காப்ைடுகாின்றது.
2. 255 ஆம் அதிிகாார�ான ேகார சபைைகாள் காட்டபைைச் சட்டத்திின் 178 (1) உை ைிாிவிின் காீழ் �ற்றும் 2012 ஆம் ஆண்டின்
21 ஆம் இலக்கா உள்ளூராட்சி திாைனங்காள் (விிமசட ஏற்ைாடுகாள்) சட்டத்திினால் திிருத்திப்ைட்ட ம�ற்கூறிய ேகார சபைைகாள்
காட்டபைைச் சட்டத்திின் 178 அ ைிாிவிின் காீழ் குறிப்ைிடப்ைடும் ஏற்ைாடுகாளுக்கு இணங்கா தைாறலஸ்காமுவி ேகார சபைைக்காாகா
2026 ஆம் ஆண்டுக்குாிய விரவுதசலவுத் திிட்டம் ததிாடர்ைான ஒழுங்கு விிதிிகாபைை காபைடப்ைிடிப்ைதிற்காாகா 2026.01.30
ஆந் திிகாதிி விபைர காால ேீடிப்பைை ஏற்ைடுத்திிக் தகாாடுக்கு�ாறு தைாறஸ்காமுவி ேகார சபைையினால் 2026.01.20 ஆந் திிகாதிி
திீர்�ானிக்காப்ைட்டு அதிற்குாிய மவிண்டுமகாாள் விிடுக்காப்ைட்டுள்ைைடியாலும்,
3. இது ததிாடர்ைாகா ம�ல் �ாகாாணத்திின் உள்ளூராட்சி ஆபைணயாைர் மூலம் விிடயங்காபைை ஆராய்ந்தி ைின்னர்
தைாறலஸ்காமுவி ேகார சபைையின் அதிிகாாரம் �ற்றும் தசயற்ைாடுகாபைை தசயற்ைடுத்துவிதிற்காாகா உாிய விரவு தசலவுத் திிட்டம்
ததிாடர்ைான சட்டாீதிியான ேபைடமுபைறபைய பூரணப்ைடுத்துவிதிற்காாகா காால ேீடிப்பைை ம�ற்தகாாள்ை மவிண்டிய அடிப்ைபைடத்
மதிபைவி எழுந்துள்ைதிாகா விிடயங்காபைை முன்பைவித்துள்ை ைடியாலும், 2026 ஆம் ஆண்டுக்குாிய தைாறலஸ்காமுவி ேகார
சபைையின் விரவு தசலவுத் திிட்டம் ததிாடர்ைாகா ம�ற்கூறிய ைிாிவிின் காீம�யான ஒழுங்கு விிதிிகாபைை பூரணப்ைடுத்துவிதிற்காாகா
2026, சனவிாி �ாதிம் 30 ஆந் திிகாதிி விபைர காாலத்திிபைன ேீடிப்ைதிாகா இதின் மூலம் காட்டபைையிடுகாின்மறன்.
EOG 01 - 0215
,yq;if murhq;f mr;Rj; jpizf;fsj;jpw; gjpg;gpf;fg;ngw;wJ.</t>
  </si>
  <si>
    <t>685ecb96-0833-40f8-8b06-25721741eaa5</t>
  </si>
  <si>
    <t>2472_18</t>
  </si>
  <si>
    <t>2472/18</t>
  </si>
  <si>
    <t>Land Acquisition Act (Chapter 460) — Notice under Section 4(4) and Description under Section 17(3)(b)(i) — Kelaniya Divisional Secretariat (Gazette 2472/18)</t>
  </si>
  <si>
    <t>ඉඩම් අත්පත් කරගැනීමේ පනත (460 අධිකාරය) - 4(4) වගන්තිය යටතේ දැන්වීම සහ 17(3)(බී)(i) යටතේ විස්තරය - කැලණිය ප්‍රාදේශීය ලේකම්</t>
  </si>
  <si>
    <t>காணி எடுத்தற் சட்டம் (460 ஆம் அத்தியாயம்) - 4(4) ஆம் பிரிவின் கீழ் அறிவித்தல் மற்றும் 17(3)(ஆ)(i) ஆம் பிரிவின் கீழ் விவரம் - களனி பிரதேச செயலகம்</t>
  </si>
  <si>
    <t>Notice under Section 4(4) of the Land Acquisition Act (Chapter 460), Notice No. 19, with description per Section 17(3)(b)(i) of Land Acquisition Act No. 21 of 1996. Signed by W. Niluksha Premachandra, Divisional Secretary, Kelaniya. Part III — Lands.</t>
  </si>
  <si>
    <t>m1/raw/2472_18.pdf</t>
  </si>
  <si>
    <t>ශ්‍රී ලංකා ප්‍රජාාාා්ත්‍රික සමාජාවාදී ජානරජායේ ගැසට් පත්‍රය
අති විශෙෂ
The Gazette of the Democratic Socialist Republic of Sri Lanka
EXTRAORDINARY
අංක 2472/18 - 2026 ජනවාරි මස 20 වැනි අඟහරුවාදා - 2026.01.20
No. 2472/18 – TUESDAY, JANUARY 20, 2026 - 20.01.2026
(Published by Authority)
PART III — LANDS
Land Acquisition Notices
THE LAND ACQUISITION ACT (CHAPTER 460) All persons who claim ownership, interest or any other
connection to the aforesaid land are hereby required to
Notice under Section 7 appear personally, or by agents duly authorized in
writing, before me on the 11th March, 2026 at 10.00 a.m.
My No.: DNK/LND1/DEACQ/12/20. at the Divisional Secretariat, Dankotuwa.
Ministry of Land Ref. No.: 03J/88/E/22.
I hereby give notice, under Sub-section (1) of Section 7 Further, you are hereby requested to notify me in
of the Land Acquisition Act, as amended by the Land writing in duplicate before the 04th March, 2026, the
Acquisition (Amendment) Act, No. 28 of 1964, that the nature of their interests in the land, the particulars of their
Government indents to acquire the land/servitudes which claims for compensation for the acquisition of the said
is required for a public purpose : land/servitude, the amount of compensation and the
details of the computation of such amount.
Description of the land intended to be acquired :
All that allotment of land called “Kosgahawatta”, in
total extent of about 0.6750 hectare, depicted as Lot No. fg W. Nilanthi Priyadarshani,
01 in the preliminary plan No. PU/DAN/2000/198 dated Divisional Secretary (D.C.)
14/03/2001 of the Surveyor General, situated at the Dankotuwa.
Village of Dankotuwa, in the Divisional Secretary’s
Division of Dankotuwa, in Puttalam District, North
Western Province and bounded as follows: Divisional Secretariat, Dankotuwa,
16th January, 2026.
01. Lot No. 01
Name of the Land: Kosgahawatta; Claimant: Bishop of EOG 01 - 00206
Chilaw Diocese; Extent: 0.6750 Hectare.
1A - G 046144 - 13 (01/2026) PRINTED AT THE DEPARTMENT OF GOVERNMENT PRINTING, SRI LANKA.
This Gazette Extraordinary can be downloaded from www.documents.gov.lk</t>
  </si>
  <si>
    <t>67f5ad3e-9ba6-49f8-8983-1052f6f82428</t>
  </si>
  <si>
    <t>2472_19</t>
  </si>
  <si>
    <t>2472/19</t>
  </si>
  <si>
    <t>Provincial Councils Act, No. 42 of 1987 — Appointment under Section 32(1) (Gazette 2472/19)</t>
  </si>
  <si>
    <t>m1/raw/2472_19.pdf</t>
  </si>
  <si>
    <t>Y%S ,xld m%cd;dka;%sl iudcjd§ ckrcfha .eiÜ m;%h
w;s úfYI
,yq;ifr; rdehaf Nrhryprf; FbauR th;j;jkhdg; gj;jphpif
mjp tpNr\khdJ
අංඅංංංකක 22447722//1199 -- 22002266 ජජනනවාවාාාරිරි මමසස 2211 වාවාැැනිනි බබදාදාාාදාදාාා -- 22002266..0011..2211
2472/19 ஆம் இலக்கம் - 2026 ஆம் ஆண்டு சனவரிி மாரிதம் 21 ஆந் திகதி புதன்கிழமைமா
(murhq;fj;jpd; mjpfhuj;Jld; gpuRupf;fg;gl;lJ)
gFjp IV(M) - cs;~uhl;rp
உஉள்ள்ளூளூர்ர் அஅததிிககரிரிரர சசமைமைைைககள்ள் தேதேததர்ர்ததல்ல்ககள்ள் ககட்ட்டடமைமைைைச்ச் சசட்ட்டட அஅறிறிிிவவிித்த்ததல்ல்ககள்ள்
((226622 ஆஆம்ம் அஅத்த்ததிியாயாரிரியாயாம்ம்)) உஉள்ள்ளூளூர்ர் அஅததிிககரிரிரர சசமைமைைைககள்ள் தேதேததர்ர்ததல்ல்ககள்ள் ககட்ட்டடமைமைைைச்ச் சசட்ட்டடத்த்ததிின்ன் 6666அஅ((11))((அஅ)) எஎன்ன்னுனும்ம்
ைைிிரிரிிிவவிின்ன் ககீீழ்ழ் ககரரந்ந்தெதெததணிணிிியாயா ைைிிரரதேதேததசச சசமைமைைை உஉறுறுப்ப்ைைிினனர்ர் ஒஒருருவவரிரிிின்ன் ைைததவவிியாயாிிலலரிரினன தெதெவவற்ற்றிறிிிடடத்த்மைமைதத நிநிிிரரப்ப்புபுததல்ல்
ககரரந்ந்தெதெததணிணிிியாயா ைைிிரரதேதேததசச சசமைமைைை உஉறுறுப்ப்ைைிினனர்ர் ஒஒருருவவரிரிிின்ன் ைைததவவிி தேதேககட்ட்டுடு வவிிலலககிியாயாமைமைமாமா ககரிரிரரணிணிமாமாரிரிகக தெதெவவற்ற்றிறிிிடடமாமாரிரியாயாிிருருக்க்ககிின்ன்றிறிததரிரிததலலரிரிலுலும்ம்;;
தேதேமாமாற்ற்குகுறிறிிித்த்தத ககட்ட்டடமைமைைைச்ச் சசட்ட்டடத்த்ததிின்ன் 6666அஅ((11))((அஅ)) ஆஆம்ம் ைைிிரிரிிிவவிின்ன் ககீீழ்ழ்,, க கரரந்ந்தெதெததணிணிிியாயா ைைிிரரதேதேததசச சசமைமைைையாயாிின்ன் இஇலல.. 0099 -- தெதெைைரிரிரரககந்ந்தத
வவட்ட்டடரிரிரரத்த்ததிிற்ற்குகு தெதெததரிரிிிவுவு தெதெசசய்ய்யாயாப்ப்ைைட்ட்டட மாமாஹஹதுதுரரதேதேகக சுசுதேதேரரஷ்ஷ் மாமாதுதுசசங்ங்கக எஎன்ன்ைைவவர்ர் அஅங்ங்ககம்ம் வவககிிக்க்ககிின்ன்றிறி தேதேததசசிியாயா மாமாக்க்ககள்ள் சசக்க்ததிி எஎன்ன்றிறி
அஅங்ங்ககீீககரிரிிிக்க்ககப்ப்ைைட்ட்டட அஅரரசசிியாயால்ல் ககட்ட்சசிியாயாிின்ன் தெதெசசயாயாலலரிரிைைர்ர் முமுப்ப்ைைதுது ((3300)) நிநிரிரிட்ட் ககரிரிலலக்க்தெதெககடுடுவுவுக்க்குகுள்ள் உஉள்ள்ளூளூர்ர் அஅததிிககரிரிரர சசமைமைைைககள்ள் தேதேததர்ர்ததல்ல்ககள்ள்
ககட்ட்டடமைமைைைச்ச் சசட்ட்டடத்த்ததிின்ன் ((226622 ஆஆம்ம் அஅத்த்ததிியாயாரிரியாயாம்ம்)) 99 ஆஆம்ம் ைைிிரிரிிிவவிின்ன் ககீீழ்ழ் ததமைமைககமைமைமாமாயுயுமைமைடடயாயா தேதேவவட்ட்ைைரிரிைைதெதெரரரிரிருருவவரரரிரிகக,, உஉறுறுப்ப்ைைிினனதெதெரரரிரிருருவவரரரிரிகக
தேதேததர்ர்ந்ந்தெதெததடுடுக்க்ககப்ப்ைைட்ட்டடவவதெதெரரனன தெதெவவைைிிப்ப்ைைடுடுத்த்ததப்ப்ைைடட தேதேவவண்ண்டிடியாயாவவருரும்ம் அஅக்க்ககட்ட்சசிிமைமையாயாச்ச் தேதேசசர்ர்ந்ந்ததவவருருமாமாரிரினன க கரரந்ந்தெதெததணிணிிியாயா ைைிிரரதேதேததசச சசமைமைைை
இஇலல.. 0099 -- தெதெைைரிரிரரககந்ந்தத வவட்ட்டடரிரிரரத்த்ததிின்ன் உஉறுறுப்ப்ைைிினனர்ர் தெதெததரிரிடடர்ர்ைைரிரிகக ததீீர்ர்மாமாரிரினனிிக்க்குகுமாமாரிரிறுறு எஎன்ன்னனரிரில்ல் ைைணிணிிிக்க்ககப்ப்ைைட்ட்டுடுள்ள்ைைரிரிரரரிரிததலலரிரிலுலும்ம் ;;
தேதேமாமாதேதேலல கூகூறிறிப்ப்ைைட்ட்டட அஅங்ங்ககீீககரிரிிிக்க்ககப்ப்ைைட்ட்டட அஅரரசசிியாயால்ல் ககட்ட்சசிியாயாிின்ன் தெதெசசயாயாலலரிரிைைரிரிிினனரிரில்ல் அஅவ்வ்தெதெவவற்ற்றிறிிிடடத்த்மைமைதத நிநிிிரரப்ப்புபுவவததற்ற்ககரிரிகக தெதெததரிரிச்ச்சச
தேதேஹஹவவதேதேகக ததம்ம்மாமாிிகக எஎன்ன்ைைவவமைமைரரப்ப் தெதெைையாயார்ர் குகுறிறிிித்த்துது நிநிிியாயாமாமாிிக்க்குகும்ம் ததமாமாதுது முமுடிடிவவிிமைமைனன அஅறிறிிிவவிித்த்துதுள்ள்ைைரிரிரரரிரிததலலரிரிலுலும்ம் ;;
ககரரந்ந்தெதெததணிணிிியாயா ைைிிரரதேதேததசச சசமைமைைையாயாிின்ன் தெதெததரிரிிிவவத்த்ததரிரிட்ட்சசிி அஅலுலுவவலலரரரிரினன தேதேவவதெதெவவல்ல்வவலல தேதேஹஹவவதேதேகக ரரவீவீந்ந்ரர வவிிஜஜயாயா குகுமாமாரிரிரர ஆஆககிியாயா நிநிரிரின்ன்,,
உஉள்ள்ளூளூர்ர் அஅததிிககரிரிரர சசமைமைைைககள்ள் தேதேததர்ர்ததல்ல்ககள்ள் ககட்ட்டடமைமைைைச்ச் சசட்ட்டடத்த்ததிின்ன் ((226622 ஆஆம்ம் அஅத்த்ததிியாயாரிரியாயாமாமாரிரினன)) 6666அஅ((11))((அஅ)) எஎன்ன்னுனும்ம் ைைிிரிரிிிவவிின்ன்
நிநிிியாயாததிிககைைிின்ன்ைைடிடி தெதெசசயாயாற்ற்ைைட்ட்டுடு தெதெததரிரிச்ச்சச தேதேஹஹவவதேதேகக ததம்ம்மாமாிிகக எஎன்ன்ைைவவர்ர் கக ரரந்ந்தெதெததணிணிிியாயா ைைிிரரதேதேததசச சசமைமைைையாயாிின்ன் இஇலல.. 0099 -- தெதெைைரிரிரரககந்ந்தத வவட்ட்டடரிரிரரத்த்ததிின்ன்
உஉறுறுப்ப்ைைிினனர்ர் ஒஒருருவவரரரிரிககத்த் தேதேததர்ர்ந்ந்தெதெததடுடுக்க்ககப்ப்ைைட்ட்டுடுள்ள்ைைததரிரிகக இஇத்த்ததரிரில்ல் தெதெவவைைிிப்ப்ைைடுடுத்த்துதுககிின்ன்தேதேறிறின்ன்..
டடப்ப்ைைிியூயூ.. எஎச்ச்.. ஆஆர்ர்.. வவிிஜஜயாயாகுகுமாமாரிரிரர,,
தெதெததரிரிிிவவத்த்ததரிரிட்ட்சசிி அஅலுலுவவலலர்ர் ,,
ககரரந்ந்தெதெததணிணிிியாயா ைைிிரரதேதேததசச சசமைமைைை..
மாமாரிரிவவட்ட்டடத்த் தேதேததர்ர்ததல்ல்ககள்ள் அஅலுலுவவலலககம்ம்,,
ககரிரிலிலி,,
22002266,, சசனனவவரிரிிி 2211 ஆஆம்ம் ததிிககததிி..
EEOOGG 0011 -- 00221188
1A - PG 7484 — 08 (2026/01) ,yq;if murhq;f mr;Rj; jpizf;fsj;jpw; gjpg;gpf;fg;ngw;wJ.
,t; mjptpNrl tu;j;jkhdpia www.documents.gov.lk vDk; ,izaj;jsj;jpypUe;J gjptpwf;fk; nra;a KbAk;.</t>
  </si>
  <si>
    <t>1fcada7a-d660-4910-802a-fa2e1a503af6</t>
  </si>
  <si>
    <t>2472_20</t>
  </si>
  <si>
    <t>2472/20</t>
  </si>
  <si>
    <t>Title Registration Act, No. 21 of 1998, Section 14 — Commissioner of Title Settlement decision (Gazette 2472/20)</t>
  </si>
  <si>
    <t>Commissioner of Title Settlement's decision under Section 14 of the Title Registration Act No. 21 of 1998. Part III — Lands. Land parcel No. 1 of Block 7 in Cadastral Map No. 511010 at Karandivila village, Gampaha District, Western Province. References Gazette 2358/42 of 28 May 2025.</t>
  </si>
  <si>
    <t>m1/raw/2472_20.pdf</t>
  </si>
  <si>
    <t>ශ්‍රී ඼ංකා ප්‍රජාාාා්ත්‍රික වමාජාලාදී ජානරජායේ ගැවට් පත්‍රය
The Gazette of the Democratic Socialist Republic of Sri Lanka
අති විශෙෂ EXTRAORDINARY
අංක 2472/20 - 2026 ජනවාරි මස 21 වැනි බදාදා - 2026.01.21
No. 2472/20 – WEDNESDAY, JANUARY 21,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1:161 of Block 1,
contained in the Cadastral Map No. 511010, situated in the Village of Kirindiwela, within the Grama Niladhari Division of No. 385
Kirindiwela in the Divisional Secretary's Division of Dompe, in the District of Gampaha, in the Province of Western, referred to in
Notice calling for claims to land parcels which was duly published in the Gazette No. 2438/42 of 28th May, 2025 in terms of Section 55
of the Registration of Title Act, No.21 of 1998.
P.C.D. Sigera,
Commissioner General of Land Title Settlement.
Land Title Settlement Department,
No. 1200/6, “Mihikatha Medura”,
Rajamalwatta Road,
Battaramulla.
27th November, 2025
1A - G 046145 - 03 (01/2026)
N.B.– This Gazette Extraordinary can be downloaded from www.documents.gov.lk
2 A III යකොටව - ශ්‍රී ඼ංකා ප්‍රජාාාා්ත්‍රික වමාජාලාදී ජානරජායේ ි ව ශෙය඾඿ ගැවට් පත්‍රය - 2026.01.21
Part III – GAZETTE EXTRA ORDINARY OF THE DEMOCRATIC SOCIALIST REPUBLIC OF SRI LANKA – 21.01.2026
SCHEDULE
Particulars Particulars
Class and regarding if
National Extent Nature Mortgages subject
Parcel Extent Full Name/s of Owner/s Identity Owned of Encumbrances to any
No. and Address Card No. Title pending form of
Adjudication special or
and personal
Injunction law
(Hectare)
1:161 0.0381 Ranasinghage Thiwanthi Nisansala 938291616V Full 1st Class With the right –
Karunarathna to access with
No. 27/P/2, Nugahenawaththa, servitude of
Kirindiwela parcel Nos. 156
and 162
EOG 01 - 0207/1
________________________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1:83 of Block 1,
contained in the Cadastral Map No. 511010, situated in the Village of Kirindiwela, within the Grama Niladhari Division of No. 385
Kirindiwela in the Divisional Secretary's Division of Dompe, in the District of Gampaha, in the Province of Western, referred to in
Notice calling for claims to land parcels which was duly published in the Gazette No. 2450/04 of 18th August, 2025 in terms of Section
55 of the Registration of Title Act, No.21 of 1998.
P.C.D. Sigera,
Commissioner General of Land Title Settlement.
Land Title Settlement Department,
No. 1200/6, “Mihikatha Medura”,
Rajamalwatta Road,
Battaramulla.
27th November, 2025
SCHEDULE
Particulars Particulars
Class and regarding if
National Extent Nature Mortgages subject
Parcel Extent Full Name/s of Owner/s Identity Owned of Encumbrances to any
No. and Address Card No. Title pending form of
Adjudication special or
and personal
Injunction law
(Hectare)
1:83 0.0203 Thumbovilage Dumindu Praneeth 960720027V Full 1st Class Subject to the –
No. 85, Colombo Road, life interest of
Kirindiwela Princy Ariyamala
Hettiarachchi
EOG 01 - 0207/2
PRINTED AT THE DEPARTMENT OF GOVERNMENT PRINTING, SRI LANKA.</t>
  </si>
  <si>
    <t>de823dee-d378-4b12-83db-9a7869cc8984</t>
  </si>
  <si>
    <t>2472_21</t>
  </si>
  <si>
    <t>2472/21</t>
  </si>
  <si>
    <t>Parliamentary Elections Act, No. 1 of 1981 — Election Commission direction (Gazette 2472/21)</t>
  </si>
  <si>
    <t>1981 අංක 1 දරන පාර්ලිමේන්තු මැතිවරණ පනත - මැතිවරණ කොමිෂන් සභා නියම</t>
  </si>
  <si>
    <t>1981 ஆம் ஆண்டின் 1 ஆம் இலக்க பாராளுமன்றத் தேர்தல்கள் சட்டம் - தேர்தல்கள் ஆணைக்குழுவின் பணிப்புரை</t>
  </si>
  <si>
    <t>Direction issued under Section 8(9) of the Parliamentary Elections Act, No. 1 of 1981 by the Election Commission covering recognised political party requirements, voting, or candidate qualifications.</t>
  </si>
  <si>
    <t>m1/raw/2472_21.pdf</t>
  </si>
  <si>
    <t>48ccc66f-4737-4f79-b549-56d422b00e81</t>
  </si>
  <si>
    <t>2472_22</t>
  </si>
  <si>
    <t>2472/22</t>
  </si>
  <si>
    <t>Land Acquisition Act (Chapter 460), Section 5 — Notice of Intended Acquisition (Gazette 2472/22)</t>
  </si>
  <si>
    <t>m1/raw/2472_22.pdf</t>
  </si>
  <si>
    <t>Y%S ,xld m%cd;dka;%sl iudcjd§ ckrcfha .eiÜ m;%h
w;s úfYI
,yq;ifr; rdehaf Nrhryprf; FbauR th;j;jkhdg; gj;jphpif
mjp tpNr\khdJ
wxl 2472/22 - 2026 ckjdß ui 21 jeks nodod - 2026'01'21
2472/ 22 Mk; ,yf;fk; - 2026 Mk; Mz;L rdtup khjk; 21 Me; jpfjp Gjd;fpoik
(murhq;fj;jpd; mjpfhuj;Jld; gpuRupf;fg;gl;lJ)
gFjp I : njhFjp (I) - nghJ
murhq;f mwptpj;jy;fs;
11996688 ஆஆம்ம் ஆஆண்ண்டிடின்ன் 3322 ஆஆம்ம் இஇலலக்க்கக,, ஆஆட்ட்ககளைளைைைப்ப் பபதிதிிிவுவுசெசெெெய்ய்திதில்ல் ெெட்ட்டடம்ம்
34 ஆம் பிரிிவிின் கீழாரின கட்டளைை
2016 ஆம் ஆண்டின் 8 ஆம் இலக்க, ஆட்களைைப் பதிிவுசெெய்தில் (திிருத்திச்) ெட்டத்திின் பிரிிவு 34 இன் கீழ் எனக்கு விழாங்கப்பட்ட
அதிிகரிரங்கைின் அடிப்பளைடயிில், இலங்ளைகச் ெனநாரியிக செரிெலிெக் குடியிரெின் டிஜிிட்டல் செபரிருைரிதிரிர அளைைச்ெர் அனுர
குைரிர திிெரிநாரியிக்க ஆகியி நாரின், சதிளைவியிரின உற்கட்டளைைப்பு, ஒழுங்குவிிதிிகள் ைற்றும் செதிரிழாில்நுட்ப நாளைடமுளைைகள்
தியிரிரிிக்கப்படும் விளைர, 1968 ஆம் ஆண்டின் 32 ஆம் இலக்க, ஆட்களைைப் பதிிவுசெெய்தில் ெட்டத்திின் பிரிிவு 6, 9,14,16 ைற்றும் 17
இன் ஏற்பரிடுகள் ைற்றும் அந்திச் ெட்டத்திின் கீழ் பிைப்பிக்கப்பட்ட ஒவ்செவிரிரு கட்டளைையும் (1990 நாசெவிம்பர் 20 ஆம் திிகதிியி 637/6
ஆம் இலக்க அதிிவிிசெட விர்த்திைரினியிில் செவிைியிிடப்பட்ட 1990ஆம் ஆண்டின் ஆட்களைைப் பதிிவுசெெய்தில் கட்டளைைகள் திவிிர,)
நாளைடமுளைைப்படுத்திப்படும் இறுதிிக் கரிலஎல்ளைல செதிரிடர்பரிக, 2016 ஆம் ஆண்டு ஓகத்து ைரிதிம் 11 ஆம் திிகதிியி 1979/40 ஆம்
இலக்க அதிிவிிசெட விர்த்திைரினியிில் செவிைியிிடப்பட்ட முடிவுறுளைகத் திிகதிிளையி, 2026.12.31 ஆம் திிகதிியிரிக இக்கட்டளைை மூலம்
ைரிற்றுகின்சைன்.
அஅனுனுரர குகுைைரிரிரர திதிிிெெரிரிநாநாரிரியியிக்க்கக,,
ெனரிதிிபதிி ைற்றும் டிஜிிட்டல் செபரிருைரிதிரிர அளைைச்ெர்.
2026, ெனவிரிி 18.
EOG 01 - 0219
1A - G 46154 — 04 (2026/01) ,yq;if murhq;f mr;Rj; jpizf;fsj;jpw; gjpg;gpf;fg;ngw;wJ.
,t; mjptpNrl tu;j;jkhdpia www.documents.gov.lk vDk; ,izaj;jsj;jpypUe;J gjptpwf;fk; nra;a KbAk;.</t>
  </si>
  <si>
    <t>18996109-0525-4792-9103-57f1a778225e</t>
  </si>
  <si>
    <t>2472_23</t>
  </si>
  <si>
    <t>2472/23</t>
  </si>
  <si>
    <t>Title Registration Act, No. 21 of 1998, Section 14 — Commissioner of Title Settlement decision (Gazette 2472/23)</t>
  </si>
  <si>
    <t>Commissioner of Title Settlement's decision under Section 14 of the Title Registration Act No. 21 of 1998. Part III — Lands. Land in Block 01 of Cadastral Map 320259, Niladhari Division of Dohegolla, references Gazette 2364/10 of 27 December 2023.</t>
  </si>
  <si>
    <t>m1/raw/2472_23.pdf</t>
  </si>
  <si>
    <t>ශ්‍රී ඼ංකා ප්‍රජාාාා්ත්‍රික වමාජාලාදී ජානරජායේ ගැවට් පත්‍රය
The Gazette of the Democratic Socialist Republic of Sri Lanka
අති විශෙෂ EXTRAORDINARY
අංක 2472/23 - 2026 ජනවාරි මස 21 වැනි බදාදා - 2026.01.21
No. 2472/23 – WEDNESDAY, JANUARY 21,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3:1,3:2,3:3,3:4,3:5,3:6,3:7 &amp; 3:8 of Block 01, contained in the Cadastral Map No. 320259, situated in the Village of Dobagolla, within
the Grama Niladhari Division of 52 Eladetta East in the Divisional Secretary's Division of Udunuwara, in the District of Kandy, in the
Province of Central, referred to in Notice calling for claims to land parcels which was duly published in the Gazette No. 2364/10 of
27th December, 2023 in terms of Section 55 of the Registration of Title Act, No.21 of 1998.
P.C.D. Sigera,
Commissioner General of Land Title Settlement.
Land Title Settlement Department,
No. 1200/6, “Mihikatha Medura”,
Rajamalwatta Road,
Battaramulla.
06th November, 2025
1A - G 046146 - 03 (01/2026)
N.B.– This Gazette Extraordinary can be downloaded from www.documents.gov.lk
2 A III යකොටව - ශ්‍රී ඼ංකා ප්‍රජාාාා්ත්‍රික වමාජාලාදී ජානරජායේ ි ව ශෙය඾඿ ගැවට් පත්‍රය - 2026.01.21
Part III – GAZETTE EXTRA ORDINARY OF THE DEMOCRATIC SOCIALIST REPUBLIC OF SRI LANKA – 21.01.2026
SCHEDULE
Particulars Particulars
Class and regarding if
National Extent Nature Mortgages subject
Parcel Extent Full Name/s of Owner/s Identity Owned of Encumbrances to any
No. and Address Card No. Title pending form of
Adjudication special or
and personal
Injunction law
(Hectare)
3:1 0.0859 Jeinudeen Jeseema Bibi 736272172V Full 1st Class
No.83/C, Petiyagoda,
Murutagahamula.
3:2 0.0810 Jeinudeen Muhammadu Ashwar 800053439V Full 1st Class
No.8/2, Dobagolla,
Murutagahamula.
3:3 0.0815 Jeinudeen Muhammadu Faizer 761421972V Full 1st Class
No.8/2, Dobagolla,
Murutagahamula.
3:4 0.0809 Jeinudeen Sitti Fariha Bibi 548203090V Full 1st Class
No.16/3, Elamaldeniya,
Murutagahamula.
3:5 0.0809 Jeinudeen Mahammadu Fais 197009303806 Full 1st Class
No.8/1, Dobagolla,
Murutagahamula.
3:6 0.0513 Jeinudeen Mohammadu Faruk 580923402V Full 1st Class
No.7/1, Dobagolla,
Murutagahamula.
3:7 0.0254 Jeinudeen Ismatul Fawsiya 666113730V Full 1st Class
No.8, Dobagolla,
Murutagahamula.
3:8 0.0568 1.Jeinudeen Jeseema Bibi 736272172V Full 1st Class
No.83/C, Petiyagoda,
Murutagahamula.
2.Jeinudeen Muhammadu Ashwar 800053439V
No.8/2, Dobagolla,
Murutagahamula.
3.Jeinudeen Muhammadu Faizer 761421972V
No.8/2, Dobagolla,
Murutagahamula
4.Jeinudeen Sitti Fariha Bibi 548203090V
No.16/3, Elamaldeniya,
Murutagahamula
5.Jeinudeen Mahammadu Fais 197009303806
No.8/1, Dobagolla,
Murutagahamula
6.Jeinudeen Mohammadu Faruk 580923402V
No.7/1, Dobagolla,
Murutagahamula
7.Jeinudeen Ismatul Fawsiya 666113730V
No.8, Dobagolla,
Murutagahamula
EOG 01 - 0208/1
III යකොටව - ශ්‍රී ඼ංකා ප්‍රජාාාා්ත්‍රික වමාජාලාදී ජානරජායේ ි ව ශෙය඾඿ ගැවට් පත්‍රය - 2026.01.21 3 A
Part III – GAZETTE EXTRA ORDINARY OF THE DEMOCRATIC SOCIALIST REPUBLIC OF SRI LANKA – 21.01.2026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106 of Block 01,
contained in the Cadastral Map No. 320259, situated in the Village of Dodamgolla, within the Grama Niladhari Division of 52 Eladetta
East in the Divisional Secretary's Division of Udunuwara, in the District of Kandy, in the Province of Central, referred to in Notice
calling for claims to land parcels which was duly published in the Gazette No. 2374/44 of 09th March, 2024 in terms of Section 55 of
the Registration of Title Act, No.21 of 1998.
P.C.D. Sigera,
Commissioner General of Land Title Settlement.
Land Title Settlement Department,
No. 1200/6, “Mihikatha Medura”,
Rajamalwatta Road,
Battaramulla.
06th November, 2025
SCHEDULE
Particulars Particulars
Class and regarding if
National Extent Nature Mortgages subject
Parcel Extent Full Name/s of Owner/s Identity Owned of Encumbrances to any
No. and Address Card No. Title pending form of
Adjudication special or
and personal
Injunction law
(Hectare)
106 0.2263 Mohomad fawus Fasal Mohomad 199134703760 Full 1st Class
No.164/1/1, Bandaranayake Mawatha,
Colombo.
EOG 01 - 0208/2
PRINTED AT THE DEPARTMENT OF GOVERNMENT PRINTING, SRI LANKA.</t>
  </si>
  <si>
    <t>f15b4638-f50c-4353-a013-14b75ef00ee5</t>
  </si>
  <si>
    <t>2472_24</t>
  </si>
  <si>
    <t>2472/24</t>
  </si>
  <si>
    <t>Sri Lanka Electricity Act, No. 20 of 2009 — Electricity notice (Gazette 2472/24)</t>
  </si>
  <si>
    <t>2009 අංක 20 දරන ශ්‍රී ලංකා විදුලිය පනත - විදුලි අංශ දැන්වීම</t>
  </si>
  <si>
    <t>2009 ஆம் ஆண்டின் 20 ஆம் இலக்க இலங்கை மின்சார சட்டம் - மின்சாரம் தொடர்பான அறிவித்தல்</t>
  </si>
  <si>
    <t>Notice under Section 30 / 53 of the Sri Lanka Electricity Act, No. 20 of 2009 covering tariffs, licensing, or sector regulation of the electricity industry.</t>
  </si>
  <si>
    <t>Sri Lanka Electricity Act, No. 20 of 2009</t>
  </si>
  <si>
    <t>m1/raw/2472_24.pdf</t>
  </si>
  <si>
    <t>c2adbb63-99d4-4bf1-a67f-3523c538353c</t>
  </si>
  <si>
    <t>2472_25</t>
  </si>
  <si>
    <t>2472/25</t>
  </si>
  <si>
    <t>Title Registration Act, No. 21 of 1998, Section 14 — Commissioner of Title Settlement decision (Gazette 2472/25)</t>
  </si>
  <si>
    <t>Commissioner of Title Settlement's decision under Section 14 of the Title Registration Act No. 21 of 1998. Part III — Lands. Land in Block 02 of Cadastral Map 320332, Niladhari Division of Hugaila, references Gazette 2249/19 of 11 January 2024.</t>
  </si>
  <si>
    <t>m1/raw/2472_25.pdf</t>
  </si>
  <si>
    <t>ශී ලංකා පජාතාන්තික සමාජවාදී ජනරජෙය් ගැසට් පතය
අති විෙශෂ
අංක 2472/25 - 2026 ජනවාරි මස 21 වැනි බදාදා - 2026.01.21
(රජෙය් බලයපිට පසිද්ධ කරන ලදී)
III වැනි ෙකොටස - ඉඩම්
හිමිකම් ලියාපදිංචි කිරීම
1998 අංක 21 දරන හිමිකම් ලියාපදිංචි කිරීෙම් පනත
14 වැනි වගන්තිය යටෙත් හිමිකම් නිරවුල් කිරීෙම් ෙකොමසාරිස්ෙග් තීරණ පකාශය
මධ්‍යම පළාෙත් මහනුවර දිස්තික්කෙය් හාරිස්පත්තුව පාෙද්ශීය ෙල්කම් ෙකොට්ඨාසෙය් අංක 569 විගුහුම්ෙපොල ගාම නිලධාරි ෙකොට්ඨාසය තුළ
විගුහුම්ෙපොල නමැති ගෙම් පිහිටියා වූ ද, අංක 320332 දරන කැඩැස්තර සිතියෙම් කලාප අංක 02 හි කැබලි අංක 72 සහ 73 දරන ඉඩම් ෙකොටස්
ෙලස ෙපන්නුම් ෙකොට ඇත්තා වූ ද, හිමිකම් පෑම් ඉදිරිපත් කරන ෙලස දැනුම් ෙදමින් 1998 අංක 21 දරන හිමිකම් ලියාපදිංචි කිරීෙම් පනෙත් 55 වැනි
වගන්තිය පකාර 2024.11.10 වැනි දින අංක 2409/58 දරන ගැසට් පතෙය් යථා පරිදි පළකරන ලද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ෙදසැම්බර් මස 19 වැනි දින,
බත්තරමුල්ල,
රජමල්වත්ත පාර,
"මිහිකත මැදුර", අංක 1200/6,
ඉඩම් හිමිකම් නිරවුල් කිරීෙම් ෙදපාර්තෙම්න්තුෙව් දී ය.
1A - G 046147 - 03 (2026/01)
සැ.යු.- ෙමම අති විෙශෂ ගැසට් පතය www.documents.gov.lk ෙවබ් අඩවිෙයන් බාගත කළ හැක.
2 A III ෙකොටස - ශී ලංකා පජාතාන්තික සමාජවාදී ජනරජෙය් අති විෙශෂ ගැසට් පතය - 2026.01.21
උපෙල්ඛනය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(ෙහක්ටයාර්)
72 0.0197 ලියන ආරච්චිලාෙග් චතුරංග දිසානායක 911650258V සම්පූර්ණ පථම පන්තිය ෙවලගම –
අංක 31/ඒ, අලෙදණිය, ලියනආරච්චිරලලාෙග්
වැරැල්ලගම නවරත්න
යන අයෙග් ජීවිත
භුක්තියට යටත්ව
73 0.0265 ලියන ආරච්චිලාෙග් චතුරංග දිසානායක 911650258V සම්පූර්ණ පථම පන්තිය ෙවලගම –
අංක 31/ඒ, අලෙදණිය, ලියනආරච්චිරලලාෙග්
වැරැල්ලගම නවරත්න
යන අයෙග් ජීවිත
භුක්තියට යටත්ව
EOG 01 - 0209/1
1998 අංක 21 දරන හිමිකම් ලියාපදිංචි කිරීෙම් පනත
14 වැනි වගන්තිය යටෙත් හිමිකම් නිරවුල් කිරීෙම් ෙකොමසාරිස්ෙග් තීරණ පකාශය
මධ්‍යම පළාෙත් මහනුවර දිස්තික්කෙය් හාරිස්පත්තුව පාෙද්ශීය ෙල්කම් ෙකොට්ඨාසෙය් අංක 569 විගුහුම්ෙපොල ගාම නිලධාරි ෙකොට්ඨාසය තුළ
විගුහුම්ෙපොල නමැති ගෙම් පිහිටියා වූ ද, අංක 320332 දරන කැඩැස්තර සිතියෙම් කලාප අංක 04 හි කැබලි අංක 04 සහ 06 දරන ඉඩම් ෙකොටස ්
ෙලස ෙපන්නුම් ෙකොට ඇත්තා වූ ද, හිමිකම් පෑම් ඉදිරිපත් කරන ෙලස දැනුම් ෙදමින් 1998 අංක 21 දරන හිමිකම් ලියාපදිංචි කිරීෙම් පනෙත් 55 වැනි
වගන්තිය පකාර 2024.11.10 වැනි දින අංක 2409/58 දරන ගැසට් පතෙය් යථා පරිදි පළකරන ලද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ෙදසැම්බර් මස 19 වැනි දින,
බත්තරමුල්ල,
රජමල්වත්ත පාර,
"මිහිකත මැදුර", අංක 1200/6,
ඉඩම් හිමිකම් නිරවුල් කිරීෙම් ෙදපාර්තෙම්න්තුෙව් දී ය.
උපෙල්ඛනය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(ෙහක්ටයාර්)
04 0.1389 ලියන ආරච්චිලාෙග් චතුරංග දිසානායක 911650258V සම්පූර්ණ පථම පන්තිය ෙවලගම –
අංක 31/ඒ, අලෙදණිය, ලියනආරච්චිලලාෙග්
වැරැල්ලගම ෙසෝමාවතී හා ෙවලගම
ලියනආරච්චිලලාෙග්
නවරත්න
යන අයෙග් ජීවිත
භුක්තියට යටත්ව
III ෙකොටස - ශී ලංකා පජාතාන්තික සමාජවාදී ජනරජෙය් අති විෙශෂ ගැසට් පතය - 2026.01.21 3 A
උපෙල්ඛනය (සම්බන්ධිතයි)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(ෙහක්ටයාර්)
06 0.0291 ලියන ආරච්චිලාෙග් චතුරංග දිසානායක 911650258V සම්පූර්ණ පථම පන්තිය ෙවලගම –
අංක 31/ඒ, අලෙදණිය, ලියනආරච්චිලලාෙග්
වැරැල්ලගම ෙසෝමාවතී හා ෙවලගම
ලියනආරච්චිලලාෙග්
නවරත්න
යන අයෙග් ජීවිත
භුක්තියට යටත්ව
EOG 01 - 0209/2
ශී ලංකා රජෙය් මුදණ ෙදපාර්තෙම්න්තුෙව් මුදණය කරන ලදී.</t>
  </si>
  <si>
    <t>9727da55-d57a-4d1b-bdb1-327a14e366d4</t>
  </si>
  <si>
    <t>2472_26</t>
  </si>
  <si>
    <t>2472/26</t>
  </si>
  <si>
    <t>Title Registration Act, No. 21 of 1998, Section 14 — Commissioner of Title Settlement's decision under Section 14 (Gazette 2472/26)</t>
  </si>
  <si>
    <t>m1/raw/2472_26.pdf</t>
  </si>
  <si>
    <t>eb191c5b-2d6e-4710-adc8-541e36e4546b</t>
  </si>
  <si>
    <t>2472_27</t>
  </si>
  <si>
    <t>2472/27</t>
  </si>
  <si>
    <t>Title Registration Act, No. 21 of 1998, Section 14 — Commissioner of Title Settlement's decision under Section 14 (Gazette 2472/27)</t>
  </si>
  <si>
    <t>m1/raw/2472_27.pdf</t>
  </si>
  <si>
    <t>a9ece226-93e7-44bc-b634-62507d0ecdc4</t>
  </si>
  <si>
    <t>2472_28</t>
  </si>
  <si>
    <t>2472/28</t>
  </si>
  <si>
    <t>Title Registration Act, No. 21 of 1998, Section 14 — Commissioner of Title Settlement's decision under Section 14 (Gazette 2472/28)</t>
  </si>
  <si>
    <t>m1/raw/2472_28.pdf</t>
  </si>
  <si>
    <t>9551a9e8-0b7e-4616-ae85-e6608bb848ec</t>
  </si>
  <si>
    <t>2472_29</t>
  </si>
  <si>
    <t>2472/29</t>
  </si>
  <si>
    <t>Title Registration Act, No. 21 of 1998, Section 14 — Commissioner of Title Settlement decision (Gazette 2472/29)</t>
  </si>
  <si>
    <t>Commissioner of Title Settlement's decision under Section 14 of the Title Registration Act No. 21 of 1998. Part III — Lands. Land Parcel No. 38 in Cadastral Map 2433/27 references Gazette 510299 of 21 January 2024 from Kurunegala. References 25 December 2025 amendment.</t>
  </si>
  <si>
    <t>m1/raw/2472_29.pdf</t>
  </si>
  <si>
    <t>III ෙක(cid:675)ටස – (cid:636) ලංකා (cid:541)ජාතා(cid:486)(cid:437)ක සමාජවා(cid:463) ජනරජෙ(cid:591) අ(cid:431) (cid:618)ෙශෂ ගැස(cid:376) ප(cid:436)ය – 2026.01.21 1 A
ப(cid:8065)தி III – இல(cid:8113)ைக(cid:8114) சனநாயக ேசாச(cid:8098)ச(cid:8112) (cid:8065)(cid:8074)யர(cid:8070) வ(cid:8125)(cid:8119)தமான(cid:8122) ப(cid:8119)திாிைக - அதி விேசஷமான(cid:8080) – 2026.01.21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2472/29 - 2026 ජනවා(cid:604) මස 21 වැ(cid:487) බදාදා - 2026.01.21
2472/29 ஆ(cid:8123) இல(cid:8112)க(cid:8123) - 2026 ஆ(cid:8123) ஆ(cid:8118)(cid:8076) சனவாி மாத(cid:8123) 21 ஆ(cid:8120) திகதி (cid:8087)த(cid:8121)கிழைம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2025.04.25 ஆ(cid:8120) திகதிய 2433/27 ஆ(cid:8123) இல(cid:8112)க வ(cid:8125)(cid:8119)தமானியி(cid:8127) உாிய (cid:8089)ைறயி(cid:8127) ெவளியிட(cid:8122)ப(cid:8117)ட(cid:8080)(cid:8123), காணி(cid:8112)கான உாிைம(cid:8112)
ேகாாி(cid:8112)ைககைள(cid:8112) ேகா(cid:8094)கி(cid:8121)ற(cid:8080)மான ேம(cid:8127) மாகாண(cid:8119)தி(cid:8121) க(cid:8123)பஹா மாவ(cid:8117)ட(cid:8119)தி(cid:8127), மீாிகம பிரேதச ெசயலாள(cid:8125) பிாிவி(cid:8127), இல. 38 -
இ(cid:8123)(cid:8087)ல(cid:8121)வல கிராம அ(cid:8100)வல(cid:8125) பிாிவி(cid:8084)(cid:8128) இ(cid:8123)(cid:8087)ல(cid:8121)வல கிராம(cid:8119)தி(cid:8127) அைம(cid:8120)(cid:8080)(cid:8128)ள(cid:8080)(cid:8123) 510209 ஆ(cid:8123) இல(cid:8112)க கட(cid:8119)திர(cid:8127) அளைவ
வைரபட(cid:8119)தி(cid:8127) பிாி(cid:8107) இல. 01 இ(cid:8127) அட(cid:8113)கி(cid:8092)(cid:8128)ள(cid:8080)மான 1:25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19 ஆ(cid:8120) திகதி.
1A - G 46151 - 03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2026.01.21
ப(cid:8065)தி III – இல(cid:8113)ைக(cid:8114) சனநாயக ேசாச(cid:8098)ச(cid:8112) (cid:8065)(cid:8074)யர(cid:8070) வ(cid:8125)(cid:8119)தமான(cid:8122) ப(cid:8119)திாிைக - அதி விேசஷமான(cid:8080) – 2026.01.21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1:25 0.0731 வனிக(cid:8071)ாிய ஆர(cid:8114)சிேக (cid:8065)லர(cid:8119)ன 553652693V (cid:8089)(cid:8104)வ(cid:8080)(cid:8123) 2ஆவ(cid:8080) வ(cid:8065)(cid:8122)(cid:8087) இமியாரா(cid:8127)லாேக
இல. 282/61, உஹன பாைத, ெபா(cid:8074)ேநானா
அ(cid:8123)பாைற. எ(cid:8121)பவாி(cid:8121)
சீவிய
உாி(cid:8119)தி(cid:8126)(cid:8065)
உ(cid:8117)ப(cid:8117)ட(cid:8080).
EOG 01 - 0213 / 1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2025.03.06 ஆ(cid:8120) திகதிய 2426/63 ஆ(cid:8123) இல(cid:8112)க வ(cid:8125)(cid:8119)தமானியி(cid:8127) உாிய (cid:8089)ைறயி(cid:8127) ெவளியிட(cid:8122)ப(cid:8117)ட(cid:8080)(cid:8123), காணி(cid:8112)கான உாிைம(cid:8112)
ேகாாி(cid:8112)ைககைள(cid:8112) ேகா(cid:8094)கி(cid:8121)ற(cid:8080)மான ேம(cid:8127) மாகாண(cid:8119)தி(cid:8121) க(cid:8123)பஹா மாவ(cid:8117)ட(cid:8119)தி(cid:8127), மீாிகம பிரேதச ெசயலாள(cid:8125) பிாிவி(cid:8127), இல. 10 -
வ(cid:8127)ேபாதேல கிராம அ(cid:8100)வல(cid:8125) பிாிவி(cid:8084)(cid:8128) வ(cid:8127)ேபாதேல கிராம(cid:8119)தி(cid:8127) அைம(cid:8120)(cid:8080)(cid:8128)ள(cid:8080)(cid:8123) 510346 ஆ(cid:8123) இல(cid:8112)க கட(cid:8119)திர(cid:8127) அளைவ வைரபட(cid:8119)தி(cid:8127)
பிாி(cid:8107) இல. 01 இ(cid:8127) அட(cid:8113)கி(cid:8092)(cid:8128)ள(cid:8080)மான 1:162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19 ஆ(cid:8123) திகதி.
III ෙක(cid:675)ටස – (cid:636) ලංකා (cid:541)ජාතා(cid:486)(cid:437)ක සමාජවා(cid:463) ජනරජෙ(cid:591) අ(cid:431) (cid:618)ෙශෂ ගැස(cid:376) ප(cid:436)ය – 2026.01.21 3 A
ப(cid:8065)தி III – இல(cid:8113)ைக(cid:8114) சனநாயக ேசாச(cid:8098)ச(cid:8112) (cid:8065)(cid:8074)யர(cid:8070) வ(cid:8125)(cid:8119)தமான(cid:8122) ப(cid:8119)திாிைக - அதி விேசஷமான(cid:8080) – 2026.01.21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1:162 0.0546 ர(cid:8123)ப(cid:8074) ேதவேக (cid:8094)வ(cid:8121) தர(cid:8113)க 791400864V (cid:8089)(cid:8104)வ(cid:8080)(cid:8123) 1ஆவ(cid:8080) வ(cid:8065)(cid:8122)(cid:8087) கா.(cid:8080).இல. 252,
இல. 99, வ(cid:8127)ெபால, ம(cid:8126)(cid:8096)(cid:8123) 226 இ(cid:8121)
ராகம. அ(cid:8078)(cid:8065)வழி
உாி(cid:8119)தி(cid:8126)(cid:8065)(cid:8123),
மி(cid:8121) இைண(cid:8122)(cid:8087),
மி(cid:8121) க(cid:8123)ப(cid:8123)
ந(cid:8076)வத(cid:8126)(cid:8065),
நீ(cid:8125)வழி
ஏ(cid:8126)ப(cid:8076)(cid:8119)(cid:8080)வத(cid:8126)(cid:8065)
ம(cid:8126)(cid:8096)(cid:8123) அத(cid:8126)(cid:8065)
சமமான
ேவ(cid:8096) ேசைவக(cid:8128)
ஏ(cid:8126)ப(cid:8076)(cid:8119)தி(cid:8112)
ெகா(cid:8128)வத(cid:8126)கான
உாி(cid:8119)தி(cid:8126)(cid:8065)
உ(cid:8117)ப(cid:8117)ட(cid:8080).
EOG 01 - 0213 / 2
இல(cid:8113)ைக அரசா(cid:8113)க அ(cid:8114)(cid:8070)(cid:8119) திைண(cid:8112)கள(cid:8119)தி(cid:8127) பதி(cid:8122)பி(cid:8112)க(cid:8122)ெப(cid:8126)ற(cid:8080).</t>
  </si>
  <si>
    <t>33f83bf0-e1ca-47b6-82b2-12931f1d99ff</t>
  </si>
  <si>
    <t>2472_30</t>
  </si>
  <si>
    <t>2472/30</t>
  </si>
  <si>
    <t>Title Registration Act, No. 21 of 1998, Section 14 — Commissioner of Title Settlement's decision under Section 14 (Gazette 2472/30)</t>
  </si>
  <si>
    <t>m1/raw/2472_30.pdf</t>
  </si>
  <si>
    <t>afca1b84-2b4a-444a-8f1e-b55f48c607cc</t>
  </si>
  <si>
    <t>2472_31</t>
  </si>
  <si>
    <t>2472/31</t>
  </si>
  <si>
    <t>Local Authorities Elections (Amendment) Act No. 22 of 2012 — Notice issued by the Returning Officer, Southern Province (Gazette 2472/31)</t>
  </si>
  <si>
    <t>2012 අංක 22 දරන පළාත් පාලන ඡන්ද විමසීම් (සංශෝධන) පනත - භාරගැනීමේ නිලධාරියාගේ දැන්වීම</t>
  </si>
  <si>
    <t>2012 ஆம் ஆண்டின் 22 ஆம் இலக்க உள்ளூராட்சி அதிகார சபைகள் தேர்தல்கள் (திருத்தச்) சட்டம் - தேர்தல் அதிகாரியின் அறிவித்தல்</t>
  </si>
  <si>
    <t>Notice issued by the Returning Officer, Southern Province, under Section 262A of the Local Authorities Elections Ordinance (as amended by Act No. 22 of 2012). Part IV — Local Government. Dated 21 January 2026.</t>
  </si>
  <si>
    <t>Local Authorities Elections (Amendment) Act, No. 22 of 2012</t>
  </si>
  <si>
    <t>m1/raw/2472_31.pdf</t>
  </si>
  <si>
    <t>Y%S ,xld m%cd;dka;%sl iudcjd§ ckrcfha .eiÜ m;%h
w;s úfYI
,yqi; fr ; rdehaf Nrhryprf ; FbauR thj; j; khdg ; gjj; phpif
mjp tpNr\khdJ
wxl 2472/31 - 2026 ckjdß ui 22 jeks n%yiam;skaod - 2026'01'22
2472/ 31 Mk; ,yf;fk; - 2026 Mk; Mz;L rdtup khjk; 22 Me; jpfjp tpahof;fpoik
(murhq;fj;jpd; mjpfhuj;Jld; gpuRupf;fg;gl;lJ)
gFjp IV(M) - cs;~uhl;rp
cs;~u; mjpfhu rigfs; Nju;jy;fs; fl;lisr; rl;l mwptpj;jy;fs;
22001122 ஆஆம்ம் ஆஆண்ண்டிடின்ன் 2222 ஆஆம்ம் இஇலலக்க்கக உஉள்ள்ளூளூர்ர் அஅதிதிிிககாாரர சசபைபைைைககள்ள் தேதேதிதிர்ர்திதில்ல்ககள்ள் ((திதிிிருருத்த்திதிம்ம்)) சசட்ட்டடத்த்திதிிினானாாால்ல்
திதிிிருருத்த்திதிப்ப்ைைட்ட்டடவாவாாாறாறாாானானா உஉள்ள்ளூளூர்ர் அஅதிதிிிககாாரர சசபைபைைைககள்ள் தேதேதிதிர்ர்திதில்ல்ககள்ள் ககட்ட்டடபைபைைைச்ச் சசட்ட்டடத்த்திதிிின்ன் 6666எஎ சசரரத்த்திதிிின்ன் ககீீழ்ழ்
வாவாிிடுடுக்க்ககப்ப்ைைடுடும்ம் அஅறாறாிிவாவாிித்த்திதில்ல்
தெதின் மாாகாண, உள்ளூராட்சித் திிபைணக்கைத்திின் உள்ளூராட்சி ஆபைணயாாைர் எரந்திி உமாங்கா தெமான்திிஸ் ஆகியா நாான் 2012 ஆம்
ஆண்டின் 22 ஆம் இலக்க உள்ளூர் அதிிகார சபைைகள் தேதிர்தில்கள் (திிருத்திம்) சட்டத்திினாால் திிருத்திப்ைட்ட 262 ஆம் அதிிகாரமாானா
உள்ளூர் அதிிகார சபைைகள் தேதிர்தில்கள் கட்டபைைச் சட்டத்திின் 66எ சரத்திின் கீழ், என்னாிடம் தெைாறுப்ைைிக்கப்ைட்டுள்ை
அதிிகாரத்திின் ைிரகாரம் தெதின் மாாகாணத்திில் அபைமாந்துள்ை ைின்வாரும் அட்டவாபைணயாில் தெையார் குறாிப்ைிடப்ைடும் உள்ளூராட்சி
மான்றாத்துக்கானா திவாிசாைபைரத் தேதிர்ந்தெதிடுப்ைதிற்கானா கூட்டம் அவ் அட்டவாபைணயாில் தேநாதெராத்திதிாகக் காட்டப்ைட்டுள்ை திினாத்திில்
குறாித்தி தேநாரத்திில் அங்கு குறாிப்ைிடப்ைட்டுள்ை இடத்திில் கூட்டப்ைடும் என்ைபைதி இத்திால் அறாியாத்திருகிதேறான்.
எஎரரந்ந்திதிிி உஉமாமாங்ங்ககாா தெதெமாமான்ன்திதிிிஸ்ஸ்,,
உள்ளூராட்சி ஆபைணயாாைர்,
தெதின் மாாகாணம்.
தெதின் மாாகாண உள்ளூராட்சித் திிபைணக்கைம்,
காலி மாாவாட்ட தெசயாலகக் கட்டிடம்,
6 ஆம் மாாடி,
2026, சனாவாாி 21.
1A - PG 7490 — 04 (2026/01)
,t; mjp tpNrl tu;j;jkhdpia www.documents.gov.lk vd;Dk; ,izaj;jsj;jpypUe;J gjptpwf;fk; nra;a KbAk;.
2A IV ^wd&amp; fldgi - Y%S ,xld m%cd;dka;%sl iudcjd§ ckrcfha w;s úfYI .eiÜ m;%h - 2026'01'22
gFjp IV (M) - ,yq;ifr; rdehaf Nrhryprf; FbauR tu;j;jkhdg; gj;;jpupif - mjp tpNr\khdJ - 2026.01.22
அஅட்ட்டடவாவாபைபைணண
தெதிாடர் உள்ளூராட்சி மான்றாத்திின் தேதிர்ந்தெதிடுக்கப் கூட்டப்ைடும் கூட்டப்ைடும் கூட்டப்ைடும் இடம்
இல. தெையார் ைடும் ைதிவாி திிகதிி தேநாரம்
1. தெவாலிகமா ைிரதேதிச சபைை திவாிசாைர் 2026.02.02 மு. ை. 10.00 தெவாலிகமா ைிரதேதிச சபைையாின்
சபைைக் கூட்ட மாண்டைம்
EOG 01 - 0252
,yq;if murhq;f mr;Rj; jpizf;fsj;jpw; gjpg;gpf;fg;ngw;wJ.</t>
  </si>
  <si>
    <t>e0b2e8b2-b7de-4867-b47e-62bbb59447aa</t>
  </si>
  <si>
    <t>2472_32</t>
  </si>
  <si>
    <t>2472/32</t>
  </si>
  <si>
    <t>Title Registration Act, No. 21 of 1998, Section 14 — Commissioner of Title Settlement's decision under Section 14 (Gazette 2472/32)</t>
  </si>
  <si>
    <t>m1/raw/2472_32.pdf</t>
  </si>
  <si>
    <t>6a94e95a-38cf-414a-9718-a8314dce3d81</t>
  </si>
  <si>
    <t>2472_33</t>
  </si>
  <si>
    <t>2472/33</t>
  </si>
  <si>
    <t>Title Registration Act, No. 21 of 1998, Section 14 — Amendment of previous decision (Gazette 2472/33)</t>
  </si>
  <si>
    <t>Amendment to a prior Commissioner of Title Settlement decision under Section 14 of the Title Registration Act No. 21 of 1998. Part III — Lands. References Gazette 2023.12.11 of 2362/11 references Gazette 2025.07.17 references Cadastral Map No. 95/8. References Cadastral Map references 810013 covering page 03 Block 318. Dated 07 January 2026.</t>
  </si>
  <si>
    <t>m1/raw/2472_33.pdf</t>
  </si>
  <si>
    <t>III ෙක(cid:675)ටස — (cid:636) ලංකා (cid:541)ජාතා(cid:486)(cid:437)ක සමාජවා(cid:463) ජනරජෙ(cid:591) අ(cid:431) (cid:618)ෙශෂ ගැස(cid:376) ප(cid:436)ය - 2026.01.22 1 A
ப(cid:8065)தி III — இல(cid:8113)ைக(cid:8114) சனநாயக ேசாச(cid:8098)ச(cid:8112) (cid:8065)(cid:8074)யர(cid:8070) வ(cid:8125)(cid:8119)தமான(cid:8122) ப(cid:8119)திாிைக - அதிவிேசஷமான(cid:8080) - 2026.01.22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2472/33 - 2026 ජනවා(cid:604) මස 22 වැ(cid:487) (cid:559)හසප් (cid:431)(cid:486)දා - 2026.01.22
2472/33 ஆ(cid:8123) இல(cid:8112)க(cid:8123) - 2026 ஆ(cid:8123) ஆ(cid:8118)(cid:8076) சனவாி மாத(cid:8123) 22 ஆ(cid:8120) திகதி வியாழ(cid:8112)கிழைம
(அரசா(cid:8113)க(cid:8119)தி(cid:8121) அதிகார(cid:8119)(cid:8080)ட(cid:8121) பிர(cid:8070)ாி(cid:8112)க(cid:8122)ப(cid:8117)ட(cid:8080))
ப(cid:8065)தி III - காணிக(cid:8128)
உாி(cid:8119)(cid:8080)(cid:8122) பதி(cid:8107) ெச(cid:8124)த(cid:8127)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2023.12.11 ஆ(cid:8120) திகதிய 2362/11 ஆ(cid:8123) இல(cid:8112)க இல(cid:8113)ைக(cid:8114) சனநாயக ேசாச(cid:8098)ச(cid:8112) (cid:8065)(cid:8074)யரசி(cid:8121) அதி விேசட
வ(cid:8125)(cid:8119)தமானியி(cid:8127) பிர(cid:8070)ரமான ெத(cid:8121) மாகாண(cid:8119)தி(cid:8121), கா(cid:8098) மாவ(cid:8117)ட(cid:8119)தி(cid:8127), கா(cid:8098) ப(cid:8117)(cid:8074)ன(cid:8089)(cid:8123) (cid:8071)ழ(cid:8100)(cid:8123) பிரேதச ெசயலாள(cid:8125) பிாிவி(cid:8127) 99சீ -
ம(cid:8065)(cid:8100)வ கிராம அ(cid:8100)வல(cid:8125) பிாிவி(cid:8084)(cid:8128) ம(cid:8065)(cid:8100)வ எ(cid:8084)(cid:8123) கிராம(cid:8119)தி(cid:8127), 810013 ஆ(cid:8123) இல(cid:8112)க கட(cid:8119)திர(cid:8127) அளைவ வைரபட(cid:8119)தி(cid:8127), பிாி(cid:8107) இல. 04
இ(cid:8127) தா(cid:8128) இல. 03 இ(cid:8127) 318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(cid:8086).சீ.(cid:8075).சிேகரா,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சனவாி மாத(cid:8123) 07 ஆ(cid:8120) திகதி.
EOG 01 - 0222 / 1
1A - G 46155 - 03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- 2026.01.22
ப(cid:8065)தி III — இல(cid:8113)ைக(cid:8114) சனநாயக ேசாச(cid:8098)ச(cid:8112) (cid:8065)(cid:8074)யர(cid:8070) வ(cid:8125)(cid:8119)தமான(cid:8122) ப(cid:8119)திாிைக - அதிவிேசஷமான(cid:8080) - 2026.01.22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2018.06.26 ஆ(cid:8120) திகதிய 2077/26 ஆ(cid:8123) இல(cid:8112)க இல(cid:8113)ைக(cid:8114) சனநாயக ேசாச(cid:8098)ச(cid:8112) (cid:8065)(cid:8074)யரசி(cid:8121) அதி விேசட
வ(cid:8125)(cid:8119)தமானியி(cid:8127) பிர(cid:8070)ரமான ேம(cid:8127) மாகாண(cid:8119)தி(cid:8127) க(cid:8102)(cid:8119)தைற மாவ(cid:8117)ட(cid:8119)தி(cid:8127) க(cid:8102)(cid:8119)தைற பிரேதச ெசயலாள(cid:8125) பிாிவி(cid:8127) 710ஏ - (cid:8065)டாவ(cid:8132)க(cid:8076)வ
ெத(cid:8126)(cid:8065) கிராம அ(cid:8100)வல(cid:8125) பிாிவி(cid:8084)(cid:8128) (cid:8065)டாவ(cid:8132)க(cid:8076)வ எ(cid:8084)(cid:8123) கிராம(cid:8119)தி(cid:8127), 530086 ஆ(cid:8123) இல(cid:8112)க கட(cid:8119)திர(cid:8127) அளைவ வைரபட(cid:8119)தி(cid:8127) பிாி(cid:8107)
இல. 01 இ(cid:8127) தா(cid:8128) இல. 01 இ(cid:8127) 44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(cid:8086).சீ.(cid:8075).சிேகரா,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சனவாி மாத(cid:8123) 07 ஆ(cid:8120) திகதி.
EOG 01 - 0222 / 2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2011.05.10 ஆ(cid:8120) திகதிய 1705/13 ஆ(cid:8123) இல(cid:8112)க இல(cid:8113)ைக(cid:8114) சனநாயக ேசாச(cid:8098)ச(cid:8112) (cid:8065)(cid:8074)யரசி(cid:8121) அதி விேசட
வ(cid:8125)(cid:8119)தமானியி(cid:8127) பிர(cid:8070)ரமான ேம(cid:8127) மாகாண(cid:8119)தி(cid:8127) ,ெகா(cid:8104)(cid:8123)(cid:8087) மாவ(cid:8117)ட(cid:8119)தி(cid:8127), ெமார(cid:8117)(cid:8076)வ பிரேதச ெசயலாள(cid:8125) பிாிவி(cid:8127) 549 - ெதலவல
ெத(cid:8126)(cid:8065) கிராம அ(cid:8100)வல(cid:8125) பிாிவி(cid:8084)(cid:8128) ெதலவல எ(cid:8084)(cid:8123) கிராம(cid:8119)தி(cid:8127), 520208 ஆ(cid:8123) இல(cid:8112)க கட(cid:8119)திர(cid:8127) அளைவ வைரபட(cid:8119)தி(cid:8127), பிாி(cid:8107) இல. 09
இ(cid:8127) தா(cid:8128) இல. 01 இ(cid:8127) 101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(cid:8086).சீ.(cid:8075).சிேகரா,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சனவாி மாத(cid:8123) 07 ஆ(cid:8120) திகதி.
EOG 01 - 0222 / 3
III ෙක(cid:675)ටස — (cid:636) ලංකා (cid:541)ජාතා(cid:486)(cid:437)ක සමාජවා(cid:463) ජනරජෙ(cid:591) අ(cid:431) (cid:618)ෙශෂ ගැස(cid:376) ප(cid:436)ය - 2026.01.22 3 A
ப(cid:8065)தி III — இல(cid:8113)ைக(cid:8114) சனநாயக ேசாச(cid:8098)ச(cid:8112) (cid:8065)(cid:8074)யர(cid:8070) வ(cid:8125)(cid:8119)தமான(cid:8122) ப(cid:8119)திாிைக - அதிவிேசஷமான(cid:8080) - 2026.01.22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2019.09.09 ஆ(cid:8120) திகதிய 2140/11 ஆ(cid:8123) இல(cid:8112)க இல(cid:8113)ைக(cid:8114) சனநாயக ேசாச(cid:8098)ச(cid:8112) (cid:8065)(cid:8074)யரசி(cid:8121) அதி விேசட
வ(cid:8125)(cid:8119)தமானியி(cid:8127) பிர(cid:8070)ரமான வட ேம(cid:8127) மாகாண(cid:8119)தி(cid:8127) (cid:8087)(cid:8119)தள(cid:8123) மாவ(cid:8117)ட(cid:8119)தி(cid:8127) , (cid:8087)(cid:8119)தள(cid:8123) பிரேதச ெசயலாள(cid:8125) பிாிவி(cid:8127) 616 -
ேசன(cid:8065)(cid:8074)(cid:8094)(cid:8122)(cid:8087)வ கிராம அ(cid:8100)வல(cid:8125) பிாிவி(cid:8084)(cid:8128) ேசன(cid:8065)(cid:8074)(cid:8094)(cid:8122)(cid:8087)வ எ(cid:8084)(cid:8123) கிராம(cid:8119)தி(cid:8127) 410112 ஆ(cid:8123) இல(cid:8112)க கட(cid:8119)திர(cid:8127) அளைவ வைரபட(cid:8119)தி(cid:8127),
பிாி(cid:8107) இல 16 இ(cid:8127) தா(cid:8128) இல. 01 இ(cid:8127) 67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(cid:8086).சீ.(cid:8075).சிேகரா,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சனவாி மாத(cid:8123) 07 ஆ(cid:8120) திகதி.
EOG 01 - 0222 / 4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2025.01.17 ஆ(cid:8120) திகதிய 2419/44 ஆ(cid:8123) இல(cid:8112)க இல(cid:8113)ைக(cid:8114) சனநாயக ேசாச(cid:8098)ச(cid:8112) (cid:8065)(cid:8074)யரசி(cid:8121) அதி விேசட
வ(cid:8125)(cid:8119)தமானியி(cid:8127) பிர(cid:8070)ரமான ேம(cid:8127) மாகாண(cid:8119)தி(cid:8121), ெகா(cid:8104)(cid:8123)(cid:8087) மாவ(cid:8117)ட(cid:8119)தி(cid:8127), ேஹாமாகம பிரேதச ெசயலாள(cid:8125) பிாிவி(cid:8127) 447(cid:8086) - பான(cid:8100)வ
கிராம அ(cid:8100)வல(cid:8125) பிாிவி(cid:8084)(cid:8128) பான(cid:8100)வ எ(cid:8084)(cid:8123) கிராம(cid:8119)தி(cid:8127), 520031 ஆ(cid:8123) இல(cid:8112)க கட(cid:8119)திர(cid:8127) அளைவ வைரபட(cid:8119)தி(cid:8127), பிாி(cid:8107) இல 02 இ(cid:8127)
தா(cid:8128) இல. 01 இ(cid:8127) 57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(cid:8086).சீ.(cid:8075).சிேகரா,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சனவாி மாத(cid:8123) 07 ஆ(cid:8120) திகதி.
EOG 01 - 0222 / 5
4 A III ෙක(cid:675)ටස — (cid:636) ලංකා (cid:541)ජාතා(cid:486)(cid:437)ක සමාජවා(cid:463) ජනරජෙ(cid:591) අ(cid:431) (cid:618)ෙශෂ ගැස(cid:376) ප(cid:436)ය - 2026.01.22
ப(cid:8065)தி III — இல(cid:8113)ைக(cid:8114) சனநாயக ேசாச(cid:8098)ச(cid:8112) (cid:8065)(cid:8074)யர(cid:8070) வ(cid:8125)(cid:8119)தமான(cid:8122) ப(cid:8119)திாிைக - அதிவிேசஷமான(cid:8080) - 2026.01.22
தி(cid:8094)(cid:8119)த(cid:8123)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ேமேல(cid:8092)(cid:8128)ள தைல(cid:8122)பி(cid:8121) கீ(cid:8129) 2025.05.16 ஆ(cid:8120) திகதிய 2280/03 ஆ(cid:8123) இல(cid:8112)க இல(cid:8113)ைக(cid:8114) சனநாயக ேசாச(cid:8098)ச(cid:8112) (cid:8065)(cid:8074)யரசி(cid:8121) அதி விேசட
வ(cid:8125)(cid:8119)தமானியி(cid:8127) பிர(cid:8070)ரமான ேம(cid:8127) மாகாண(cid:8119)தி(cid:8121), க(cid:8123)பஹா மாவ(cid:8117)ட(cid:8119)தி(cid:8127), மீாிகம பிரேதச ெசயலாள(cid:8125) பிாிவி(cid:8127) 340சீ - ெத(cid:8127)கஹ ெம(cid:8074)(cid:8127)ல
கிராம அ(cid:8100)வல(cid:8125) பிாிவி(cid:8084)(cid:8128) (cid:8065)(cid:8123)ப(cid:8127)ஒ(cid:8100)வ எ(cid:8084)(cid:8123) கிராம(cid:8119)தி(cid:8127), 510260 ஆ(cid:8123) இல(cid:8112)க கட(cid:8119)திர(cid:8127) அளைவ வைரபட(cid:8119)தி(cid:8127), பிாி(cid:8107) இல. 06 இ(cid:8127)
தா(cid:8128) இல. 01 இ(cid:8127) 152 ஆ(cid:8123) இல(cid:8112)க காணி(cid:8119)(cid:8080)(cid:8118)(cid:8074)(cid:8121) உாி(cid:8119)(cid:8080) ெதாட(cid:8125)பாக அ(cid:8130)வ(cid:8117)டவைணயி(cid:8127),
“அைன(cid:8119)(cid:8080) விடய(cid:8113)க(cid:8102)(cid:8123)” நீ(cid:8112)க(cid:8122)ப(cid:8117)(cid:8076) தி(cid:8094)(cid:8119)த(cid:8122)ப(cid:8076)த(cid:8127) ேவ(cid:8118)(cid:8076)(cid:8123).
(cid:8086).சீ.(cid:8075).சிேகரா,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சனவாி மாத(cid:8123) 07 ஆ(cid:8120) திகதி.
EOG 01 - 0222 / 6
இல(cid:8113)ைக அரசா(cid:8113)க அ(cid:8114)(cid:8070)(cid:8119) திைண(cid:8112)கள(cid:8119)தி(cid:8127) பதி(cid:8122)பி(cid:8112)க(cid:8122)ெப(cid:8126)ற(cid:8080).</t>
  </si>
  <si>
    <t>b7c5c788-ea42-43f3-b47e-2e5ea3571c16</t>
  </si>
  <si>
    <t>2472_34</t>
  </si>
  <si>
    <t>2472/34</t>
  </si>
  <si>
    <t>Title Registration Act, No. 21 of 1998, Section 14 — Commissioner of Title Settlement's decision under Section 14 (Gazette 2472/34)</t>
  </si>
  <si>
    <t>m1/raw/2472_34.pdf</t>
  </si>
  <si>
    <t>2a963735-8f02-45d5-825d-ae88e7868fa4</t>
  </si>
  <si>
    <t>2472_35</t>
  </si>
  <si>
    <t>2472/35</t>
  </si>
  <si>
    <t>Title Registration Act, No. 21 of 1998, Section 14 — Commissioner of Title Settlement's decision under Section 14 (Gazette 2472/35)</t>
  </si>
  <si>
    <t>m1/raw/2472_35.pdf</t>
  </si>
  <si>
    <t>d89a00d0-3ecb-4266-b726-9a70ce2fe420</t>
  </si>
  <si>
    <t>2472_36</t>
  </si>
  <si>
    <t>2472/36</t>
  </si>
  <si>
    <t>Title Registration Act, No. 21 of 1998, Section 14 — Commissioner of Title Settlement's decision under Section 14 (Gazette 2472/36)</t>
  </si>
  <si>
    <t>m1/raw/2472_36.pdf</t>
  </si>
  <si>
    <t>4498ab34-9435-496b-8a7a-a6c77d76f723</t>
  </si>
  <si>
    <t>2472_37</t>
  </si>
  <si>
    <t>2472/37</t>
  </si>
  <si>
    <t>Title Registration Act, No. 21 of 1998, Section 14 — Commissioner of Title Settlement's decision under Section 14 (Gazette 2472/37)</t>
  </si>
  <si>
    <t>m1/raw/2472_37.pdf</t>
  </si>
  <si>
    <t>9f72ebc3-0c44-4214-9b32-5f83a9593e02</t>
  </si>
  <si>
    <t>2472_38</t>
  </si>
  <si>
    <t>2472/38</t>
  </si>
  <si>
    <t>Title Registration Act, No. 21 of 1998, Section 14 — Commissioner of Title Settlement's decision under Section 14 (Gazette 2472/38)</t>
  </si>
  <si>
    <t>m1/raw/2472_38.pdf</t>
  </si>
  <si>
    <t>2016c27e-c6f6-4551-845b-20ae97057763</t>
  </si>
  <si>
    <t>2472_39</t>
  </si>
  <si>
    <t>2472/39</t>
  </si>
  <si>
    <t>Title Registration Act, No. 21 of 1998, Section 14 — Commissioner of Title Settlement's decision under Section 14 (Gazette 2472/39)</t>
  </si>
  <si>
    <t>m1/raw/2472_39.pdf</t>
  </si>
  <si>
    <t>3a412bf8-2597-4d8b-8b8f-d76c7563ae2c</t>
  </si>
  <si>
    <t>2472_40</t>
  </si>
  <si>
    <t>2472/40</t>
  </si>
  <si>
    <t>Title Registration Act, No. 21 of 1998, Section 12 — preliminary notice calling for claims (Gazette 2472/40)</t>
  </si>
  <si>
    <t>m1/raw/2472_40.pdf</t>
  </si>
  <si>
    <t>98d56713-5080-4504-b348-a9d210bb68bd</t>
  </si>
  <si>
    <t>2472_41</t>
  </si>
  <si>
    <t>2472/41</t>
  </si>
  <si>
    <t>Title Registration Act, No. 21 of 1998, Section 14 — Commissioner of Title Settlement's decision under Section 14 (Gazette 2472/41)</t>
  </si>
  <si>
    <t>m1/raw/2472_41.pdf</t>
  </si>
  <si>
    <t>25f37370-4985-4836-85ad-082856e91457</t>
  </si>
  <si>
    <t>2472_42</t>
  </si>
  <si>
    <t>2472/42</t>
  </si>
  <si>
    <t>Title Registration Act, No. 21 of 1998, Section 14 — Commissioner of Title Settlement's decision under Section 14 (Gazette 2472/42)</t>
  </si>
  <si>
    <t>m1/raw/2472_42.pdf</t>
  </si>
  <si>
    <t>f00c5f05-4e38-4c9e-b58d-e60c07066db6</t>
  </si>
  <si>
    <t>2472_43</t>
  </si>
  <si>
    <t>2472/43</t>
  </si>
  <si>
    <t>Title Registration Act, No. 21 of 1998, Section 14 — Commissioner of Title Settlement's decision under Section 14 (Gazette 2472/43)</t>
  </si>
  <si>
    <t>m1/raw/2472_43.pdf</t>
  </si>
  <si>
    <t>165e5579-a734-42e8-8279-3807aa7df638</t>
  </si>
  <si>
    <t>2472_44</t>
  </si>
  <si>
    <t>2472/44</t>
  </si>
  <si>
    <t>Title Registration Act, No. 21 of 1998, Section 14 — Commissioner of Title Settlement's decision under Section 14 (Gazette 2472/44)</t>
  </si>
  <si>
    <t>m1/raw/2472_44.pdf</t>
  </si>
  <si>
    <t>4773877f-f29d-4636-b82d-9b9f9b1be265</t>
  </si>
  <si>
    <t>2472_45</t>
  </si>
  <si>
    <t>2472/45</t>
  </si>
  <si>
    <t>Co-operative Societies Act No. 5 of 1972 (as amended), Section 31 — Notice (Gazette 2472/45)</t>
  </si>
  <si>
    <t>1972 අංක 5 දරන සමුපකාර සමිති පනත (සංශෝධිත) යටතේ දැන්වීම</t>
  </si>
  <si>
    <t>Notice under Section 31 of the Co-operative Societies Act No. 5 of 1972 (as amended by Acts No. 32 of 1983, 11 of 1992 and 12 of 2016). Part I:I — General/Government Notifications.</t>
  </si>
  <si>
    <t>Co-operative Societies Act, No. 5 of 1972 (as amended)</t>
  </si>
  <si>
    <t>m1/raw/2472_45.pdf</t>
  </si>
  <si>
    <t>Y%S ,xld m%cd;dka;%sl iudcjd§ ckrcfha .eiÜ m;%h
w;s úfYI
,yq;ifr; rdehaf Nrhryprf; FbauR tu;j;jkhdg; gj;jpupif
mjp tpNr\khdJ
wxl 2472$45 - 2026 ckjdß ui 22 jeks n%yiam;skaod - 2026'01'22
2472/ 45 Mk; ,yf;fk; - 2026 Mk; Mz;L rdtup khjk; 22 Me; jpfjp tpahof;fpoik
(murhq;fj;jpd; mjpfhuj;Jld; gpuRupf;fg;gl;lJ)
gFjp I : njhFjp (I) - nghJ
rdhjpgjpapd; epakdq;fSk; gpwTk;
2026 இன் இல. 49/1
ச.அலு.இலக்கம் : பிிஎஸ்/சீஎஸ்ஏ/00/3/IX/1/17
இலங்கைகச் சனநாாயக சசாசலிசக் குடியரசு அரசியலகைைப்பிின் 52(1) ஆம் உறுப்புகைரயின் பிிரகாரம், கெகளரவ சனாதிிபிதிியவர்களால்
கைவத்திியர் அனில் ஜாாசிங்க அவர்கள், 2026, சனவாி ைாதிம் 15 ஆம் திிகதிியிலிருந்து நாகைைமுகைைக்கு வரத்திக்கதிாக ஓராண்டு
காலத்திிற்காக சுகாதிாரம் ைற்றும் கெவகுசன ஊைக அகைைச்சின் கெசயலாளராக நாியைனம் கெசய்யப்பிட்டுள்ளாகெரன இத்திால்
அைிவிக்கப்பிடுகின்ைது.
கெகௌரவ சனாதிிபிதிியவர்களின் ஆகை�ப்பிடி
கலாநாிதிி எஎன்ன்.. எஎஸ்ஸ்.. குகுைைாாநாநாாாயயக்க்கக,
சனாதிிபிதிியின் கெசயலாளர்.
சனாதிிபிதிி அலுவலகம்,
கெகாழும்பு 01,
2026 சனவாி ைாதிம் 21 ஆம் திிகதிி.
EOG 01 - 0235
,yq;if murhq;f mr;Rj; jpizf;fsj;jpw; gjpg;gpf;fg;ngw;wJ.
1A - G 46167 — 354 (2026/01)
,t; mjptpNrl tu;j;jkhdpia www.documents.gov.lk vDk; ,izaj;jsj;jpypUe;J gjptpwf;fk; nra;a KbAk;.</t>
  </si>
  <si>
    <t>3a190a28-4034-4e4d-9d9d-e54c2edf9961</t>
  </si>
  <si>
    <t>2472_47</t>
  </si>
  <si>
    <t>2472/47</t>
  </si>
  <si>
    <t>Coast Conservation and Coastal Resources Management Act No. 57 of 1981 (as amended by Acts No. 64 of 1988, 49 of 2011 and 32 of 2018) — Notice (Gazette 2472/47)</t>
  </si>
  <si>
    <t>1981 අංක 57 දරන වෙරළ සංරක්ෂණ සහ වෙරළ සම්පත් කළමනාකරණ පනත යටතේ දැන්වීම</t>
  </si>
  <si>
    <t>1981 ஆம் ஆண்டின் 57 ஆம் இலக்க கடற்கரை பாதுகாப்பு மற்றும் கடற்கரை வளங்கள் முகாமைச் சட்டத்தின் கீழ் அறிவித்தல்</t>
  </si>
  <si>
    <t>Notice under the Coast Conservation and Coastal Resources Management Act No. 57 of 1981 (as amended). Reference 25/SD/3/IX/1/17. Part I — General.</t>
  </si>
  <si>
    <t>Coast Conservation and Coastal Resources Management Act, No. 57 of 1981 (as amended)</t>
  </si>
  <si>
    <t>m1/raw/2472_47.pdf</t>
  </si>
  <si>
    <t>ශ්‍රී ලංංකාා ප්‍රජාාතාාන්ත්‍රිකා සමාාජාවාාදී ජානරජායේ� ගැැසට් පත්‍රය
අති වියේ�ෂ
,yq;ifr; rdehaf Nrhryprf; FbauR th;j;jkhdg; gj;jphpif
mjp tpNr\khdJ
wxl 2472$47 - 2026 ckjdß ui 22 jeks n%yiam;skaod - 2026'01'22
2472/ 47 Mk; ,yf;fk; - 2026 Mk; Mz;L rdtup khjk; 22 Me; jpfjp tpahof;fpoik
(murhq;fj;jpd; mjpfhuj;Jld; gpuRupf;fg;gl;lJ)
gFjp I : njhFjp (I) - nghJ
murhq;f mwptpj;jy;fs;
தத��ொொகைகைைைமம��ிிப்ப்புபு மமற்ற்றுறும்ம் புபுள்ள்ளிளிிிவிவிிிபபரரத்த் ��ிிகைகை��க்க்ைைளிளித்த்��ொொல்ல் ைை��ிிக்க்ைைப்ப்பபடுடும்ம்
தேதே��சிசிிியய நுநுைைர்ர்தேதேவிவிொொர்ர் விவிிிகைகைைைச்ச்சுசுட்ட்தத��ண்ண்
(அடிப்பகை� : 2021 = 100)
த�ொகைைம�ிப்பு புள்ளிிவிிபரத் �ிகை�க்ைளித்�ொல் ை�ிக்ைப்பட்� 2025, �ிதசிம்பர் மொ�த்�ிற்ைொன தே�சிிய நுைர்தேவிொர்
விிகைைச்சுட்த�ண் 210.5 (இருநூற்றிி பத்து �சிம் ஐந்து) என தபொது அறிிவிித்�லுக்ைொை இத்�ொல் அறிிவிிக்ைப்படுைின்றிது.
தேதேைை.. எஎம்ம்.. டிடி.. எஎஸ்ஸ்.. டிடி.. ைைருரு��ொொரரத்த்னன,
த�ொகைைம�ிப்பு மற்றும் புள்ளிிவிிபரப்
ப�ிப்பொளிர் நாொயைம்.
த�ொகைைம�ிப்பு மற்றும் புள்ளிிவிிபரத் �ிகை�க்ைளிம்,
�.தப.இை.121,
பத்�ரமுல்ை.
2026, சினவிொி 21.
EOG 01 - 0217
1A - G 46153 — 04 (2026/01) ,yq;if murhq;f mr;Rj; jpizf;fsj;jpw; gjpg;gpf;fg;ngw;wJ.
,t; mjptpNrl tu;j;jkhdpia www.documents.gov.lk vDk; ,izaj;jsj;jpypUe;J gjptpwf;fk; nra;a KbAk;.</t>
  </si>
  <si>
    <t>60c18eec-420a-4830-b6ac-77f3e0a10664</t>
  </si>
  <si>
    <t>2472_49</t>
  </si>
  <si>
    <t>2472/49</t>
  </si>
  <si>
    <t>Title Registration Act, No. 21 of 1998, Section 14 — Commissioner of Title Settlement decision (Gazette 2472/49)</t>
  </si>
  <si>
    <t>m1/raw/2472_49.pdf</t>
  </si>
  <si>
    <t>ශ්‍රී ��ක� ප්‍රජ���්ත්‍රික ස��ජ��දී ජනරජ�� ��සට් පත්‍රය
අති වි��ෂ
இலங்�கச் சனந�யக �ச�சலிசக் குடியரசு வர்த்தம�னப் பத்த����க
அத� வ��சஷம�னது
අ�ක 2472/49 - 2026 ජන��රි මස 23 ��නි සිකුය��� - 2026.01.23
2472/49 ஆம் இலக்கம் - 2026 ஆம் ஆண்டு சனவ�� ம�தம் 23 ஆந் த�கத� �வள்ள�க்க�ழ�ம
(அரச�ங்கத்த�ன் அத�க�ரத்துடன் ப�ரசு��க்கப்பட்டது)
பகுத� III - க�ண�கள்
க�ண� �க�ள்வனவு பற்ற�ய அற�வ�த்தல்கள்
க�ண� எடுத்தற் சட்டம் (அத்த�ய�யம் 460) 1. துண்டு இல. 1
க�ண�ய�ன் �பயர்: ரட்டலங்க�வத்�த; வ�பரம்:
7 ஆம் ப���வ�ன் க�ழ் அற�வ�த்தல் வீட்டுத்�த�ட்டம், சும�ர் 15 - 20 வருடம் வயத�ன
கருவ�த் �த�ட்டம், கலப்பு பய�ர்ச்�சய்�க, சும�ர்
ப�ர�தச �சயல�ளர் குற�ப்பு இல.:
20 - 25 வருடம் வயத�ன பல� மரங்கள் 2 உம் மற்றும்
KMB/LAN/ACQUI/02/90.
க�ண� அ�மச்ச�ன் குற�ப்பு இல.: 4-3/15/2018/VE/294.
சும�ர் 5 - 10 வருடம் வயத�ன பல� மரங்கள் 4 உம்
க�ணப்படுக�ன்றன; உ���ம �க�ரு�வ�ர்: க�ண�
ஒரு பக�ரங்கத் �த�வக்கு �வண்டியத�ன க�ழ்க்க�ணும் ச�ர்த�ருத்த ஆ�ணக்குழு, �ஹக்டர் �க�ப்�ப கடுவ
க�ண��ய எடுத்துக்�க�ள்ள அரச�ட்ச�ய�ர் எண்ண� ம�வத்�த, �க�ழும்பு – 07; வ�ஸ்த�ரணம்: 0.2317
ய�ருக்க�ற�ர்கள் என்ப�த 1964 ஆம் ஆண்டின் 28 ஆம் �ஹக்டய�ர்.
இலக்க க�ண� எடுத்தற் (த�ருத்தம்) சட்டத்த�ன�ல்
த�ருத்தப்பட்டவ�ற�ன க�ண� எடுத்தற் சட்டத்த�ன் 2. துண்டு இல. 2
(அத்த�ய�யம் 460) 7 ஆம் ப���வ�ன் (1) ஆம் உட் க�ண�ய�ன் �பயர்: ரட்டலங்க�வத்�த; வ�பரம்:
ப���வ�ன் க�ழ், ந�ன் இத்த�ல் அற�வ�க்க�ன்�றன். பற்�றக்க�டு; உ���ம �க�ரு�வ�ர்: க�ண� ச�ர்த�ருத்த
ஆ�ணக்குழு, �ஹக்டர் �க�ப்�ப கடுவ ம�வத்�த,
எடுத்துக்�க�ள்ளவ�ருக்கும் க�ண�ய�ன் வ�பரம்: �க�ழும்பு – 07; வ�ஸ்த�ரணம்: 0.9826 �ஹக்டய�ர்.
�தன் ம�க�ணம், ம�த்த�ற ம�வட்டம், கம்புருப�ட்டிய
ப�ர�தச �சயல�ளர் ப���வ�ல், இல. 330, கம்புருப�ட்டிய
�மற்குற�த்த க�ண�க்கு உ��த்துப் �பசுக�ன்ற
க�ர�ம அலுவலர் ப���வ�ல் அ�மந்துள்ள, கடஸ்த�ரல்
சகலரும் த�ம�க அல்லது மு�றப்படி எழுத்த�ல்
வ�ரபடம் 820239, �த�குத� இல. 05, த�ள் இல. 02
அத�க�ரம் அள�க்கப்பட்ட க���யக்க�ரர் மூலம�க
இல் க�ட்டப்பட்டுள்ள ப�ன்வரும் க�ண�த் துண்டுகள். 2026 ஆம் ஆண்டு ம�ச்சு ம�தம் 23 ஆந் த�கத�
1A - G 46168 - 14 (2026/01)
இவ் அத�வ��சட வர்த்தம�ன��ய www.documents.gov.lk எனும் இ�ணயத்தளத்த�லிருந்து பத�வ�றக்கம் �சய்ய முடியும்.
2A III �ක�ටස - ශ්‍රී ��ක� ‍රජ���්ත්‍රික සම�ජ�� ජ ජනයජ�� අති වි��ෂ ��ස ප ්‍ර� - 2026.01.23
பகுத� III - இலங்�கச் சனந�யக �ச�சலிசக் குடியரசு வர்த்தம�னப் பத்த����க - அத� வ��சஷம�னது - 2026.01.23
மு.ப. 10.00 மண�க்கு கம்புருப�ட்டிய ப�ர�தச 155) ஆக�ய க�ண�க்கு உ��த்துப் �பசுக�ன்ற சகலரும்
�சயலகத்த�ல் என் முன்ப�க �வள�ப்படுத்தும்படியும், த�ம�க அல்லது மு�றப்படி எழுத்த�ல் அத�க�ரம்
அக்க�ண�ய�ல் அவர்களுக்குள்ள உடந்�தகள�ன் அள�க்கப்பட்ட க���யக்க�ரர் மூலம�க மு.ப. 09.30
தன்�ம�யயும் குற�த்த க�ண��ய எடுத்தற்க�ன மண�க்கு தம்புள்�ள ப�ர�தச �சயலகத்த�ல் என்
நஷ்டஈடு பற்ற�ய அவர்கள�ன் �க���க்�ககள�ன் முன்ப�க �வள�ப்படுத்தும்படியும்,
வ�பரங்க�ளயும், நஷ்ட ஈட்டுத் �த��க�யயும்
அத்�த��க கண�க்கப்பட்ட வ�தத்�தயும் 2026 ஆம் �மலும், அக்க�ண�ய�ல் அவர்களுக்குள்ள உடந்�த
ஆண்டு ம�ச்சு ம�தம் 16 ஆந் த�கத�க்கு முன்னர் கள�ன் தன்�ம�யயும் குற�த்த க�ண��ய எடுத்தற்
எழுத்த�ல் இரு ப�ரத�கள�க எனக்கு அற�வ�க்கும்படியும் க�ன நஷ்டஈடு பற்ற�ய அவர்கள�ன் �க���க்�ககள�ன்
இத்த�ல் �கட்டுக்�க�ள்ளப்படுக�ன்றனர். வ�பரங்க�ளயும், நஷ்ட ஈட்டுத் �த��க�யயும்
அத்�த��க கண�க்கப்பட்ட வ�தத்�தயும் 2026 ஆம்
என். டீ. பீ. ரணச�ங்ஹ, ஆண்டு �பப்புருவ�� ம�தம் 21 ஆந் த�கத�க்கு முன்னர்
ப�ர�தச �சயல�ளர், எழுத்த�ல் இரு ப�ரத�கள�க எனக்கு அற�வ�க்கும்படியும்
இத்த�ல் �கட்டுக்�க�ள்ளப்படுக�ன்றனர்.
கம்புருப�ட்டிய.
ப�ர�தச �சயலகம்,
ஆ.வ.�க�. எல்�ல 931 இன் துண்டிலக்கம் 10
கம்புருப�ட்டிய,
மற்றும் துண்டிலக்கம் 22 (ஆ.வ.�க�. எல்�ல 931
2026, சனவ�� 19.
த�ருத்த�ய�மக்கப்பட்ட வ�ரபடத்த�ன் து. இ. 153, 154,
EOG 01 - 0236 155) : ப��ச�ல�ன நட�த்தப்படும் த�கத� : 2026.02.28
என். எம். உ�பக் ஷ� கும���,
த�ருத்தம்
ப�ர�தச �சயல�ளர்,
தம்புள்�ள.
க�ண� எடுத்தற் சட்டம் (அத்த�ய�யம் 460)
7 ஆம் ப���வ�ன் க�ழ் அற�வ�த்தல் ப�ர�தச �சயலகம்,
தம்புள்�ள,
ஆ.வ.�க�. எல்�ல 931 இன் துண்டிலக்கம் 10
2026, சனவ�� 19.
மற்றும் துண்டிலக்கம் 22 (ஆ.வ.�க�. எல்�ல 931
த�ருத்த�ய�மக்கப்பட்ட வ�ரபடத்த�ன் து. இ. 153, 154, EOG 01 - 0237
இலங்�க அரச�ங்க அச்சுத் த��ணக்களத்த�ல் அச்ச�டப்பட்டது.</t>
  </si>
  <si>
    <t>55bd37a6-040e-4465-b92e-a5d2ed478a77</t>
  </si>
  <si>
    <t>2472_50</t>
  </si>
  <si>
    <t>2472/50</t>
  </si>
  <si>
    <t>General Notification — Lands sector (Gazette 2472/50)</t>
  </si>
  <si>
    <t>රජයේ දැන්වීම - ඉඩම් අංශය</t>
  </si>
  <si>
    <t>அரசாங்க அறிவித்தல் - நிலம் துறை</t>
  </si>
  <si>
    <t>General notification in Part III concerning land matters.</t>
  </si>
  <si>
    <t>m1/raw/2472_50.pdf</t>
  </si>
  <si>
    <t>(cid:636) ලංකා (cid:541)ජාතා(cid:486)(cid:437)ක සමාජවා(cid:463) ජනරජෙ(cid:591) ගැස(cid:376) ප(cid:436)ය
අ(cid:431) (cid:618)ෙශෂ
இல(cid:8113)ைக(cid:8114) சனநாயக ேசாச(cid:8098)ச(cid:8112) (cid:8065)(cid:8074)யர(cid:8070) வ(cid:8125)(cid:8119)தமான(cid:8122) ப(cid:8119)திாிைக
அதி விேசஷமான(cid:8080)
අංක 2472/50 - 2026 ජනවා(cid:604) මස 23 වැ(cid:487) (cid:646)(cid:253)රාදා - 2026.01.23
2472/50 ஆ(cid:8123) இல(cid:8112)க(cid:8123) - 2026 ஆ(cid:8123) ஆ(cid:8118)(cid:8076) சனவாி மாத(cid:8123) 23 ஆ(cid:8120) திகதி ெவ(cid:8128)ளி(cid:8112)கிழைம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ஹ(cid:8127)ெலா(cid:8104)வ கிராம அ(cid:8100)வல(cid:8125) பிாிவி(cid:8127) எரப(cid:8080)வல
கிராம(cid:8119)தி(cid:8084)(cid:8128) அைம(cid:8120)(cid:8080)(cid:8128)ள ேககாைல நில அளைவ
7 ஆ(cid:8123) பிாிவி(cid:8121) கீ(cid:8129) அறிவி(cid:8119)த(cid:8127) யாள(cid:8125) நாயக(cid:8119)தி(cid:8121) 610467 ஆ(cid:8123) இல(cid:8112)க ஆர(cid:8123)ப
வைரபட(cid:8119)தி(cid:8127) இைண(cid:8112)க(cid:8122)ப(cid:8117)(cid:8076)(cid:8128)ள அ(cid:8117)டவைண
என(cid:8080) இல.: BKP/LAND/ACQUI/D2/3/5-3.
யி(cid:8127) (cid:8065)றி(cid:8122)பிட(cid:8122)ப(cid:8117)(cid:8076)(cid:8128)ள காணி(cid:8119)(cid:8080)(cid:8118)(cid:8076) இல(cid:8112)க(cid:8123) 1
காணி அைம(cid:8114)சி(cid:8121) ேகாைவ இல.: 4-3/18/2021/WS/145.
ம(cid:8126)(cid:8096)(cid:8123) 2 இ(cid:8121) விபர(cid:8113)க(cid:8128) பி(cid:8121)வ(cid:8094)மா(cid:8096):
(cid:8087)ல(cid:8119)ெகாஹுபி(cid:8117)(cid:8074)ய பிரேதச ெசயலாள(cid:8125) பிாிவி(cid:8127)
(cid:8094)வ(cid:8121)வ(cid:8127)ைல நீ(cid:8125) விநிேயாக(cid:8119)தி(cid:8117)ட(cid:8119)தி(cid:8121) கீ(cid:8129) 01. (cid:8080)(cid:8118)(cid:8076) இல. 01, 02
ஹ(cid:8127)ெலா(cid:8104)வ (cid:8088)(cid:8132)ட(cid:8125) ப(cid:8123)(cid:8122) அைறைய (BOOSTER காணியி(cid:8121) ெபய(cid:8125): தவ(cid:8117)ட கஹாய(cid:8117)ட (cid:8065)(cid:8123)(cid:8087)ர,
PUMP HOUSE) நி(cid:8125)மாணி(cid:8122)பத(cid:8126)காக "தவ(cid:8117)டகஹ ெகா(cid:8132)கஹய(cid:8117)ட கன(cid:8117)(cid:8074) ம(cid:8126)(cid:8096)(cid:8123) ெமதக(cid:8120)த எ(cid:8084)(cid:8123)
ய(cid:8117)ட (cid:8065)(cid:8123)(cid:8087)ர, ெகா(cid:8132)கஹ ய(cid:8117)ட கன(cid:8117)(cid:8074) ம(cid:8126)(cid:8096)(cid:8123) ெமத காணிகளி(cid:8121) ெமா(cid:8119)த(cid:8123); உாிைம ேகா(cid:8094)பவ(cid:8125): 01. எ(cid:8114).
க(cid:8120)த யன இட(cid:8123)வல எக(cid:8080)வ" எ(cid:8084)(cid:8123) காணியிைன ர(cid:8116)ஜி(cid:8119) பா(cid:8098)த பிேரமதிலக, இல. B/22/1, ேபாகல
இைண(cid:8112)க(cid:8122)ப(cid:8117)(cid:8076)(cid:8128)ள அ(cid:8117)டவைணயி(cid:8127) (cid:8065)றி(cid:8122)பிட(cid:8122) (cid:8106)தி, எரப(cid:8080)வல, க(cid:8121)ன(cid:8119)ெதா(cid:8117)ட, 02. எ(cid:8114).
ப(cid:8117)(cid:8076)(cid:8128)ள காணி(cid:8119) (cid:8080)(cid:8118)(cid:8076)கைள எ(cid:8076)(cid:8119)(cid:8080)(cid:8112)ெகா(cid:8128)ள த(cid:8125)ம(cid:8122)பிாிய (cid:8065)ணர(cid:8119)ன, இல. 14, ேபாகல (cid:8106)தி,
அரசா(cid:8117)சியா(cid:8125) எ(cid:8118)ணியி(cid:8094)(cid:8112)கிறா(cid:8125)க(cid:8128) எ(cid:8121)பைத 1964 எரப(cid:8080)வல, க(cid:8121)ன(cid:8119)ெதா(cid:8117)ட; வி(cid:8132)தீரண(cid:8123): 0.0194
ஆ(cid:8123) ஆ(cid:8118)(cid:8074)(cid:8121) 28 ஆ(cid:8123) இல(cid:8112)க காணி எ(cid:8076)(cid:8119)த(cid:8127) ெஹ(cid:8112)டயா(cid:8125).
தி(cid:8094)(cid:8119)த(cid:8114) ச(cid:8117)ட(cid:8122)ப(cid:8074) தி(cid:8094)(cid:8119)த(cid:8122)ப(cid:8117)டவாறான காணி
எ(cid:8076)(cid:8119)த(cid:8126) ச(cid:8117)ட(cid:8119)தி(cid:8121) (அ(cid:8119)தியாய(cid:8123) 460) 7 ஆ(cid:8123) ந(cid:8117)டஈ(cid:8076) உாி(cid:8119)தி(cid:8121) பாிசீலைன(cid:8119) திகதி:
பிாிவி(cid:8121) (1) ஆ(cid:8123) உ(cid:8117) பிாிவி(cid:8121) கீ(cid:8129), நா(cid:8121), இ(cid:8119)தா(cid:8127)
இல(cid:8112)க(cid:8123) 610467, காணி(cid:8119)(cid:8080)(cid:8118)(cid:8076) இல(cid:8112)க(cid:8123) 01, 02
அறிவி(cid:8112)கி(cid:8121)ேற(cid:8121).
இ(cid:8126)காக 2026.03.09 ஆ(cid:8120) திகதி (cid:8089).ப. 10.00 மணி(cid:8112)(cid:8065).
எ(cid:8076)(cid:8119)(cid:8080)(cid:8112) ெகா(cid:8128)ளவி(cid:8094)(cid:8112)(cid:8065)(cid:8123) காணியி(cid:8121) விபர(cid:8123):
ேம(cid:8126)(cid:8065)றி(cid:8119)த காணி(cid:8112)(cid:8065) உாி(cid:8119)(cid:8080)(cid:8122) ேப(cid:8070)கி(cid:8121)ற சகல(cid:8094)(cid:8123)
ச(cid:8122)பிரக(cid:8089)வ மாகாண(cid:8119)தி(cid:8121) ேககாைல மாவ(cid:8117)ட(cid:8119)தி(cid:8127)
தாமாக அ(cid:8127)ல(cid:8080) (cid:8089)ைற(cid:8122)ப(cid:8074) எ(cid:8104)(cid:8119)(cid:8080) (cid:8090)ல(cid:8123) அதிகார
(cid:8087)ல(cid:8119)ெகாஹுபி(cid:8117)(cid:8074)ய பிரேதச ெசயலாள(cid:8125) பிாிவி(cid:8127)
1A - G 46169 — 18 (2026/01)
இ(cid:8130) அதிவிேசட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- 2026.01.23
ப(cid:8065)தி III - இல(cid:8113)ைக(cid:8114) சனநாயக ேசாச(cid:8098)ச(cid:8112) (cid:8065)(cid:8074)யர(cid:8070) வ(cid:8125)(cid:8119)தமான(cid:8122) ப(cid:8119)திாிைக - அதி விேசஷமான(cid:8080) - 2026.01.23
மளி(cid:8112)க(cid:8122)ப(cid:8117)ட காாிய(cid:8112)கார(cid:8125) (cid:8090)லமாக 2026 ஆ(cid:8123) 01. (cid:8080)(cid:8118)(cid:8076) இல. 01
ஆ(cid:8118)(cid:8076) மா(cid:8114)(cid:8070) மாத(cid:8123) 09 ஆ(cid:8120) திகதி (cid:8089).ப. 10.00 காணியி(cid:8121) ெபய(cid:8125): ெதாட(cid:8123)கஹவ(cid:8119)த; விபர(cid:8123):
மணி(cid:8112)(cid:8065) (cid:8087)ல(cid:8119)ெகாஹுபி(cid:8117)(cid:8074)ய பிரேதச ெசயலக(cid:8119)தி(cid:8127) (cid:8106)(cid:8117)(cid:8076)(cid:8119)ேதா(cid:8117)ட(cid:8123); வி(cid:8132)தீரண(cid:8123): 0.0184 ெஹ(cid:8112)டயா(cid:8125).
எ(cid:8121) (cid:8089)(cid:8121) ெவளி(cid:8122)ப(cid:8076)(cid:8119)(cid:8080)(cid:8123)ப(cid:8074)(cid:8092)(cid:8123) ேம(cid:8100)(cid:8123), அ(cid:8112)காணி
02. (cid:8080)(cid:8118)(cid:8076) இல. 02
யி(cid:8127) அவ(cid:8125)க(cid:8102)(cid:8112)(cid:8065)(cid:8128)ள உட(cid:8120)ைதகளி(cid:8121) த(cid:8121)ைம
காணியி(cid:8121) ெபய(cid:8125): ெதா(cid:8123)பகஹவ(cid:8119)த ம(cid:8126)(cid:8096)(cid:8123)
ைய(cid:8092)(cid:8123) (cid:8065)றி(cid:8119)த காணிைய எ(cid:8076)(cid:8119)த(cid:8126)கான ந(cid:8117)டஈ(cid:8076)
ெதா(cid:8123)பகஹெகார(cid:8117)(cid:8076)வ அ(cid:8127)ல(cid:8080) ெதாட(cid:8123)கஹவ(cid:8119)த;
ப(cid:8126)றிய அவ(cid:8125)களி(cid:8121) ேகாாி(cid:8112)ைககளி(cid:8121) விபர(cid:8113)
விபர(cid:8123): (cid:8106)(cid:8117)(cid:8076)(cid:8119)ேதா(cid:8117)ட(cid:8123), ஒ(cid:8094) நிர(cid:8120)தர(cid:8112) க(cid:8117)(cid:8074)ட(cid:8123),
கைள(cid:8092)(cid:8123) ந(cid:8117)ட ஈ(cid:8117)(cid:8076)(cid:8119) ெதாைகைய(cid:8092)(cid:8123) அ(cid:8119) ெதாைக
ஒ(cid:8094) த(cid:8126)கா(cid:8098)க(cid:8112) க(cid:8117)(cid:8074)ட(cid:8123), ஒ(cid:8094) கிண(cid:8096), ஒ(cid:8094)
கணி(cid:8112)க(cid:8122)ப(cid:8117)ட வித(cid:8119)ைத(cid:8092)(cid:8123) 2026 ஆ(cid:8123) ஆ(cid:8118)(cid:8076) மா(cid:8114)(cid:8070)
மலசல(cid:8066)ட(cid:8123) ம(cid:8126)(cid:8096)(cid:8123) கல(cid:8122)(cid:8087)(cid:8122) பயி(cid:8125)(cid:8114) ெச(cid:8124)ைக ஒ(cid:8121)(cid:8096)
மாத(cid:8123) 09 ஆ(cid:8120) திகதி(cid:8112)(cid:8065) (cid:8089)(cid:8121)ன(cid:8125) எ(cid:8104)(cid:8119)தி(cid:8127)
காண(cid:8122)ப(cid:8076)கிற(cid:8080); வி(cid:8132)தீரண(cid:8123): 0.1963 ெஹ(cid:8112)டயா(cid:8125).
இ(cid:8094)பிரதிகளாக என(cid:8112)(cid:8065) அறிவி(cid:8112)(cid:8065)(cid:8123)ப(cid:8074)(cid:8092)(cid:8123) இ(cid:8119)தா(cid:8127)
ேக(cid:8117)(cid:8076)(cid:8112) ெகா(cid:8128)ள(cid:8122)ப(cid:8076)கி(cid:8121)றன(cid:8125).
03. (cid:8080)(cid:8118)(cid:8076) இல. 03
காணியி(cid:8121) ெபய(cid:8125): ெதாட(cid:8123)கஹவ(cid:8119)த; விபர(cid:8123):
எ(cid:8114). ஆ(cid:8125). எ(cid:8123). (cid:8086). அேபர(cid:8119)ன,
திற(cid:8120)த ெவளி; வி(cid:8132)தீரண(cid:8123): 0.0007 ெஹ(cid:8112)டயா(cid:8125).
பிரேதச ெசயலாள(cid:8125)/காணி எ(cid:8076)(cid:8119)த(cid:8127)
உ(cid:8119)திேயாக(cid:8119)த(cid:8125),
04. (cid:8080)(cid:8118)(cid:8076) இல. 04
(cid:8087)ல(cid:8119)ெகாஹுபி(cid:8117)(cid:8074)ய.
காணியி(cid:8121) ெபய(cid:8125): ெதாட(cid:8123)கஹவ(cid:8119)த; விபர(cid:8123):
திற(cid:8120)த ெவளி; வி(cid:8132)தீரண(cid:8123): 0.0013 ெஹ(cid:8112)டயா(cid:8125).
பிரேதச ெசயலக(cid:8123),
(cid:8087)ல(cid:8119)ெகாஹுபி(cid:8117)(cid:8074)ய,
05. (cid:8080)(cid:8118)(cid:8076) இல. 05
2026, சனவாி 20.
காணியி(cid:8121) ெபய(cid:8125): ெதாட(cid:8123)கஹவ(cid:8119)த; விபர(cid:8123):
திற(cid:8120)த ெவளி; வி(cid:8132)தீரண(cid:8123): 0.0031 ெஹ(cid:8112)டயா(cid:8125).
EOG 01 - 0238
ேம(cid:8126)(cid:8065)றி(cid:8119)த காணி(cid:8112)(cid:8065) உாி(cid:8119)(cid:8080)(cid:8122) ேப(cid:8070)கி(cid:8121)ற சகல(cid:8094)(cid:8123)
தாமாக அ(cid:8127)ல(cid:8080) (cid:8089)ைற(cid:8122)ப(cid:8074) எ(cid:8104)(cid:8119)(cid:8080) (cid:8090)ல(cid:8123) அதிகார
காணி எ(cid:8076)(cid:8119)த(cid:8126) ச(cid:8117)ட(cid:8123) (அ(cid:8119)தியாய(cid:8123) 460)
மளி(cid:8112)க(cid:8122)ப(cid:8117)ட காாிய(cid:8112)கார(cid:8125) (cid:8090)லமாக 2026 ஆ(cid:8123)
ஆ(cid:8118)(cid:8076) மா(cid:8114)(cid:8070) மாத(cid:8123) 30 ஆ(cid:8120) திகதி (cid:8089).ப. 10.00
7 ஆ(cid:8123) பிாிவி(cid:8121) கீ(cid:8129) அறிவி(cid:8119)த(cid:8127)
மணி(cid:8112)(cid:8065) ெவ(cid:8098)கம பிரேதச ெசயலக(cid:8119)தி(cid:8127) எ(cid:8121) (cid:8089)(cid:8121)
என(cid:8080) இல.: WEG/LAN/L9/ACQ/72. ெவளி(cid:8122)ப(cid:8076)(cid:8119)(cid:8080)(cid:8123)ப(cid:8074)(cid:8092)(cid:8123),
ேம(cid:8100)(cid:8123), அ(cid:8112)காணியி(cid:8127) அவ(cid:8125)க(cid:8102)(cid:8112)(cid:8065)(cid:8128)ள உட(cid:8120)ைத
ஒ(cid:8094) ெபா(cid:8080)(cid:8119) ேதைவ(cid:8112)(cid:8065) ேவ(cid:8118)(cid:8074)யதான கீ(cid:8129)(cid:8112) கா(cid:8078)(cid:8123)
களி(cid:8121) த(cid:8121)ைமைய(cid:8092)(cid:8123) (cid:8065)றி(cid:8119)த காணிைய எ(cid:8076)(cid:8119)
காணிைய எ(cid:8076)(cid:8119)(cid:8080)(cid:8112)ெகா(cid:8128)ள அரசா(cid:8117)சியா(cid:8125) எ(cid:8118)ணி
த(cid:8126)கான ந(cid:8117)டஈ(cid:8076) ப(cid:8126)றிய அவ(cid:8125)களி(cid:8121) ேகாாி(cid:8112)ைக
யி(cid:8094)(cid:8112)கிறா(cid:8125)க(cid:8128) எ(cid:8121)பைத 1964 ஆ(cid:8123) ஆ(cid:8118)(cid:8074)(cid:8121) 28
களி(cid:8121) விபர(cid:8113)கைள(cid:8092)(cid:8123) ந(cid:8117)ட ஈ(cid:8117)(cid:8076)(cid:8119) ெதாைகைய(cid:8092)(cid:8123)
ஆ(cid:8123) இல(cid:8112)க காணி எ(cid:8076)(cid:8119)த(cid:8127) தி(cid:8094)(cid:8119)த(cid:8114) ச(cid:8117)ட(cid:8122)ப(cid:8074)
அ(cid:8119) ெதாைக கணி(cid:8112)க(cid:8122)ப(cid:8117)ட வித(cid:8119)ைத(cid:8092)(cid:8123) 2026 ஆ(cid:8123)
தி(cid:8094)(cid:8119)த(cid:8122)ப(cid:8117)டவாறான காணி எ(cid:8076)(cid:8119)த(cid:8126) ச(cid:8117)ட(cid:8119)தி(cid:8121)
ஆ(cid:8118)(cid:8076) மா(cid:8114)(cid:8070) மாத(cid:8123) 23 ஆ(cid:8120) திகதி(cid:8112)(cid:8065) (cid:8089)(cid:8121)ன(cid:8125)
(அ(cid:8119)தியாய(cid:8123) 460) 7 ஆ(cid:8123) பிாிவி(cid:8121) (1) ஆ(cid:8123) உ(cid:8117)
எ(cid:8104)(cid:8119)தி(cid:8127) இ(cid:8094)பிரதிகளாக என(cid:8112)(cid:8065) அறிவி(cid:8112)(cid:8065)(cid:8123)ப(cid:8074)(cid:8092)(cid:8123)
பிாிவி(cid:8121) கீ(cid:8129), நா(cid:8121), இ(cid:8119)தா(cid:8127) அறிவி(cid:8112)கி(cid:8121)ேற(cid:8121).
இ(cid:8119)தா(cid:8127) ேக(cid:8117)(cid:8076)(cid:8112) ெகா(cid:8128)ள(cid:8122)ப(cid:8076)கி(cid:8121)றன(cid:8125).
எ(cid:8076)(cid:8119)(cid:8080)(cid:8112) ெகா(cid:8128)ளவி(cid:8094)(cid:8112)(cid:8065)(cid:8123) காணியி(cid:8121) விபர(cid:8123):
(cid:8075). எ(cid:8127). எ(cid:8121). எ(cid:8132). ெம(cid:8118)(cid:8074)(cid:8132),
மா(cid:8119)தைற மாவ(cid:8117)ட(cid:8119)தி(cid:8121) ெவ(cid:8098)கம பிரேதச
பிரேதச ெசயலாள(cid:8125),
ெசயலாள(cid:8125) பிாிவி(cid:8121) மிாி(cid:8132)ஸ ெத(cid:8126)(cid:8065) I கிராம(cid:8119)தி(cid:8127)
ெவ(cid:8098)கம.
அைம(cid:8120)(cid:8080)(cid:8128)ள கட(cid:8119)திர(cid:8127) வைரபட இல. 820085 ஆ(cid:8123)
நில அளைவ(cid:8122)பட(cid:8119)தி(cid:8127) (cid:8089)(cid:8121) (cid:8065)றி(cid:8122)பிட(cid:8122)ப(cid:8117)(cid:8076)(cid:8128)ள பிரேதச ெசயலக(cid:8123),
காணிக(cid:8128) வனஜீவராசிக(cid:8128) பா(cid:8080)கா(cid:8122)(cid:8087)(cid:8119) திைண(cid:8112) ெவ(cid:8098)கம,
கள(cid:8119)தி(cid:8121) மிாி(cid:8132)ஸ வன(cid:8122) பா(cid:8080)கா(cid:8122)(cid:8087) அ(cid:8100)வலக(cid:8123) 2026, சனவாி 20.
ஒ(cid:8121)ைற அைம(cid:8122)பத(cid:8126)காக காணிகைள எ(cid:8076)(cid:8119)(cid:8080)(cid:8112)
ெகா(cid:8128)ள அவசியமாக உ(cid:8128)ள(cid:8080): EOG 01 - 0239
இல(cid:8113)ைக அரசா(cid:8113)க அ(cid:8114)(cid:8070)(cid:8119) திைண(cid:8112)கள(cid:8119)தி(cid:8127) அ(cid:8114)சிட(cid:8122)ப(cid:8117)ட(cid:8080).</t>
  </si>
  <si>
    <t>07db6f75-bec1-4879-9fc0-77382cc71eb4</t>
  </si>
  <si>
    <t>2472_51</t>
  </si>
  <si>
    <t>2472/51</t>
  </si>
  <si>
    <t>Government Notification (Galle District - Thawalama) - General Section under Part I:I</t>
  </si>
  <si>
    <t>රජයේ නියෝගය (ගාල්ල දිස්ත්‍රික්කය - තවලම) - I වැනි කොටස (I) වැනි ඡේදය - සාමාන්‍ය</t>
  </si>
  <si>
    <t>அரசாங்க அறிவித்தல் (காலி மாவட்டம் - தவலம) - பகுதி I: தொகுதி I - பொது</t>
  </si>
  <si>
    <t>Government notification under Part I, Section (I) - General, concerning matters in Thawalama, Galle District, Southern Province. Dated Colombo, 19 January 2026.</t>
  </si>
  <si>
    <t>m1/raw/2472_51.pdf</t>
  </si>
  <si>
    <t>1A
II ෙෙකක(cid:675)(cid:675)ටටසස:: ((II)) ෙෙඡඡදදයය – (cid:636)(cid:636) ලලංංකකාා (cid:541)(cid:541)ජජාාතතාා(cid:486)(cid:486)(cid:437)(cid:437)කක සසමමාාජජවවාා(cid:463)(cid:463) ජජනනරරජජෙෙ(cid:591)(cid:591) අඅ(cid:431)(cid:431) (cid:618)(cid:618)ෙෙශශෂෂ ගගැැසස(cid:376)(cid:376) පප(cid:436)(cid:436)යය –– 22002255..1111..1144
(cid:636)(cid:636) ලලංංකකාා (cid:541)(cid:541)ජජාාතතාා(cid:486)(cid:486)(cid:437)(cid:437)කක සසමමාාජජවවාා(cid:463)(cid:463) ජජනනරරජජෙෙ(cid:591)(cid:591) ගගැැසස(cid:376)(cid:376) පප(cid:436)(cid:436)යය
අ(cid:431) (cid:618)ෙශෂ
අඅංංකක 22447722//5511 –– 22002266 ජජනනවවාා(cid:604)(cid:604) මමසස 2233 වවැැ(cid:487)(cid:487) (cid:646)(cid:646)(cid:253)(cid:253)රරාාදදාා –– 22002266..0011..2233
((රරජජෙෙ(cid:591)(cid:591) බබලලයය(cid:536)(cid:536)ටට (cid:541)(cid:541)(cid:646)(cid:646)(cid:458)(cid:458)ධධ කකරරනන ලල(cid:463)(cid:463)))
I වවැැ(cid:487)(cid:487) ෙෙකක(cid:675)(cid:675)ටටසස: (I) වවැැ(cid:487)(cid:487) ෙෙඡඡදදයය – සසාාමමාානන(cid:597)(cid:597)
රරජජෙෙ(cid:591)(cid:591) (cid:487)(cid:487)ෙෙ(cid:617)(cid:617)දදනන
වව(cid:486)(cid:486)දදනනාා ගගමම(cid:486)(cid:486) ආආඥඥාාපපනනතත
ද(cid:253)(cid:415) පළාෙ(cid:430) ගා(cid:610)ල (cid:462)ස්(cid:437)(cid:250)කෙ(cid:591) තවලම (cid:541)ාෙ(cid:458)(cid:629)ය ෙ(cid:610)ක(cid:572) ෙක(cid:675)(cid:376)ඨාසෙ(cid:591) (cid:655)(cid:487)(cid:464)ම ද(cid:253)ණ හා ම(cid:610)හතාව (cid:286)ාම (cid:487)ලධා(cid:605) වස(cid:572) ෙදකට
අය(cid:430) (cid:655)(cid:487)(cid:464)ම ක(cid:610)වා(cid:605) (cid:538)ද(cid:554)ෙම(cid:655) (ශා(cid:486)ත ආනා ෙ(cid:458)වස්ථානය) වා(cid:601)(cid:639)කව පව(cid:430)ව(cid:489) ලබන චතා(cid:604)ක ව(cid:486)දනා සමය 2026 (cid:250) (cid:621) ෙපබරවා(cid:604)
මස 18 වන (cid:462)න (cid:646)ට 2026 (cid:250) (cid:620) අෙ(cid:541)(cid:674)(cid:610) මස 05 වන (cid:462)න ද(cid:250)වා පව(cid:430)ව(cid:489) ලබන බව ව(cid:486)දනා ගම(cid:486) ආඥාපනෙ(cid:430) 2 වැ(cid:487) වග(cid:486)(cid:431)ය
අ(cid:489)ව (175 වන අ(cid:477)කාරය (cid:621)) ෙර(cid:283)ලා(cid:646) (cid:541)කාරව අංක 2057/33 හා 2018.02.09 (cid:462)නැ(cid:431) (cid:636) ලංකා (cid:541)ජාතා(cid:486)(cid:437)ක සමාජවා(cid:463) ජනරජෙ(cid:591)
අ(cid:431) (cid:618)ෙශෂ ගැස(cid:376) ප(cid:436)ය යටෙ(cid:430) සාද(cid:489) ලබන (cid:487)ෙය(cid:676)ග අ(cid:489)ව ෙම(cid:592)(cid:486) ද(cid:486)ව(cid:573).
ඩඩ(cid:553)(cid:553).. ඒඒ.. ධධ(cid:601)(cid:601)මම(cid:646)(cid:646)(cid:604)(cid:604),,
(cid:462)ස්(cid:437)(cid:250) ෙ(cid:610)ක(cid:572)/ (cid:462)සාප(cid:431),
ගා(cid:610)ල ප(cid:604)පාලන (cid:462)ස්(cid:437)(cid:250)කය.
2026 ජනවා(cid:604) මස 19 වැ(cid:487) (cid:462)න,
EOG 01-0240
1A – G 46170 – 06(2026/01) (cid:636) ලංකා රජෙ(cid:591) (cid:575)(cid:470)ණ ෙදපා(cid:601)තෙ(cid:572)(cid:486)(cid:433)ෙ(cid:617) (cid:575)(cid:470)ණය කරන ල(cid:463).
ෙමම අ(cid:431) (cid:618)ෙශෂ ගැස(cid:376) ප(cid:436)ය www.documents.gov.lk ෙව(cid:553) අඩ(cid:618)ෙය(cid:486) බාගත කළ(cid:171)හැක.</t>
  </si>
  <si>
    <t>29e47c8d-1765-4df7-ae45-698cc51cc426</t>
  </si>
  <si>
    <t>2472_52</t>
  </si>
  <si>
    <t>2472/52</t>
  </si>
  <si>
    <t>Provincial Councils — Appointment of District Directors (Gazette 2472/52)</t>
  </si>
  <si>
    <t>පළාත් සභා - දිස්ත්‍රික් අධ්‍යක්ෂවරු පත් කිරීම</t>
  </si>
  <si>
    <t>மாகாண சபைகள் - மாவட்ட ஆளுநர்களின் நியமனம்</t>
  </si>
  <si>
    <t>Western Province Governor's notification appointing two District Directors effective 19 February 2026 (Mr. Sri Lanka Tissera and Mr. Mihindukulasooriya). Includes details of qualifications and assignments. Part IV(A) — Provincial Councils.</t>
  </si>
  <si>
    <t>m1/raw/2472_52.pdf</t>
  </si>
  <si>
    <t>Y%S ,xld m%cd;dka;%sl iudcjd§ ckrcfha .eiÜ m;%h
w;s úfYI
,yq;ifr; rdehaf Nrhryprf; FbauR th;j;jkhdg; gj;jphpif
mjp tpNr\khdJ
wxl 2472/52 - 2026 ckjdß ui 23 jeks isl=rdod - 2026'01'23
2472/ 52 Mk; ,yf;fk; - 2026 Mk; Mz;L rdthp khjk; 23 Me; jpfjp nts;spf;fpoik
(murhq;fj;jpd; mjpfhuj;Jld; gpuRupf;fg;gl;lJ)
gFjp IV(m) - khfhz rigfs;
ஆஆளுளுநநர்ர்ககளிளிிின்ன் நநிியயமமனனங்ங்ககளுளும்ம் பிபிிிறறவுவும்ம்
ஊஊவாவாாா மமாாககாாணண மமாாககாாணண சசபைபைபிபி
ஊஊவாவாாா மமாாககாாணண ஆஆளுளுநநாாிினனாால்ல் செசெசசய்ய்யயப்ப்பிபிடுடும்ம் நநிியயமமனனங்ங்ககள்ள்
ஊவாா மாகாண ஆளுநர் சட்டத்தரணி ஜ�. எம். கபிில �யஜசகர ஆகிய என்னால், ஊவாா மாகாணத்தின் மாகாண சபைபியின்
2014 ஆம் ஆண்டின் 02 ஆம் இலக்க ஆரம்பி பிிள்பைளிப்பிருவா நிதியச் சட்டத்தின் 10(அ) ஆம் பிிாிவாின் பிிரகாரம், கீழ்
குறிப்பிிடப்பிட்டுள்ளி நியமனங்கள் செசய்யப்பிட்டுள்ளிது என்பிதபைன இத்தால் அறியத்தருகின்ஜறன்..
செபியர் மற்றும் முகவாாி பிதவாி காலம்
01. திரு. டீ. எம். ஜக. எஸ். பீ. திசானாயக ஊவாா மாகாண ஆரம்பி 2025.11.06 ஆந் திகதி முதல் 2026.02.19
அவார்கள், பிிள்பைளிப் பிருவாம் ஆந் திகதி வாபைர அல்லது ஊவாா மாகாண
ஊவாா மாகாண உள்ளூராட்சி ஆபைணயாளிர், செதாடர்பிான ஆஜலாசபைன உள்ளூராட்சி ஆபைணயாளிராக பிதவாி
உள்ளூராட்சி ஆபைணயாளிர் திபைணக்களிம் குழுவாின் அதிகாரபூர்வா வாகிக்கும் வாபைர அல்லது ஆகிய இரு
(ஊவாா), அங்கத்தவாராக தினங்களிில் முன் ஜதான்றும் திகதி
மாடின் சில்வாா மாவாத்பைத, வாபைரயில் மாத்திரம்
பிதுபைளி
02. திருமதி வீ. வீ. எம். செபிான்ஜசகா அவார்கள், ஊவாா மாகாண ஆரம்பி 2025.12.19 ஆந் திகதி முதல் 2026.02.19
கல்வாிப் பிணிப்பிாளிர் (பிதில் கடபைம), பிிள்பைளிப் பிருவாம் ஆந் திகதி வாபைர அல்லது ஊவாா மாகாண
ஊவாா மாகாண கல்வாித் திபைணக்களிம், செதாடர்பிான ஆஜலாசபைன கல்வாிப் பிணிப்பிாளிராக பிதவாி வாகிக்கும்
செவாலசெகதர வீதி, குழுவாின் அதிகாரபூர்வா வாபைர அல்லது ஆகிய இரு தினங்களிில்
பிதுபைளி அங்கத்தவாராக முன் ஜதான்றும் திகதி வாபைரயில் மாத்திரம்
சட்டத்தரணி ஜ�. எம். கபிில �யஜசகர,
ஊவாா மாகாண ஆளுநர்.
ஊவாா மாகாண ஆளுநர் அலுவாலகம்,
2026.01.20.
EOG 01 - 0241/1
1A - PG 7488 — 06 (2026/01)
,t; mjp tpNrl tu;j;jkhdpia www.documents.gov.lk vd;Dk; ,izaj;jsj;jpypUe;J gjptpwf;fk; nra;a KbAk;.
2 A IV ^w&amp; fldgi - Y%S ,xld m%cd;dka;%sl iudcjd§ ckrcfha w;s úfYI .eiÜ m;%h - 2026'01'23
gFjp IV (m) - ,yq;ifr; rdehaf Nrhryprf; FbauR tu;j;jkhdg; gj;;jpupif - mjp tpNr\khdJ - 2026.01.23
ஊஊவாவாாா மமாாககாாணண மமாாககாாணண சசபைபைபிபி
ஊஊவாவாாா மமாாககாாணண ஆஆளுளுநநாாிினனாால்ல் செசெசசய்ய்யயப்ப்பிபிடுடும்ம் நநிியயனனங்ங்ககள்ள்
இலங்பைகச் சனநாயக ஜசாசலிசக் குடியரசின் அரசியலபைமப்பிின் 154இ. மற்றும் 154ஊ. உறுப்புபைரகளிின் மூலம் ஊவாா
மாகாண ஆளுநர் சட்டத்தரணி ஜ�. எம். கபிில �யஜசகர ஆகிய எனக்குாித்தாக்கப்பிட்டுள்ளி தத்துவாங்களிின் பிிரகாரம்,
ஊவாா மாகாணத்தின் மாகாண சபைபியின் 2000 ஆம் ஆண்டின் 05 ஆம் இலக்க ஊவாா மாகாண நூலக ஜசபைவாகள் மன்றம்
நியதிச் சட்டத்தின் 6அ. (1) ஆம் பிிாிவாிற்கபைமய, கீழ்க் குறிப்பிிடப்பிட்டுள்ளி நியமனத்பைத செசய்துள்ஜளின் என்பிதபைன இத்தால்
அறியத்தருகின்ஜறன்..
செபியர் மற்றும் முகவாாி பிதவாி காலம்
02. திருமதி வீ. வீ. எம். செபிான்ஜசகா ஊவாா மாகாண நூலக ஜசபைவாகள் 2025.12.19 ஆந் திகதி முதல்
அவார்கள், மன்றத்தின் அங்கத்தவாராக 2027.11.07 ஆந் திகதி வாபைர
கல்வாிப் பிணிப்பிாளிர் (பிதில் கடபைம), அல்லது ஊவாா மாகாண கல்வாிப்
ஊவாா மாகாண கல்வாித் திபைணக்களிம், பிணிப்பிாளிராக பிதவாி வாகிக்கும் வாபைர
பிதுபைளி. அல்லது ஆகிய இரு தினங்களிில் முன்
ஜதான்றும் திகதி வாபைரயில் மாத்திரம்
சட்டத்தரணி ஜ�. எம். கபிில �யஜசகர,
ஊவாா மாகாண ஆளுநர்.
ஊவாா மாகாண ஆளுநர் அலுவாலகம்,
2026.01.20.
EOG 01 - 0241/2
,yq;if murhq;f mr;Rj; jpizf;fsj;jpw; gjpg;gpf;fg;ngw;wJ.</t>
  </si>
  <si>
    <t>b43c4698-788b-40b4-a520-9bb59c941241</t>
  </si>
  <si>
    <t>2472_53</t>
  </si>
  <si>
    <t>2472/53</t>
  </si>
  <si>
    <t>Local Authorities Elections Ordinance, Section 10A(1)(a) — Velanai Pradeshiya Sabha Returning Officer notice (Gazette 2472/53)</t>
  </si>
  <si>
    <t>පළාත් පාලන ආයතන ඡන්ද විමසීම් ආඥාපනත 10අ(1)(අ) වගන්තිය - වෙලනේ ප්‍රාදේශීය සභා භාරගැනීමේ නිලධාරීගේ දැන්වීම</t>
  </si>
  <si>
    <t>உள்ளூராட்சி அதிகார சபைகள் தேர்தல்கள் கட்டளைச் சட்டம், 10அ(1)(அ) ஆம் பிரிவு - வேலணை பிரதேச சபை தேர்தல் அதிகாரியின் அறிவித்தல்</t>
  </si>
  <si>
    <t>R. Sasselan, Returning Officer of Velanai Pradeshiya Sabha, declares under Section 10A(1)(a) of the Local Authorities Elections Ordinance that Pannampalam Nadanasikamani has ceased to be a member of the Thamizh Makkal Koottani and has therefore been removed as a member of the Sabha. Issued from the District Elections Office, Jaffna, 23 January 2026.</t>
  </si>
  <si>
    <t>m1/raw/2472_53.pdf</t>
  </si>
  <si>
    <t>ශ්‍රී ලංංකාා ප්‍රජාාතාාන්ත්‍රිකා සමාාජාවාාදී ජානරජායේ� ගැැසට් පත්‍රය
අති වියේ�ෂ
The Gazette of the Democratic Socialist Republic of Sri Lanka
EXTRAORDINARY
අංකා 2472/53 - 2026 ජානවාාරි මාස 23 වාැනි සිකුරාදාා - 2026.01.23
No. 2472/53 - FRIDAY, JANUARY 23, 2026
(Published by Authority)
PART IV (B) — LOCAL GOVERNMENT
Notices under the Local Authorities Elections Ordinance
NOTICE UNDER SECTION 10A(1)(a) OF THE LOCAL AUTHORITIES ELECTIONS ORDINANCE
Velanai Pradeshiya Sabha
I, Rajendra Saseelan, Returning Officer of the Velanai Pradeshiya Sabha, do hereby declare under Section 10A(1)(a) of the
(Chapter 262) Local Authorities Elections Ordinance that Mr. Ponnampalam Nadanasikamani of the Velanai Pradeshiya
Sabha has vacated his office of member of that Pradeshiya Sabha as he has been ceased to be a member of the Thamizh
Makkal Koottani.
R. Saseelan,
Returning Officer,
Velanai Pradeshiya Sabha.
District Elections Office,
Jaffna,
23rd of January, 2026.
EOG 01- 0249
1A- PG 7489 - 08 (01/2026) PRINTED AT THE DEPARTMENT OF GOVERNMENT PRINTING, SRI LANKA.
This Gazette Extraordinary can be downloaded from www.documents.gov.lk</t>
  </si>
  <si>
    <t>62179a0d-a0dd-462f-a913-41fa719a8493</t>
  </si>
  <si>
    <t>2472_54</t>
  </si>
  <si>
    <t>2472/54</t>
  </si>
  <si>
    <t>Title Registration Act, No. 21 of 1998, Section 14 — Amendment of previous decision (Gazette 2472/54)</t>
  </si>
  <si>
    <t>Amendment to a prior Commissioner of Title Settlement decision under Section 14 of the Title Registration Act No. 21 of 1998. Part III — Lands. Amends prior Gazette 2438/05 reference 27/0011.</t>
  </si>
  <si>
    <t>m1/raw/2472_54.pdf</t>
  </si>
  <si>
    <t>III �ක ස�ටස - ශ්‍රී ��ක ස� ‍රා���්ත්‍රික ස සම�ා�� ජ ාජයා�� ි ව ශෙ��ග ��ස ප ්‍ර� - 2026.01.23 1 A
பகுத� III - இலங்�கச் சன��யக �ச�சலிசக் குடியரசு வர்த்தம�னப் பத்த����க - அத� வ��சஷம�னது - 2026.01.23
ශ්‍රී ��ක� ප්‍රජ���්ත්‍රික ස��ජ��දී ජනරජ�� ��සට් පත්‍රය
இலங்�கச் சன��யக �ச�சலிசக் குடியரசு வர்த்தம�னப் பத்த����க
ි ව ශෙ��ග அத� வ��சஷம�னது
ි�ක ස 2472/54 - 2026 ාජ��රි මස 23 ��නි සිකුය��� - 2026.01.23
2472/54 ஆம் இலக்கம் - 2026 ஆம் ஆண்டு சனவ�� ம�தம் 23 ஆந் த�கத� �வள்ள�க்க�ழ�ம
(அரச�ங்கத்த�ன் அத�க�ரத்துடன் ப�ரசு��க்கப்பட்டது)
பகுத� III - க�ண�கள்
உ��த்துப் பத�வு �சய்தல்
த�ருத்தம்
1998 ஆம் ஆண்டின் 21 ஆம் இலக்க உ��த்துப் பத�வுச் சட்டம்
14 ஆம் ப���வ�ன் க�ழ் உ��த்து ��ர்ணய ஆ�ணய�ள��ன் த�ர்ம�னத்�த �வள�ப்படுத்தல்
2025.05.26 ஆந் த�கத�ய 2438/05 ஆம் இலக்க இலங்�கச் சன��யக �ச�சலிசக் குடியரச�ன் அத� வ��சட வர்த்தம�ன�ய�ல் ப�ரசுரம�ன
27/0011 எனும் அற�வ�த்தலில் குற�ப்ப�டப்பட்டுள்ள, 270206 ஆம் இலக்க கடத்த�ரல் அள�வ வ�ரபடத்த�ல், ப���வு இல. 11 இல்
குற�ப்ப�டப்பட்டுள்ள, “குருந்தயடிமு�ன” எனும் க�ர�மம் “குருந்�தயடிமுன்ம���” என உள்ளடக்கப்பட்டு த�ருத்தப்படுதல் �வண்டும்.
பீ. ச�. டீ. ச��கர�,
க�ண� உ��த்து ��ர்ணய ஆ�ணய�ளர் ��யகம்.
க�ண� உ��த்து ��ர்ணயத் த��ணக்களம்,
இல. 1200/6, “ம���கத �மதுர”,
இரஜமல்வத்த வீத�,
பத்தரமுல்�ல,
2025 ஆம் ஆண்டு த��சம்பர் ம�தம் 12 ஆம் த�கத�.
EOG 01 - 0242/1
1A - G 46171 - 03 (2026/01)
மு. கு. - இவ் அத�வ��ஷட வர்த்தம�ன��ய www.documents.gov.lk எனும் இ�ணயத்தளத்த�லிருந்து பத�வ�றக்கம் �சய்ய முடியும்.
2 A III �ක ස�ටස - ශ්‍රී ��ක ස� ‍රා���්ත්‍රික ස සම�ා�� ජ ාජයා�� ි ව ශෙ��ග ��ස ප ්‍ර� - 2026.01.23
பகுத� III - இலங்�கச் சன��யக �ச�சலிசக் குடியரசு வர்த்தம�னப் பத்த����க - அத� வ��சஷம�னது - 2026.01.23
த�ருத்தம்
1998 ஆம் ஆண்டின் 21 ஆம் இலக்க உ��த்துப் பத�வுச் சட்டம்
14 ஆம் ப���வ�ன் க�ழ் உ��த்து ��ர்ணய ஆ�ணய�ள��ன் த�ர்ம�னத்�த �வள�ப்படுத்தல்
2025.05.26 ஆந் த�கத�ய 2438/05 ஆம் இலக்க இலங்�கச் சன��யக �ச�சலிசக் குடியரச�ன் அத� வ��சட வர்த்தம�ன�ய�ல் ப�ரசுரம�ன
27/0009 எனும் அற�வ�த்தலில் குற�ப்ப�டப்பட்டுள்ள, 270206 ஆம் இலக்க கடத்த�ரல் அள�வ வ�ரபடத்த�ல், ப���வு இல. 23 இல் “தம�ழ் மூல
வர்த்தம�ன�ய�ல்” குற�ப்ப�டப்பட்டுள்ள, “ப�னஅறுப்ப�ன்” எனும் க�ர�மம் “ப�னயறுப்ப�ன்” என உள்ளடக்கப்பட்டு த�ருத்தப்படுதல்
�வண்டும்.
பீ. ச�. டீ. ச��கர�,
க�ண� உ��த்து ��ர்ணய ஆ�ணய�ளர் ��யகம்.
க�ண� உ��த்து ��ர்ணயத் த��ணக்களம்,
இல. 1200/6, “ம���கத �மதுர”,
இரஜமல்வத்த வீத�,
பத்தரமுல்�ல,
2025 ஆம் ஆண்டு த��சம்பர் ம�தம் 12 ஆம் த�கத�.
EOG 01 - 0242/2
த�ருத்தம்
1998 ஆம் ஆண்டின் 21 ஆம் இலக்க உ��த்துப் பத�வுச் சட்டம்
14 ஆம் ப���வ�ன் க�ழ் உ��த்து ��ர்ணய ஆ�ணய�ள��ன் த�ர்ம�னத்�த �வள�ப்படுத்தல்
2025.05.31 ஆந் த�கத�ய 2438/94 ஆம் இலக்க இலங்�கச் சன��யக �ச�சலிசக் குடியரச�ன் அத� வ��சட வர்த்தம�ன�ய�ல் ப�ரசுரம�ன
27/0009 எனும் அற�வ�த்தலில் குற�ப்ப�டப்பட்டுள்ள, 270206 ஆம் இலக்க கடத்த�ரல் அள�வ வ�ரபடத்த�ல், ப���வு இல. 23 இல் “தம�ழ் மூல
வர்த்தம�ன�ய�ல்” குற�ப்ப�டப்பட்டுள்ள, “142 டீ, கஞ்��ரன்குட� - 148 டீ” எனும் க�ர�ம அலுவலக ப���வு “148 டி, க�ஞ்ச�ரன்குட� - 148 டி” என
உள்ளடக்கப்பட்டு த�ருத்தப்படுதல் �வண்டும்.
பீ. ச�. டீ. ச��கர�,
க�ண� உ��த்து ��ர்ணய ஆ�ணய�ளர் ��யகம்.
க�ண� உ��த்து ��ர்ணயத் த��ணக்களம்,
இல. 1200/6, “ம���கத �மதுர”,
இரஜமல்வத்த வீத�,
பத்தரமுல்�ல,
2025 ஆம் ஆண்டு த��சம்பர் ம�தம் 12 ஆம் த�கத�.
EOG 01 - 0242/3
III �ක ස�ටස - ශ්‍රී ��ක ස� ‍රා���්ත්‍රික ස සම�ා�� ජ ාජයා�� ි ව ශෙ��ග ��ස ප ්‍ර� - 2026.01.23 3 A
பகுத� III - இலங்�கச் சன��யக �ச�சலிசக் குடியரசு வர்த்தம�னப் பத்த����க - அத� வ��சஷம�னது - 2026.01.23
த�ருத்தம்
1998 ஆம் ஆண்டின் 21 ஆம் இலக்க உ��த்துப் பத�வுச் சட்டம்
14 ஆம் ப���வ�ன் க�ழ் உ��த்து ��ர்ணய ஆ�ணய�ள��ன் த�ர்ம�னத்�த �வள�ப்படுத்தல்
2025.05.31 ஆந் த�கத�ய 2438/94 ஆம் இலக்க இலங்�கச் சன��யக �ச�சலிசக் குடியரச�ன் அத� வ��சட வர்த்தம�ன�ய�ல் ப�ரசுரம�ன
27/0008 எனும் அற�வ�த்தலில் குற�ப்ப�டப்பட்டுள்ள, 270206 ஆம் இலக்க கடத்த�ரல் அள�வ வ�ரபடத்த�ல், ப���வு இல. 23 இல் “தம�ழ் மூல
வர்த்தம�ன�ய�ல்” குற�ப்ப�டப்பட்டுள்ள, “ச�லி�க�டிய�று” எனும் க�ர�மம் “ச�ல்லிக்�க�டிய�று” என உள்ளடக்கப்பட்டு த�ருத்தப்படுதல்
�வண்டும்.
பீ. ச�. டீ. ச��கர�,
க�ண� உ��த்து ��ர்ணய ஆ�ணய�ளர் ��யகம்.
க�ண� உ��த்து ��ர்ணயத் த��ணக்களம்,
இல. 1200/6, “ம���கத �மதுர”,
இரஜமல்வத்த வீத�,
பத்தரமுல்�ல,
2025 ஆம் ஆண்டு த��சம்பர் ம�தம் 12 ஆம் த�கத�.
EOG 01 - 0242/4
த�ருத்தம்
1998 ஆம் ஆண்டின் 21 ஆம் இலக்க உ��த்துப் பத�வுச் சட்டம்
14 ஆம் ப���வ�ன் க�ழ் உ��த்து ��ர்ணய ஆ�ணய�ள��ன் த�ர்ம�னத்�த �வள�ப்படுத்தல்
2025.07.14 ஆந் த�கத�ய 2445/10 ஆம் இலக்க இலங்�கச் சன��யக �ச�சலிசக் குடியரச�ன் அத� வ��சட வர்த்தம�ன�ய�ல் ப�ரசுரம�ன
27/0031 எனும் அற�வ�த்தலில் குற�ப்ப�டப்பட்டுள்ள, 270158 ஆம் இலக்க கடத்த�ரல் அள�வ வ�ரபடத்த�ல், ப���வு இல. 02 இல்
குற�ப்ப�டப்பட்டுள்ள, “மன்மு�ன வடக்கு” எனும் க�ர�மம் “மண்மு�ன வடக்கு” என உள்ளடக்கப்பட்டு த�ருத்தப்படுதல் �வண்டும்.
பீ. ச�. டீ. ச��கர�,
க�ண� உ��த்து ��ர்ணய ஆ�ணய�ளர் ��யகம்.
க�ண� உ��த்து ��ர்ணயத் த��ணக்களம்,
இல. 1200/6, “ம���கத �மதுர”,
இரஜமல்வத்த வீத�,
பத்தரமுல்�ல,
2025 ஆம் ஆண்டு த��சம்பர் ம�தம் 12 ஆம் த�கத�.
EOG 01 - 0242/5
இலங்�க அரச�ங்க அச்சுத் த��ணக்களத்த�ல் பத�ப்ப�க்கப்�பற்றது.</t>
  </si>
  <si>
    <t>b9f3768e-610b-4690-a905-760ca7c9b53f</t>
  </si>
  <si>
    <t>2472_55</t>
  </si>
  <si>
    <t>2472/55</t>
  </si>
  <si>
    <t>Title Registration Act, No. 21 of 1998, Section 14 — Commissioner of Title Settlement's decision under Section 14 (Gazette 2472/55)</t>
  </si>
  <si>
    <t>m1/raw/2472_55.pdf</t>
  </si>
  <si>
    <t>184d0e5a-d8fe-4566-9f43-5984484bd79f</t>
  </si>
  <si>
    <t>2472_56</t>
  </si>
  <si>
    <t>2472/56</t>
  </si>
  <si>
    <t>Title Registration Act, No. 21 of 1998, Section 14 — Commissioner of Title Settlement's decision under Section 14 (Gazette 2472/56)</t>
  </si>
  <si>
    <t>m1/raw/2472_56.pdf</t>
  </si>
  <si>
    <t>15bb6e28-16fe-4f42-9830-4d0545c350af</t>
  </si>
  <si>
    <t>2472_57</t>
  </si>
  <si>
    <t>2472/57</t>
  </si>
  <si>
    <t>Title Registration Act, No. 21 of 1998, Section 14 — Commissioner of Title Settlement's decision under Section 14 (Gazette 2472/57)</t>
  </si>
  <si>
    <t>m1/raw/2472_57.pdf</t>
  </si>
  <si>
    <t>07f9ca95-13f1-455d-8fe5-9a001991cc19</t>
  </si>
  <si>
    <t>2472_58</t>
  </si>
  <si>
    <t>2472/58</t>
  </si>
  <si>
    <t>Title Registration Act, No. 21 of 1998, Section 14 — Amendment of previous decision (Gazette 2472/58)</t>
  </si>
  <si>
    <t>Amendment to a prior Commissioner of Title Settlement decision under Section 14 of the Title Registration Act No. 21 of 1998. Part III — Lands. Amends prior Gazette 2049/54 of December 14, 2017; covers Land Parcel No. 01 of page No. 01 covering Lot No. 210 in Cadastral Map No. 530020, Niladhari Division of Tehsuvelpatha, Saharagama. Dated 10 December 2025.</t>
  </si>
  <si>
    <t>m1/raw/2472_58.pdf</t>
  </si>
  <si>
    <t>ශ්‍රී ලංකා ප්‍රජාාාා්ත්‍රික සමාජාවාදී ජානරජායේ ගැසට් පත්‍රය
අති විශෙෂ
අිං 2472/58 - 2026 ජනවාරි මස 23 වැනි සිකුරාදා - 2026.01.23
(රජායේ බලයපිට ප්‍රසිද්ධ කරන ලදී)
III වැනි ශ ොටස - ඉඩම්
හිමි ම් ලියාපදිංචි කිරීම
සිංශෙෝධන
1998 අිං 21 දරන හිමි ම් ලියාපදිංචි කිරීශම් පනත
(14 වන වග්තතිය)
උක්ා ශීර්ෂය යටයේ 2017 යෙසැම්බර් මස 14 වන දින අංක 2049/54 ෙරණ ශ්‍රී ලංකා ප්‍රජාාාා්ත්‍රික සමාජාවාදී ජානරජායේ අති ශෙය ෂ ගැසට් පත්‍රයේ
පළ කරන ලෙ බස්නාහිර පළායේ කළුාර දිස්්‍රික්කයේ පානර ර ප්‍රාය්ධශීය යමකම් යක්ට්සාසයේ අංක 272 - යකයසමවේා ග්‍රාම ලධල ා
යක්ට්සාසය තුළ යකයසමවේා නමැති ගයම් පිහිටියා වූ ෙ, අංක 530020 ෙරන කැඩැස්ාර සිදතියයම් කලාප අංක 07 හි පත්‍ර අංක 01 කැබි  අංක
210 ෙරන ඉඩම් යක්ටස සම්බ්ත යය්ත එහි උපයමඛනයයහි;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01 - 0246/1
1A - G 046175 - 03 (2026/01)
සැ.යු.- යමම අති ශෙය ෂ ගැසට් පත්‍රය www.documents.gov.lk යවේ අඩශෙයය්ත බාගා කළ හැක.
2 A III ශ ොටස - ශ්‍රී කිං ා ‍රජාතා්ත්‍රි සමාජවා ජ ජනරජශඅ අති විශෙෂ සැස ප ප‍රය - 2026.01.23
සිංශෙෝධන
1998 අිං 21 දරන හිමි ම් ලියාපදිංචි කිරීශම් පනත
(14 වන වග්තතිය)
උක්ා ශීර්ෂය යටයේ 2019 ජානවාරි මස 31 වන දින අංක 2108/51 ෙරණ ශ්‍රී ලංකා ප්‍රජාාාා්ත්‍රික සමාජාවාදී ජානරජායේ අති ශෙය ෂ ගැසට් පත්‍රයේ පළ
කරන ලෙ බස්නාහිර පළායේ කළුාර දිස්්‍රික්කයේ පානර ර ප්‍රාය්ධශීය යමකම් යක්ට්සාසයේ අංක 274 - ඒ ග්‍රාම ලධල ා යක්ට්සාසය තුළ
වේාමයප්ල නමැති ගයම් පිහිටියා වූ ෙ, අංක 530024 ෙරන කැඩැස්ාර සිදතියයම් කලාප අංක 01 හි පත්‍ර අංක 01 කැබි  අංක 222 ෙරන ඉඩම්
යක්ටස සම්බ්ත යය්ත එහි උපයමඛනයයහි;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01 - 0246/2
සිංශෙෝධන
1998 අිං 21 දරන හිමි ම් ලියාපදිංචි කිරීශම් පනත
(14 වන වග්තතිය)
උක්ා ශීර්ෂය යටයේ 2023 මැයි මස 11 වන දින අංක 2331/42 ෙරණ ශ්‍රී ලංකා ප්‍රජාාාා්ත්‍රික සමාජාවාදී ජානරජායේ අති ශෙය ෂ ගැසට් පත්‍රයේ පළ
කරන ලෙ වයඹ පළායේ කුරුණෑගල දිස්්‍රික්කයේ මමලවපිටිය ප්‍රාය්ධශීය යමකම් යක්ට්සාසයේ අංක 730 උඩගම ග්‍රාම ලධල ා යක්ට්සාසය තුළ
හිර ර්තපිටිය නමැති ගයම් පිහිටියා වූ ෙ, අංක 420219 ෙරන කැඩැස්ාර සිදතියයම් කලාප අංක 05 හි පත්‍ර අංක 01 කැබි  අංක 12 ෙරන ඉඩම් යක්ටස
සම්බ්ත යය්ත එහි උපයමඛනයයහි;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01 - 0246/3
සිංශෙෝධන
1998 අිං 21 දරන හිමි ම් ලියාපදිංචි කිරීශම් පනත
(14 වන වග්තතිය)
උක්ා ශීර්ෂය යටයේ 2023 ජුලධ මස 29 වන දින අංක 2338/44 ෙරණ ශ්‍රී ලංකා ප්‍රජාාාා්ත්‍රික සමාජාවාදී ජානරජායේ අති ශෙය ෂ ගැසට් පත්‍රයේ පළ
කරන ලෙ වයඹ පළායේ කුරුණෑගල දිස්්‍රික්කයේ මමලවපිටිය ප්‍රාය්ධශීය යමකම් යක්ට්සාසයේ අංක 741 යබෝගමුව ග්‍රාම ලධල ා යක්ට්සාසය
තුළ යබෝගමුව නමැති ගයම් පිහිටියා වූ ෙ, අංක 420232 ෙරන කැඩැස්ාර සිදතියයම් කලාප අංක 01 හි පත්‍ර අංක 01 කැබි  අංක 187 ෙරන ඉඩම්
යක්ටස සම්බ්ත යය්ත එහි උපයමඛනයයහි;
III ශ ොටස - ශ්‍රී කිං ා ‍රජාතා්ත්‍රි සමාජවා ජ ජනරජශඅ අති විශෙෂ සැස ප ප‍රය - 2026.01.23 3A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01 - 0246/4
සිංශෙෝධන
1998 අිං 21 දරන හිමි ම් ලියාපදිංචි කිරීශම් පනත
(14 වන වග්තතිය)
උක්ා ශීර්ෂය යටයේ 2017 යන්වැම්බර් මස 24 වන දින අංක 2042/80 ෙරණ ශ්‍රී ලංකා ප්‍රජාාාා්ත්‍රික සමාජාවාදී ජානරජායේ අති ශෙය ෂ ගැසට් පත්‍රයේ
පළ කරන ලෙ බස්නාහිර පළායේ ගම්පහ දිස්්‍රික්කයේ මහර ප්‍රාය්ධශීය යමකම් යක්ට්සාසයේ අංක 242 කැ්තෙි ය්ධෙපාළුව නැයගනහිර ග්‍රාම
ලධල ා යක්ට්සාසය තුළ කැ්තෙි ය්ධෙපාළුව නමැති ගයම් පිහිටියා වූ ෙ, අංක 510811 ෙරන කැඩැස්ාර සිදතියයම් කලාප අංක 08 හි පත්‍ර අංක 01
කැබි  අංක 189 ෙරන ඉඩම් යක්ටස සම්බ්ත යය්ත එහි උපයමඛනයයහි;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01 - 0246/5
සිංශෙෝධන
1998 අිං 21 දරන හිමි ම් ලියාපදිංචි කිරීශම් පනත
(14 වන වග්තතිය)
උක්ා ශීර්ෂය යටයේ 2008 ඔක්යාෝබර් මස 08 වන දින අංක 1570/20 ෙරණ ශ්‍රී ලංකා ප්‍රජාාාා්ත්‍රික සමාජාවාදී ජානරජායේ අති ශෙය ෂ ගැසට් පත්‍රයේ
පළ කරන ලෙ බස්නාහිර පළායේ යක්ළඹ දිස්්‍රික්කයේ යහෝමාගම ප්‍රාය්ධශීය යමකම් යක්ට්සාසයේ අංක 482 - යහෝමාගම බටහිර ග්‍රාම ලධල ා
යක්ට්සාසය තුළ යහෝමාගම නමැති ගයම් පිහිටියා වූ ෙ, අංක 520001 ෙරන කැඩැස්ාර සිදතියයම් කලාප අංක 08 හි පත්‍ර අංක 01 කැබි  අංක 183
ෙරන ඉඩම් යක්ටස සම්බ්ත යය්ත එහි උපයමඛනයයහි;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01 - 0246/2
4 A III ශ ොටස - ශ්‍රී කිං ා ‍රජාතා්ත්‍රි සමාජවා ජ ජනරජශඅ අති විශෙෂ සැස ප ප‍රය - 2026.01.23
සිංශෙෝධන
1998 අිං 21 දරන හිමි ම් ලියාපදිංචි කිරීශම් පනත
(14 වන වග්තතිය)
උක්ා ශීර්ෂය යටයේ 2024 යෙසැම්බර් මස 25 වන දින අංක 2012/32 ෙරණ ශ්‍රී ලංකා ප්‍රජාාාා්ත්‍රික සමාජාවාදී ජානරජායේ අති ශෙය ෂ ගැසට් පත්‍රයේ
පළ කරන ලෙ බස්නාහිර පළායේ යක්ළඹ දිස්්‍රික්කයේ යහෝමාගම ප්‍රාය්ධශීය යමකම් යක්ට්සාසයේ අංක 203 ඒ - කිරිවේතුඩුව ෙකුණ ග්‍රාම
ලධල ා යක්ට්සාසය තුළ කිරිවේතුඩුව නමැති ගයම් පිහිටියා වූ ෙ, අංක 520040 ෙරන කැඩැස්ාර සිදතියයම් කලාප අංක 04 හි පත්‍ර අංක 01 කැබි 
අංක 57 ෙරන ඉඩම් යක්ටස සම්බ්ත යය්ත එහි උපයමඛනයයහි;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01 - 0246/7
සිංශෙෝධන
1998 අිං 21 දරන හිමි ම් ලියාපදිංචි කිරීශම් පනත
(14 වන වග්තතිය)
උක්ා ශීර්ෂය යටයේ 2017 මාර්තු මස 30 වන දින අංක 2012/32 ෙරණ ශ්‍රී ලංකා ප්‍රජාාාා්ත්‍රික සමාජාවාදී ජානරජායේ අති ශෙය ෂ ගැසට් පත්‍රයේ පළ
කරන ලෙ ෙකුණු පළායේ මාාර දිස්්‍රික්කයේ මාාර ප්‍රාය්ධශීය යමකම් යක්ට්සාසයේ අංක 423 ඒ වැවහම්තර ව ග්‍රාම ලධල ා යක්ට්සාසය තුළ
වැවහම්තර ව නමැති ගයම් පිහිටියා වූ ෙ, අංක 820010 ෙරන කැඩැස්ාර සිදතියයම් කලාප අංක 02 හි පත්‍ර අංක 01 කැබි  අංක 133 ෙරන ඉඩම්
යක්ටස සම්බ්ත යය්ත එහි උපයමඛනයයහි;
“සිදයළු යා්රතුරු” ඉවේ කර සංය ෝ නය කරනු ලැයේ.
පී.සී.ඩී.සිශේරා,
ඉඩම් හිමිකම් ලධරවුම කි යම් යක්මසාරිස් ජානරාම.
2025 යෙසැම්බර් මස 10 වැලධ දින,
බේාරමුමල,
රජාමමවේා පාර,
“මිහිකා මැර ර”, අංක 1200/2,
ඉඩම් හිමිකම් ලධරවුම කි යම් යෙපාර්ායම්්තතුයේ දී ය.
EOG 01 - 0246/8
ශ්‍රී ලංකා රජායේ මු‍රණ යෙපාර්ායම්්තතුයේ මු‍රණය කරන ලදී.</t>
  </si>
  <si>
    <t>eb9d82c5-ba10-4d21-95b9-a8cbd6619485</t>
  </si>
  <si>
    <t>2472_59</t>
  </si>
  <si>
    <t>2472/59</t>
  </si>
  <si>
    <t>Title Registration Act, No. 21 of 1998, Section 14 — Commissioner of Title Settlement's decision under Section 14 (Gazette 2472/59)</t>
  </si>
  <si>
    <t>m1/raw/2472_59.pdf</t>
  </si>
  <si>
    <t>6e8038ed-3306-4f56-b712-9d9b4ba94db7</t>
  </si>
  <si>
    <t>2472_60</t>
  </si>
  <si>
    <t>2472/60</t>
  </si>
  <si>
    <t>Title Registration Act, No. 21 of 1998, Section 14 — Commissioner of Title Settlement's decision under Section 14 (Gazette 2472/60)</t>
  </si>
  <si>
    <t>m1/raw/2472_60.pdf</t>
  </si>
  <si>
    <t>f60bbf0f-9ccc-4bf0-b60e-2dedb7c7b39c</t>
  </si>
  <si>
    <t>2472_61</t>
  </si>
  <si>
    <t>2472/61</t>
  </si>
  <si>
    <t>Local Authorities Elections Ordinance (Chapter 262), Section 66A(1) — Filling of Member vacancy (Gazette 2472/61)</t>
  </si>
  <si>
    <t>පළාත් පාලන ආයතන ඡන්ද විමසීම් ආඥාපනත (262 අධිකාරය), 66අ(1) වගන්තිය යටතේ සභික පුරප්පාඩුවක් පිරවීම</t>
  </si>
  <si>
    <t>உள்ளூராட்சி அதிகார சபைகள் தேர்தல்கள் கட்டளைச் சட்டம் (262 ஆம் அத்தியாயம்), 66அ(1) ஆம் பிரிவின் கீழ் உறுப்பினர் வெற்றிடம் நிரப்புதல்</t>
  </si>
  <si>
    <t>Notice under Section 66A(1) of the Local Authorities Elections Ordinance regarding filling of a vacant Member position in a local authority. Part IV — Local Government.</t>
  </si>
  <si>
    <t>m1/raw/2472_61.pdf</t>
  </si>
  <si>
    <t>ශ්‍රී ලංකා ප්‍රජාතාන්ත්‍රික සමාජවාාදී ජනරාජයේ� ගැැසට් පත්‍රය
අංති වියේ�ෂ
අංංක 2472/61 - 2026 ජනවාාරි මස 23 වාැනි සිකුරාාදාා - 2026.01.23
(රාජයේ� බලයපිට ප්‍රසිද්ධ කරාන ලදී)
IV (ආ) වාැනි යේකාටස - පළාාත් පාලනය
පළාාත් පාලන ආයතන ඡන්දා විමසීම් ආඥාාපනත යටයේත් දාැන්වීම්
(262 අංධිකාරාය) පළාාත් පාලන ආයතන ඡන්දා විමසීම් ආඥාාපනත
පළාාත් පාලන ආයතන ඡන්ද විමසීම් ආඥාාපනතේත් 66 ඇ (1) වගන්තියට අනුකූලව මා තේවත ලබාාදී ඇති බාලතලවලට අනුව, 2026.01.09
වැනි දින තේප.ව. 10.00 ට අම්පාර දිස්්ත්‍රික්කතේ� පදියතලාව ප්‍රාාතේේශීය ස්භාාතේේ ස්භාා ශාාලාතේේදී පැවති රැස්්වීතේම් දී, පළාාත් පාලන ආයතන
ඡන්ද විමසීම් ආඥාාපනතේත් 66 (උ) වගන්තියට අනුව ගරු ස්භාාපතිතේ� ස්ම ප්‍රාධාානත්වතේයන් මා විසින් තේතා්රා ප්‍රාකාශායට පත් කරනු ලැබූ
නව උප ස්භාාපතිතේ� නම ස්හ විස්්තර පහත දැක්තේවන පරිදි වන්තේන්ය.
ඒ. එල්. එම්. අංස්මි,
පළාාත් පාලන තේකාමස්ාරිස්්,
නැතේගනහිර පළාාත.
2026 ජනවාරි මස් 19 වැනි දින,
පළාාත් පාලන තේදපාර්තතේම්න්තුව,
නැතේගනහිර පළාාත,
කන්නියා පාර, වතේරා්දය නගර්,
ත්‍රිකුණාාමලය.
දිස්ත්‍රික්කය පළාාත් පාලන ආයතනයේ� නම උප සභාාපතියේ� නම
අම්පාර පදියතලාව ප්‍රාාතේේශීය ස්භාාව තලා බාණ්ඩාාරලාතේ� චන්ද්‍රපාල
EOG 01 - 0251
1A - PG 7491 — 04 (2026/01) ශ්‍රී ලංකා රජතේ� මුද්‍රණා තේදපාර්තතේම්න්තුතේේ මුද්‍රණාය කරන ලදී.
fuu w;s úfYI .eiÜ m;%h www.documents.gov.lk fjí wvúfhka nd.; l&lt; yel'</t>
  </si>
  <si>
    <t>7b9542ab-8a38-4cd2-a30b-7f4a5bce962e</t>
  </si>
  <si>
    <t>2472_63</t>
  </si>
  <si>
    <t>2472/63</t>
  </si>
  <si>
    <t>Title Registration Act, No. 21 of 1998, Section 14 — Commissioner of Title Settlement decision (Gazette 2472/63)</t>
  </si>
  <si>
    <t>m1/raw/2472_63.pdf</t>
  </si>
  <si>
    <t>III ෙක(cid:675)ටස – (cid:636) ලංකා (cid:541)ජාතා(cid:486)(cid:437)ක සමාජවා(cid:463) ජනරජෙ(cid:591) අ(cid:431) (cid:618)ෙශෂ ගැස(cid:376) ප(cid:436)ය – 2026.01.24 1 A
ப(cid:8065)தி III – இல(cid:8113)ைக(cid:8114) சனநாயக ேசாச(cid:8098)ச(cid:8112) (cid:8065)(cid:8074)யர(cid:8070) வ(cid:8125)(cid:8119)தமான(cid:8122) ப(cid:8119)திாிைக - அதி விேசஷமான(cid:8080) – 2026.01.24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2472/63 - 2026 ජනවා(cid:604) මස 24 වැ(cid:487) ෙසන(cid:648)රාදා - 2026.01.24
2472/63 ஆ(cid:8123) இல(cid:8112)க(cid:8123) - 2026 ஆ(cid:8123) ஆ(cid:8118)(cid:8076) சனவாி மாத(cid:8123) 24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2025.10.03 ஆ(cid:8120) திகதிய 2456/65 ஆ(cid:8123) இல(cid:8112)க வ(cid:8125)(cid:8119)தமானியி(cid:8127) உாிய (cid:8089)ைறயி(cid:8127) ெவளியிட(cid:8122)ப(cid:8117)ட(cid:8080)(cid:8123), காணி(cid:8112)கான உாிைம(cid:8112)
ேகாாி(cid:8112)ைககைள(cid:8112) ேகா(cid:8094)கி(cid:8121)ற(cid:8080)மான ம(cid:8119)திய மாகாண(cid:8119)தி(cid:8121) மா(cid:8119)தைள மாவ(cid:8117)ட(cid:8119)தி(cid:8127), கேலெவல பிரேதச ெசயலாள(cid:8125) பிாிவி(cid:8127), இல. ஈ 432
எ(cid:8114) - கலபா(cid:8089)ல கிராம அ(cid:8100)வல(cid:8125) பிாிவி(cid:8084)(cid:8128) (cid:8087)வ(cid:8112)பி(cid:8074)ய கிராம(cid:8119)தி(cid:8127) அைம(cid:8120)(cid:8080)(cid:8128)ள(cid:8080)(cid:8123) 310086 ஆ(cid:8123) இல(cid:8112)க கட(cid:8119)திர(cid:8127) அளைவ வைரபட(cid:8119)தி(cid:8127)
பிாி(cid:8107) இல. 01 இ(cid:8127) அட(cid:8113)கி(cid:8092)(cid:8128)ள(cid:8080)மான 1:88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சனவாி மாத(cid:8123) 12 ஆ(cid:8120) திகதி.
1A - G 46180 - 03 (2026 / 01)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2026.01.24
ப(cid:8065)தி III – இல(cid:8113)ைக(cid:8114) சனநாயக ேசாச(cid:8098)ச(cid:8112) (cid:8065)(cid:8074)யர(cid:8070) வ(cid:8125)(cid:8119)தமான(cid:8122) ப(cid:8119)திாிைக - அதி விேசஷமான(cid:8080) – 2026.01.24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1:88 0.1068 விதானேக உ(cid:8087)(cid:8127) 792454569V (cid:8089)(cid:8104)வ(cid:8080)(cid:8123) 1ஆவ(cid:8080) வ(cid:8065)(cid:8122)(cid:8087) - -
சமரஜீவ,
இல. 278 கலபா(cid:8089)ல,
கேலெவல.
EOG 01 - 0254
இல(cid:8113)ைக அரசா(cid:8113)க அ(cid:8114)(cid:8070)(cid:8119) திைண(cid:8112)கள(cid:8119)தி(cid:8127) பதி(cid:8122)பி(cid:8112)க(cid:8122)ெப(cid:8126)ற(cid:8080).</t>
  </si>
  <si>
    <t>2b86dd26-5994-474c-a31e-391cb407fce0</t>
  </si>
  <si>
    <t>2472_64</t>
  </si>
  <si>
    <t>2472/64</t>
  </si>
  <si>
    <t>Title Registration Act, No. 21 of 1998, Section 14 — Commissioner of Title Settlement's decision under Section 14 (Gazette 2472/64)</t>
  </si>
  <si>
    <t>m1/raw/2472_64.pdf</t>
  </si>
  <si>
    <t>728b3a2e-0a5f-47b1-be01-687d9996ec3c</t>
  </si>
  <si>
    <t>2472_65</t>
  </si>
  <si>
    <t>2472/65</t>
  </si>
  <si>
    <t>Title Registration Act, No. 21 of 1998, Section 14 — Commissioner of Title Settlement's decision under Section 14 (Gazette 2472/65)</t>
  </si>
  <si>
    <t>m1/raw/2472_65.pdf</t>
  </si>
  <si>
    <t>46f8f8ea-047d-47f5-a0c8-adc14cf7b7b4</t>
  </si>
  <si>
    <t>2472_66</t>
  </si>
  <si>
    <t>2472/66</t>
  </si>
  <si>
    <t>Title Registration Act, No. 21 of 1998, Section 14 — Commissioner of Title Settlement's decision under Section 14 (Gazette 2472/66)</t>
  </si>
  <si>
    <t>m1/raw/2472_66.pdf</t>
  </si>
  <si>
    <t>1b88c176-79b4-4645-b3be-6791cf7c6ffc</t>
  </si>
  <si>
    <t>2472_67</t>
  </si>
  <si>
    <t>2472/67</t>
  </si>
  <si>
    <t>Title Registration Act, No. 21 of 1998, Section 14 — Commissioner of Title Settlement's decision under Section 14 (Gazette 2472/67)</t>
  </si>
  <si>
    <t>m1/raw/2472_67.pdf</t>
  </si>
  <si>
    <t>d9fa4357-76cf-4a1d-9505-47db8c7a8d6d</t>
  </si>
  <si>
    <t>2472_68</t>
  </si>
  <si>
    <t>2472/68</t>
  </si>
  <si>
    <t>Title Registration Act, No. 21 of 1998, Section 14 — Commissioner of Title Settlement's decision under Section 14 (Gazette 2472/68)</t>
  </si>
  <si>
    <t>m1/raw/2472_68.pdf</t>
  </si>
  <si>
    <t>e4ee9fee-d9c7-47a2-bdbb-ba8fd5f64714</t>
  </si>
  <si>
    <t>2472_69</t>
  </si>
  <si>
    <t>2472/69</t>
  </si>
  <si>
    <t>General Government Notification (Gazette 2472/69)</t>
  </si>
  <si>
    <t>m1/raw/2472_69.pdf</t>
  </si>
  <si>
    <t>I : කො�ොටස (I) කොෙදය - ශ්‍රී ලංං�ා ප්‍රජාාතාාන්ත්‍රි� සමාාජාවාාදී ජානරජාකො� අති විකො�ෂ ගැැසට් පත්‍රය - 2025.07.17 1A
பகுதி I : ததொகுதி I - இலங்கைச் சனநொயகை சசொசலிசக் குடியரசு வர்ததமொனப் ப்ததிொி்கை - அதி விசசஷமொனது - 2025.07.17
ශ්‍රීශ්‍රී ලංලංංංකාකාාා ප්‍රප්‍රජාජාාාතාතාාාන්න්ත්‍රිත්‍රිකාකා සසමාමාාාජාජාවාවාාාදීදී ජාජානනරරජාජායේයේ�� ගැගැැැසසට්ට් පපත්‍රත්‍රයය
අති වියේ�ෂ
இஇலலஙஙயய்க்கச்ச் ெெனனநநாாைை்க்க ேேெொாெெலிலிெெகக குகுடிடிைைரரசுசு வவரர்த்தததமமாானனப்ப் பப்த்தததிிாாிியய்க்க
அதி விேெஷமானது
අංඅංංංකක 22447722//6699 -- 22002266 ජජනනවාවාාාරිරි මමසස 2244 වාවාැැනිනි සෙසෙසසනනසුසුරාරාාාදාදාාා -- 22002266..0011..2244
2472/69 ஆம் இலக்கம் - 2026 ஆம் ஆண்டு ெனவாி மாதம் 24 ஆந் தி்கதி ெனிக்கிழயம
(அரொங்க்ததின் அதி்கார்ததுடன் பிரசுாிக்கப்படடது)
பபகுகுததிி II :: சசததாாகுகுததிி ((II)) -- சசபபாாதுது
அஅரரெொாஙங்க்க அஅறறிிவவிி்த்தததலல்க்கள்ள்
சச்க்காாககேே்க்காா,, ஏஏலலகக்க்காாயய,, மமிிளளகுகு எஎன்ன்பபனன பபைைிிாாிிடுடுததலல மமற்ற்றுறும்ம் உஉற்ற்பப்த்தததிி சசெெயயததலல சசததாாழழிிலல்க்களளிிலல உஉள்ள்ளள ேேவவயயலலைைாாடட்க்களுளுகககுகு
வவழழஙங்க்கப்ப்பபடட ேேவவண்ண்டிடிைை வவிிேேெெடடபபடிடி்க்கள்ள்
2025 ஆம் ஆண்டு ஒற்ேறாபர மாத்ததில ேமற்கூறிை சதாழில்களுக்கான வாழகய்கப் படிச் சுடசடண் 212.2 ஆ்க இருப்பதால
2025 ஆம் ஆண்டு நசவம்பர மாத்ததில ொதாரை ேவயல நாசளான்று சதாடரபா்கச் செலு்ததப்பட ேவண்டிை விேெட படி
பின்வருமாறாகும் என (136 ஆம் அ்ததிைாைமா்கிை) ெம்பளச் ெயப்கள் ்கடடயளச் ெடட்ததின் 20(2) (ஆ) ஆம் பிாிவின் ்கீழ
இ்ததால அறிவிக்கப்படு்கின்றது.
சச்க்காாககேே்க்காா,, ஏஏலலகக்க்காாயய,, மமிிளளகுகு எஎன்ன்பபனன பபைைிிாாிிடுடுததலல மமற்ற்றுறும்ம் உஉற்ற்பப்த்தததிி சசெெயயததலல சசததாாழழிிலல்க்கள்ள்
சதாழிலாளர வகுப்பு ொதாரை ேவயல நாளுககுாிை விேெட படி்கள்
நாளாந்தம் ேவதனம் சபறும்
ஊழிைர்கள்
சதாழிலாளர்கள் ரூ. ெ. 1852.39
எஎச்ச்.. எஎம்ம்.. டிடி.. எஎன்ன்.. ேே்க்க.. வவடடடடலிலிைை்த்ததத,,
சதாழில ஆயைைாளர நாை்கம்.
சதாழில தியைக்களம்
ச்காழும்பு. 05
2026, ெனவாி 16.
EOG 01-0259
1A - G46185 - 18 (2026/01) இலஙய்க அரொங்க அச்சு்த தியைக்கள்ததில அச்ெிடப்படடது.
இவ் அதிவி ேஷட வர்ததமானியை www.documents.gov.lk எனும் இயைை்ததள்ததிலிருந்து பதிவிறக்கம் செயை முடியும்.</t>
  </si>
  <si>
    <t>a7f85dc2-8a3b-40c2-93f7-0a0b3b58effc</t>
  </si>
  <si>
    <t>2473_01</t>
  </si>
  <si>
    <t>2473/01</t>
  </si>
  <si>
    <t>Sri Lanka Standards / Food Act No. 235 — Notice (Gazette 2473/01)</t>
  </si>
  <si>
    <t>ශ්‍රී ලංකා ප්‍රමිතීන් / ආහාර පනත අංක 235 යටතේ දැන්වීම</t>
  </si>
  <si>
    <t>இலங்கை தரநிர்ணய / உணவுச் சட்டம் இல. 235 கீழ் அறிவித்தல்</t>
  </si>
  <si>
    <t>Notice issued under the relevant Act No. 235 sub-section. References Gazette 2026.01.19 and 2472/01. Signed by S.B. Aragoda. Part I — General. Dated 21 January 2026.</t>
  </si>
  <si>
    <t>m1/raw/2473_01.pdf</t>
  </si>
  <si>
    <t>Y%S ,xld m%cd;dka;%sl iudcjd§ ckrcfha .eiÜ m;%h
w;s úfYI
,yq;ifr; rdehaf Nrhryprf; FbauR th;j;jkhdg; gj;jphpif
mjp tpNr\khdJ
wxl 2473/01 - 2026 ckjdß ui 26 jeks i÷od - 2026'01'26
2473/01 Mk; ,yf;fk; - 2026 Mk; Mz;L rdtup khjk; 26 Me; jpfjp jpq;fl;fpoik
(murhq;fj;jpd; mjpfhuj;Jld; gpuRupf;fg;gl;lJ)
gFjp I : njhFjp (I) - nghJ
murhq;f mwptpj;jy;fs;
R. g. eh. V877 /gPvy; 305.
Rq;f mwptpj;jy; (nghJ)
Rq;ff; fl;lisr; rl;lk; (mj;jpahak; 235)
me;epar; nryhtzp tPjk;
Rq;ff; fl;lisr; rl;lj;jpd; (235 Mk; mj;jpahak;) 17 Mk; gpuptpdhy; vdf;F mspf;fg;gl;l jj;Jtq;fis mbg;gilahff;
nfhz;L&gt; v];. gP. mWf;nfhl&gt; Rq;fg; gzpg;ghsu; ehafk; Mfpa ehd;&gt; 2026.01.26 Me; jpfjpapypUe;J mKYf;F tUk;
tifapy;&gt; Rq;ff; fl;lisr; rl;lj;jpd; fPo; (mj;jpahak; 235) mwtplg;gLk; Rq;fj; jPu;itfs;&gt; mguhjq;fs; kw;Wk; gwpKjy;fs;
ahTk; kWgf;f ml;ltizapy; jug;gl;Ls;s nryhtzp tPjq;fspy; nrYj;jg;glYk; ngwg;glYk; Ntz;Lk; vd ,j;jhy;
mwpaj;jUfpd;Nwd;.
2026.01.19 Me; jpfjpa 2472/ 01 Mk; ,yf;f tu;j;jkhdpapy; ntspaplg;gl;l nryhtzp tPjq;fs; njhlu;gpyhd
mwptpj;jy; ,j;jhy; ,uj;Jr; nra;ag;gLfpwJ.
v];. gP. mWf;nfhl&gt;
Rq;fg; gzpg;ghsu; ehafk;.
,yq;ifr; Rq;fk;&gt;
nfhOk;G 11&gt;
2026&gt; rdtup 23.
1A - G 46178 — 09 (2026/01)
,t; mjptpNrl tu;j;jkhdpia www.documents.gov.lk vDk; ,izaj;jsj;jpypUe;J gjptpwf;fk; nra;a KbAk;.
2A I fldgi ( ^I&amp; fPoh - YS% ,xld m%cd;dka;s%l iudcjd§ ckrcfha w;s úfYI .eiÜ m;%h - 2026'01'26
gFjp I : njhFjp (I) - ,yq;ifr; rdehaf Nrhryprf; FbauR tu;j;jkhdg; gj;;jpupif - mjp tpNr\khdJ - 2026.01.26
ml;ltiz
2026.01.26 njhlf;fk; 2026.02.01 Me ; jpfjp tiu mKYfF; tUk ; mee; par;
nryhtzp
njhlu; ehL ehl;Lf; ehzak; ehzaf; nryhtzp
,y. FwpaPL FwpaPL tPjk;
( &amp;gh;)
1. mT];jpNuypah AU mT];jpNuypad; nlhyu; AUD 214.5034
2. g`;Nud; BH g`;Nud; jpdhu; BHD 831.5248
3. gq;fshNj\; BD gq;fshNj\; lhf;fh BDT 2.5653
4. gpNwrpy; BR gpNwrpy; wpay; BRL 59.2870
5. GW}iz BN GW}iz nlhyu; BND 244.8913
6. fdlh CA fNdbad; nlhyu; CAD 227.3128
7. rPdh CN rPdh a{thd; (xg;N\h) CNH 45.0458
8. rPdh CN rPdh a{thd; (nudk; pdg; p) CNY 45.0212
9. nrf;Nfh];rpNyhthf;fpah CZ nrf;Nfh];rpNyhthf;fpah
nfhWdh CZK 15.1790
10. nld;khu;f; DK ldp\; FNuhzu; DKK 49.3149
11. vfpg;J EG vfpg;J gTz; EGP 6.6495
12. A{Nuh tyak; A{Nuh EUR 368.3113
13. fhdh GH fhdh rPb GHS 28.8394
14. n`hq;nfhq ; HK n`hq; nfhq; nlhyu; HKD 40.2054
15. `q;Nfup HU `q;Nfup Nghupd;l; HUF 0.9641
16. ,e;jpah IN ,e;jpa &amp;gh INR 3.4217
17. ,e;NjhNd\pah ID ,e;NjhNd\pad; Wgpah IDR 0.0186
18. &lt;uhd; IR &lt;uhd; wpahy; IRR 0.0075
19. [g;ghd ; JP [g;ghdpa nad; JPY 1.9767
20. N[hu;jhd; JO N[hu;jhd; jpdhu; JOD 442.2483
21. nfhupah KR nfhupad; nthd; KRW 0.2135
22. Fitj; KW Fitj; jpdhu; KWD 1,019.9421
23. kf;fhc MO kf;fhc glhfh MOP 39.0345
24. kNyrpah MY kNyrpah wpd;[pw; MYR 77.9739
25. khiyjPT MV khiyjPT Wg;gpah MVR 20.5884
26. nkhwPrpa]; MU nkhwPrpa]; &amp;gh MUR 6.7991
27. kpad;khu; MM kpad;khu; fpahj; MMK 0.1491
28. Neghsk; NP Neghsk; &amp;gha; NPR 2.1582
29. epA{rpyhe;J NZ epA{rpyhe;J nlhyu; NZD 185.4097
30. ie[Pupah NG ie[Pupah iewh NGN 0.2205
31. Nehu;Nt NO Nehu;Nt FNuhd; NOK 31.8268
32. Xkhd; OM Xkhd; wpahy; OMR 814.3323
33. ghfp];jhd; PK ghfp];jhd; &amp;gha; PKR 1.1201
34. gg;Tth epA{fpdpah PG gg;Tth epA{ fpdpah fpdh PGK 73.5180
35. gpypg;igd;]; PH gpypg;igd;]; ngNrh PHP 5.3092
36. Nghye;J PL Nghye;J ];Nyhl;b PLN 87.7024
37. fl;lhu; QA fl;lhu; wpahy; QAR 86.0156
38. u\;ah RU u\;ah &amp;gpy; RUB 4.1371
I fldgi ( ^I&amp; fPoh - YS% ,xld m%cd;dka;s%l iudcjd§ ckrcfha w;s úfYI .eiÜ m;%h - 2026'01'26 3A
gFjp I : njhFjp (I) - ,yq;ifr; rdehaf Nrhryprf; FbauR tu;j;jkhdg; gj;;jpupif - mjp tpNr\khdJ - 2026.01.26
ml;ltiz (njhlh;r;rp)
njhlu; ehL ehl;Lf; ehzak; ehzaf; nryhtzp
,y. FwpaPL FwpaPL tPjk;
(,yq;if &amp;ghtpy;)
39. rt{jp mNugpah SA rt{jp mNugpah wpahy; SAR 83.6048
40. rPnry;]; SC rPnry;]; &amp;gha; SCR 21.9291
41. rpq;fg;G{u; SG rpq;fg;G{u; nlhyu; SGD 244.8913
42. njd; Mgpupf;fh ZA njd; Mgpupf;fh nud;l; ZAR 19.4530
43. RtPld; SE RtPb\; FNuhzu; SEK 34.8070
44. Rtpw;ru;yhe;J CH Rtp]; gpuhq; CHF 396.8478
45. jha;thd; TW jha;thd; nlhyu; TWD 9.9225
46. jha;yhe;J TH jha;yhe;J ghj; THB 10.0330
47. If;fpa muG ,uhr;rpak; AE If;fpa muG ,uhr;rpak;
jpu;fhk; AED 85.3552
48. If;fpa ,uhr;rpak; GB ];Nuypq; gTz; GBP 423.0501
49. If;fpa mnkupf;fh ehLfs; US mnkupf;fd; nlhyu; USD 313.5098
50. rk;gpah (gioa) ZM rk;gpah f;tr;rh (gioa) ZMK 15.4384
EOG 01 - 0250
,yq;if murhq;f mr;Rj; jpizf;fsj;jpw; gjpg;gpf;fg;ngw;wJ.</t>
  </si>
  <si>
    <t>02caab22-725c-47a0-9ed6-0d10e0360c00</t>
  </si>
  <si>
    <t>2473_02</t>
  </si>
  <si>
    <t>2473/02</t>
  </si>
  <si>
    <t>Industrial Disputes Act (Chapter 131), Section 4(1) — Industrial Award (Gazette 2473/02)</t>
  </si>
  <si>
    <t>m1/raw/2473_02.pdf</t>
  </si>
  <si>
    <t>455084d6-342e-4369-ac61-db2b5c621ac3</t>
  </si>
  <si>
    <t>2473_04</t>
  </si>
  <si>
    <t>2473/04</t>
  </si>
  <si>
    <t>Land Acquisition Act (Chapter 460), Section 5 — Notice of Intended Acquisition (Gazette 2473/04)</t>
  </si>
  <si>
    <t>m1/raw/2473_04.pdf</t>
  </si>
  <si>
    <t>530683a0-94ab-4df1-ab87-a5f719b33a7e</t>
  </si>
  <si>
    <t>2473_05</t>
  </si>
  <si>
    <t>2473/05</t>
  </si>
  <si>
    <t>Provincial Councils Act, No. 42 of 1987 — Appointment under Section 32(1) (Gazette 2473/05)</t>
  </si>
  <si>
    <t>m1/raw/2473_05.pdf</t>
  </si>
  <si>
    <t>Y%S ,xld m%cd;dka;%sl iudcjd§ ckrcfha .eiÜ m;%h
w;s úfYI
,yq;ifr; rdehaf Nrhryprf; FbauR th;j;jkhdg; gj;jphpif
mjp tpNr\khdJ
wxl 2473/05 - 2026 ckjdß ui 26 jeks i÷od - 2026'01'26
2473/05 Mk; ,yf;fk; - 2026 Mk; Mz;L rdtup khjk; 26 Me; jpfjp jpq;fl;fpoik
(murhq;fj;jpd; mjpfhuj;Jld; gpuRupf;fg;gl;lJ)
gFjp IV (m) - khfhz rigfs;
khfhz rig mwptpj;jy;fs;
வவடடமமத்த்திதிிியய மமாாகாகாாாணண கககாகாௌௌரரவவ ஆஆளுளுநநாாிினானாாால்ல் ககெெய்ய்யயப்ப்பபடுடும்ம் நநிியயமமனானாங்ங்காகாள்ள்
இலங்கைகாச் ெனாநாயகா சொெலிெக் குடியரசு அரெியலகைமப்பின் 13 ஆவது திிருத்தித்திின் 154ஊ (1), (2) ஆகாிய உறுப்புகைரகாளிில்
குறிிப்பிடப்பட்ட ஒழுங்கு விதிிகாள் பிரகாாரம் மற்றும் 1987 ஆம் ஆண்டின் 42 ஆம் இலக்கா, மாகாாண ெகைப ெட்டத்திின்
32 (1)ஆம் உறுப்புகைரயில் குறிிப்பிடப்பட்ட ஒழுங்குவிதிிகாளிின் காீழ் வட மத்திிய மாகாாண ககாௌரவ ஆளுநருக்கு
அளிிக்காப்பட்டுள்ளி அதிிகாாரங்காள் பிரகாாரம், அவரால் 2026.02.01 ஆந் திிகாதிி கதிாடக்காம் அமுலுக்கு வரும் விதித்திில் வட
மத்திிய மாகாாண ெகைபக்குாிய மாகாாண அகைமச்சுக்காள் 05 இனாது விடயங்காள் பின்வருமாறு திிருத்திம் கெய்து அந்தி புதிிய
மாகாாண அகைமச்சுக்காளிின் கெயலாளிர் பதிவிகாளுக்கு உத்திிசயாகாத்திர்காள் நியமனாம் கெய்யப்பட்டுள்ளிார்காள் எனா ககாௌரவ
ஆளுநாின் ஆசலாெகைனாப்படி இத்திால் அறிிவித்துக் ககாாள்காிசறின்.
01. வட மத்திிய மாகாாண ெகைபயின் அகைமச்சுக்காளிின் விடய திிருத்திங்காளுக்கு ஏற்ப இலங்கைகா நிருவாகா செகைவயின் விச�ட
திரத்கைதிச் செர்ந்தி - திிரு. சகா. எம். எச். எஸ். சகா. ஜயலத் அவர்காள் 2026.02.01 ஆந் திிகாதிி கதிாடக்காம் மீள் பணிப்புகைர
கெய்யப்படும் வகைர வட மத்திிய மாகாாண பிரதிானா அகைமச்சு மற்றும் மாகாாண கால்வி, திகாவல், கதிாழிில்நுட்பம், ெட்டம்,
ெமாதிானாம், நிதிி மற்றும் திிட்டமிடல், விச�ட காருத்திிட்டங்காள், சுற்றுலா, விகைளியாட்டு மற்றும் காலாொர அலுவல்காள்
அகைமச்ெின் கெயலாளிராகா.
02. வட மத்திிய மாகாாண ெகைபயின் அகைமச்சுக்காளிின் விடய திிருத்திங்காளுக்கு ஏற்ப இலங்கைகா நிருவாகா செகைவயின்
விச�ட திரத்கைதிச் செர்ந்தி - திிரு. எம். ெிாீஸ்காந்தி குமார் அவர்காள் 2026.02.01 ஆந் திிகாதிி கதிாடக்காம் மீள் பணிப்புகைர
கெய்யப்படும் வகைர வட மத்திிய மாகாாண கூட்டுறிவு, வர்த்திகாம், மற்றும் உணவு, சபாக்குவரத்து, கைகாத்கதிாழிில்
அபிவிருத்திி அகைமச்ெின் கெயலாளிராகா.
1A - PG 7494 — 04 (2026/01)
,t; mjp tpNrl tu;j;jkhdpia www.documents.gov.lk vd;Dk; ,izaj;jsj;jpypUe;J gjptpwf;fk; nra;a KbAk;.
2A IV ^w&amp; fldgi - Y%S ,xld m%cd;dka;%sl iudcjd§ ckrcfha w;s úfYI .eiÜ m;%h - 2026'01'26
gFjp IV (m) - ,yq;ifr; rdehaf Nrhryprf; FbauR tu;j;jkhdg; gj;;jpupif - mjp tpNr\khdJ - 2026.01.26
03. வட மத்திிய மாகாாண ெகைபயின் அகைமச்சுக்காளிின் விடய திிருத்திங்காளுக்கு ஏற்ப இலங்கைகா நிருவாகா செகைவயின்
விச�ட திரத்கைதிச் செர்ந்தி - திிருமதிி ஆர். எம். டீ. பீ. புஷ்பகுமாாி அவர்காள் 2026.02.01 ஆந் திிகாதிி கதிாடக்காம் மீள்
பணிப்புகைர கெய்யப்படும் வகைர வட மத்திிய மாகாாண சுகாாதிாரம், சுசதிெ கைவத்திியம், ெமூகா செகைவகாள் மற்றும் ெமூகா
நலன்புாி, நன்நடத்கைதி மற்றும் ெிறுவர் பாதுகாாப்பு அகைமச்ெின் கெயலாளிராகா.
04. வட மத்திிய மாகாாண ெகைபயின் அகைமச்சுக்காளிின் விடய திிருத்திங்காளுக்கு ஏற்ப இலங்கைகா நிருவாகா செகைவயின் விச�ட
திரத்கைதிச் செர்ந்தி - திிருமதிி சுபாஜினாி மதிியளிகான் அவர்காள் 2026.02.01 ஆந் திிகாதிி கதிாடக்காம் மீள் பணிப்புகைர
கெய்யப்படும் வகைர வட மத்திிய மாகாாண விவொயம், காாணி மற்றும் நீர்ப்பாெனாம், விவொய உற்பத்திி விற்பகைனா,
காால்நகைட உற்பத்திி, மிருகா கைவத்திியம் மற்றும் மீன்பிடி அலுவல்காள் அகைமச்ெின் கெயலாளிராகா.
05. வட மத்திிய மாகாாண ெகைபயின் அகைமச்சுக்காளிின் விடய திிருத்திங்காளுக்கு ஏற்ப இலங்கைகா நிருவாகா செகைவயின்
விச�ட திரத்கைதிச் செர்ந்தி - திிரு. எஸ். குணபாலன் அவர்காள் 2026.02.01 ஆந் திிகாதிி கதிாடக்காம் மீள் பணிப்புகைர
கெய்யப்படும் வகைர வட மத்திிய மாகாாண உள்ளூராட்ெி, கபருந்கதிருக்காள், காிராம அபிவிருத்திி, வீடகைமப்பு, சுற்றிாடல்,
மகாளிிர் விவகாாரம், காிராமிய உட்காட்டகைமப்பு வெதிிகாள், கபாறிியியல் மற்றும் நிர்மாணத்துகைறி அகைமச்ெின் கெயலாளிராகா.
( நநந்ந்திதினானா காகாலலககபபாாடட),
வட மத்திிய மாகாாண ஆளுநர் கெயலாளிர்.
வட மத்திிய மாகாாண ஆளுநர் அலுவலகாம்,
2026, ெனாவாி 21.
EOG 01 - 0267
,yq;if murhq;f mr;Rj; jpizf;fsj;jpw; gjpg;gpf;fg;ngw;wJ.</t>
  </si>
  <si>
    <t>0e36d496-e8f0-4505-ae9e-4d5027c33d8a</t>
  </si>
  <si>
    <t>2473_06</t>
  </si>
  <si>
    <t>2473/06</t>
  </si>
  <si>
    <t>Land Acquisition Act (Chapter 460), Section 5 — Notice of Intended Acquisition (Gazette 2473/06)</t>
  </si>
  <si>
    <t>m1/raw/2473_06.pdf</t>
  </si>
  <si>
    <t>III ෙකාටස - (cid:636) ලංකා (cid:541)ජාතා(cid:486)(cid:437)ක සමාජවා(cid:463) ජනරජෙ(cid:591) අ(cid:431) (cid:618)ෙශෂ ගැස(cid:376) ප(cid:436)ය - 2026.01.26 1A
பகுதி III - இலங்ைகச் சனநாயக ேசாச(cid:8098)சக் கு(cid:8074)யரசு வர்த்தமானப் பத்திாிைக - அதி விேசஷமான(cid:8080) - 2026.01.26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22447733//0066 –– 22002266 ජජනනවවාා(cid:604)(cid:604) මමසස 2266 වවැැ(cid:487)(cid:487) සස(cid:511)(cid:511)දදාා –– 22002266..0011..2266
22447733//0066 ஆஆம்ம் இஇலலக்க்ககம்ம் –– 22002266 ஆஆம்ம் ஆஆண்ண்(cid:8076)(cid:8076) சசனனவவாாிி மமாாததம்ம் 2266 ஆஆந்ந் ததிிககததிி ததிிங்ங்ககட்ட்ககிிழழைைமம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01. (cid:8080)(cid:8080)ண்ண்(cid:8076)(cid:8076) ‘‘AA’’ –– ஊஊததல்ல்ககஹஹவவத்த்ைைதத,, மமீீககஹஹவவத்த்ைைதத,,
ெெததாாரரககடடவவத்த்ைைதத,, மமாாததங்ங்ககஹஹவவத்த்ைைதத,, வவிிலலகுகும்ம்(cid:8087)(cid:8087)ரர,, பபிில்ல்ேேலலவவ,,
மமகுகுல்ல்லலககஹஹகுகும்ம்(cid:8087)(cid:8087)ரர மமற்ற்(cid:8096)(cid:8096)ம்ம் மமாாததங்ங்ககஹஹவவத்த்ைைதத –– வவிிஸ்ஸ்ததீீரரணணம்ம்::
5 ஆம் பிாிவின் ப(cid:8074)யான பிரகடனம்
00..00337700 ெெஹஹக்க்டடயயாார்ர்
வடக்கு: பிரேதச சைப (cid:8106)தி மற்(cid:8096)ம் உாிைம ேகா(cid:8094)ேவார்
கீழ்க்கா(cid:8078)ம் காணி ஒ(cid:8094) பகிரங்கத் ேதைவக்கு ேவண்(cid:8074)யதாய் கண்(cid:8076)பி(cid:8074)க்க (cid:8089)(cid:8074)யாத விலகும்(cid:8087)ர; கிழக்கு: உாிைம
ேகா(cid:8094)ேவார் கண்(cid:8076)பி(cid:8074)க்க (cid:8089)(cid:8074)யாத விலகும்(cid:8087)ர; ெதற்கு:
இ(cid:8094)க்கின்றெதன்(cid:8096)ம் காணி எ(cid:8076)த்தற் சட்டத்தின் ஏற்பா(cid:8076)
நி(cid:8100)கா தமயந்தி உாிைம ேகா(cid:8094)ம் தல்கஹவத்ைத, மீகஹ
களின் பிரகாரம் அ(cid:8080) எ(cid:8076)த்(cid:8080)க் ெகாள்ளப்ப(cid:8076)ெமன்(cid:8096)ம் வத்ைத மற்(cid:8096)ம் எம்.சுேரஷ் சஞ்சீவ உாிைம ேகா(cid:8094)ம் தல்கஹ
காணி எ(cid:8076)த்தற் சட்டத்தின் 5 ஆம் பிாிவின் (1) ஆம் வத்ைத, மீகஹவத்ைத; ேமற்கு: எம்.சுேரஷ் சஞ்சீவ உாிைம
ேகா(cid:8094)ம் தல்கஹவத்ைத, மீகஹவத்ைத பிரேதச சைப (cid:8106)தி.
உபபிாிவின் பிரகாரம் கமத்ெதாழில், கால்நைட வளங்கள்,
காணி மற்(cid:8096)ம் நீர்ப்பாசன அைமச்சர் குரகமேக ெதான் லால்
ேக.(cid:8074). லால் காந்த,
காந்த ஆகிய நான், இத்தால் பிரகடனம் ெசய்கின்ேறன். கமத்ெதாழில், கால்நைட வளங்கள், காணி
மற்(cid:8096)ம் நீர்ப்பாசன அைமச்சர்.
வடேமல் மாகாணம், (cid:8087)த்தளம் மாவட்டம், நாத்தாண்(cid:8074)
என(cid:8080) இல. : 4–3/13/2024/HA/04.
பிரேதச ெசயலாளர் பிாிவில், ெமத பலாத சி(cid:8096) பிாிவில், கமத்ெதாழில், கால் நைட வளங்கள், காணி
496/ஏ மீகஹெவவ கிராம அ(cid:8100)வலர் பிாிவில், மீகஹெவவ மற்(cid:8096)ம் நீர்ப்பாசன அைமச்சு,
மிஹிகத ெம(cid:8080)ர,
கிராமத்தில் அைமந்(cid:8080)ள்ள, நில அளைவயாளர் நாயகத்தினால்
இல. 1200/ 6, ரஜமல்வத்த (cid:8106)தி,
தயாாிக்கப்பட்ட PU/NTT/2024/208 ஆம் இலக்க 2024.12.31 பத்தர(cid:8089)ல்ைல,
ஆம் திகதிய (cid:8089)தற்சுவட்(cid:8076) வைரபடத்தில் விபரமாக காட்டப் 2025, திெசம்பர் 19.
பட்ட பின்வ(cid:8094)ம் ெபயர், விஸ்தீரணத்ைதக் ெகாண்ட காணித்
EOG 01–0266
(cid:8080)ண்(cid:8074)ன் எல்ைலகள் :
1A – G46189 – 15(2026/01)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- 2026.01.26
பகுதி III - இலங்ைகச் சனநாயக ேசாச(cid:8098)சக் கு(cid:8074)யரசு வர்த்தமானப் பத்திாிைக - அதி விேசஷமான(cid:8080) - 2026.01.26
ககாாணணிி எஎ(cid:8076)(cid:8076)த்த்ததற்ற் சசட்ட்டடம்ம் ((அஅத்த்ததிியயாாயயம்ம் 446600)) 01. (cid:8080)(cid:8080)ண்ண்(cid:8076)(cid:8076) ‘‘AA’’ –– பபண்ண்டடாாரரவவத்த்ைைதத –– வவிிஸ்ஸ்ததீீரரணணம்ம்:: சுசுமமாார்ர்
00..00113355 ெெஹஹக்க்டடயயாார்ர்
5 ஆம் பிாிவின் ப(cid:8074)யான பிரகடனம் வடக்கு: சன்ன தாஸ்வத்ைத உாிைம ேகா(cid:8094)ம் பண்டார
வத்ைத; கிழக்கு: ேக.எம். நிமல் பிாியதர்ஷனவால் உாிைம
ேகா(cid:8094)ம் பண்டாரவத்ைத; ெதற்கு:(cid:8106)தி ((cid:8106)தி அபிவி(cid:8094)த்தி
கீழ்க்கா(cid:8078)ம் காணி ஒ(cid:8094) பகிரங்கத் ேதைவக்கு ேவண்(cid:8074)யதாய்
அதிகாரசைப); ேமற்கு: சன்ன தாஸ்வத்ைத உாிைம ேகா(cid:8094)ம்
இ(cid:8094)க்கின்றெதன்(cid:8096)ம் காணி எ(cid:8076)த்தற் சட்டத்தின் ஏற்பா(cid:8076)
பண்டாரவத்ைத.
களின் பிரகாரம் அ(cid:8080) எ(cid:8076)த்(cid:8080)க் ெகாள்ளப்ப(cid:8076)ெமன்(cid:8096)ம்
காணி எ(cid:8076)த்தற் சட்டத்தின் 5 ஆம் பிாிவின் (1) ஆம் ேக.(cid:8074). லால் காந்த,
உபபிாிவின் பிரகாரம் கமத்ெதாழில், கால்நைட வளங்கள், கமத்ெதாழில், கால் நைட வளங்கள், காணி
மற்(cid:8096)ம் நீர்ப்பாசன அைமச்சர்.
காணி மற்(cid:8096)ம் நீர்ப்பாசன அைமச்சர் குரகமேக ெதான் லால்
காந்த ஆகிய நான், இத்தால் பிரகடனம் ெசய்கின்ேறன்.
என(cid:8080) இல. : 4–3/6/2023/PT/01.
கமத்ெதாழில், கால் நைட வளங்கள், காணி
வடேமல் மாகாணத்தின் கு(cid:8094)நாகல் மாவட்டம்,
மற்(cid:8096)ம் நீர்ப்பாசன அைமச்சு,
பண்(cid:8076)வஸ்(cid:8082)வர கிழக்கு பிரேதச ெசயலகப் பிாிவின் கல்லெஹ மிஹிகத ெம(cid:8080)ர,
பி(cid:8074)ய கிராம அ(cid:8100)வலர் பிாிவின் கிாிவநாகார கிராமத்தில், இல. 1200/ 6, ரஜமல்வத்த (cid:8106)தி,
அைமந்(cid:8080)ள்ள நில அளைவயாளர் நாயகத்தினால் 2023.09.18 பத்தர(cid:8089)ல்ைல,
ஆந் திகதி தயாாிக்கப்பட்ட வைரபட இல. KU/PDE/2023/236 2025, நெவம்பர் 21.
இல் பின்வ(cid:8094)ம் ெபயர், விஸ்தீரணத்ைதக் ெகாண்ட காணித்
(cid:8080)ண்(cid:8074)ன் எல்ைலகள் : EOG 01–0268
இலங்ைக அரசாங்க அச்சுத் திைணக்களத்தில் அச்சிடப்பட்ட(cid:8080).</t>
  </si>
  <si>
    <t>44f4d5b0-18f5-4f89-ae70-b870330061a1</t>
  </si>
  <si>
    <t>2473_07</t>
  </si>
  <si>
    <t>2473/07</t>
  </si>
  <si>
    <t>Land Acquisition Act (Chapter 460), Section 5/7 — Land Acquisition Notice (Gazette 2473/07)</t>
  </si>
  <si>
    <t>m1/raw/2473_07.pdf</t>
  </si>
  <si>
    <t>(cid:636) ලංකා (cid:541)ජාතා(cid:486)(cid:437)ක සමාජවා(cid:463) ජනරජෙ(cid:591) ගැස(cid:376) ප(cid:436)ය
අ(cid:431) (cid:618)ෙශෂ
இல(cid:8113)ைக(cid:8114) சனநாயக ேசாச(cid:8098)ச(cid:8112) (cid:8065)(cid:8074)யர(cid:8070) வ(cid:8125)(cid:8119)தமான(cid:8122) ப(cid:8119)திாிைக
அதி விேசஷமான(cid:8080)
අංක 2473/07 - 2026 ජනවා(cid:604) මස 26 වැ(cid:487) ස(cid:511)දා - 2026.01.26
2473/07 ஆ(cid:8123) இல(cid:8112)க(cid:8123) - 2026 ஆ(cid:8123) ஆ(cid:8118)(cid:8076) சனவாி மாத(cid:8123) 26 ஆ(cid:8120) திகதி தி(cid:8113)க(cid:8117)கிழைம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இ(cid:8127), தா(cid:8128) இல. 7 இ(cid:8127) (cid:8080)(cid:8118)(cid:8076) இல. 289, 292, 293
ம(cid:8126)(cid:8096)(cid:8123) 294 ஆகியவ(cid:8126)றி(cid:8121) எ(cid:8127)ைல விபர(cid:8113)க(cid:8128)
7 ஆ(cid:8123) பிாிவி(cid:8121) கீ(cid:8129) அறிவி(cid:8119)த(cid:8127) பி(cid:8121)வ(cid:8094)மா(cid:8096):
என(cid:8080) இல.: BD/LG/LND/2/අ(cid:430)ප(cid:430) කරගැ(cid:488)ම 344-380. 01. (cid:8080)(cid:8118)(cid:8076) இல. 289 - காணியி(cid:8121) ெபய(cid:8125):
காணி அைம(cid:8114)சி(cid:8121) இல.: 4-3/7/2010/HW/225. ேசால(cid:8121)(cid:8117)(cid:8132) ேதா(cid:8117)ட(cid:8123); விபர(cid:8123): ேதா(cid:8117)ட(cid:8123) (5 - 10
வய(cid:8080)ைடய கல(cid:8122)பின(cid:8119) தாவர(cid:8113)க(cid:8128) காண(cid:8122)ப(cid:8076)
ப(cid:8080)ைள ெச(cid:8113)கல(cid:8074) பாைத அபிவி(cid:8094)(cid:8119)தி ெச(cid:8124)வத(cid:8126)(cid:8065)
கி(cid:8121)றன); உாிைம ேகா(cid:8094)பவ(cid:8125): அர(cid:8070), ச(cid:8117)ட(cid:8088)(cid:8125)வமான
ேவ(cid:8118)(cid:8074)யதாக இ(cid:8094)(cid:8112)கி(cid:8121)றெத(cid:8121)(cid:8096)(cid:8123) கீ(cid:8129)(cid:8112) கா(cid:8078)(cid:8123)
விதிக(cid:8128) ம(cid:8126)(cid:8096)(cid:8123) அளைவ(cid:8112)கான காரண(cid:8123) - ப(cid:8080)ைள
காணிைய எ(cid:8076)(cid:8119)(cid:8080)(cid:8112) ெகா(cid:8128)ள அரசா(cid:8117)சியா(cid:8125) எ(cid:8118)ணி
ெச(cid:8113)கல(cid:8074) பாைத அபிவி(cid:8094)(cid:8119)தி ெச(cid:8124)வத(cid:8126)காக
யி(cid:8094)(cid:8112)கிறா(cid:8125)க(cid:8128) எ(cid:8121)பைத 1964 ஆ(cid:8123) ஆ(cid:8118)(cid:8074)(cid:8121) 28
ேதைவ(cid:8122)ப(cid:8076)கி(cid:8121)ற(cid:8080); வி(cid:8132)தீரண(cid:8123): 0.0138 ெஹ(cid:8112)ட
ஆ(cid:8123) இல(cid:8112)க காணி எ(cid:8076)(cid:8119)த(cid:8127) தி(cid:8094)(cid:8119)த(cid:8114) ச(cid:8117)ட(cid:8122)ப(cid:8074)
யா(cid:8125)
தி(cid:8094)(cid:8119)த(cid:8122)ப(cid:8117)டவாறான காணி எ(cid:8076)(cid:8119)த(cid:8126) ச(cid:8117)ட(cid:8119)தி(cid:8121)
வட(cid:8112)(cid:8065): (cid:8080)(cid:8118)(cid:8076) இல. 250, 277 ம(cid:8126)(cid:8096)(cid:8123) 290;
(அ(cid:8119)தியாய(cid:8123) 460) 7 ஆ(cid:8123) பிாிவி(cid:8121) (1) ஆ(cid:8123) உ(cid:8117)
கிழ(cid:8112)(cid:8065): (cid:8080)(cid:8118)(cid:8076) இல. 290; ெத(cid:8126)(cid:8065): (cid:8080)(cid:8118)(cid:8076) இல. 24,
பிாிவி(cid:8121) கீ(cid:8129), நா(cid:8121) இ(cid:8119)தா(cid:8127) அறிவி(cid:8112)கி(cid:8121)ேற(cid:8121).
285 ம(cid:8126)(cid:8096)(cid:8123) 287; ேம(cid:8126)(cid:8065): (cid:8080)(cid:8118)(cid:8076) இல. 285, 287
ம(cid:8126)(cid:8096)(cid:8123) 250.
எ(cid:8076)(cid:8119)(cid:8080)(cid:8112) ெகா(cid:8128)ளவி(cid:8094)(cid:8112)(cid:8065)(cid:8123) காணியி(cid:8121) விபர(cid:8123):
ஊவா மாகாண(cid:8119)தி(cid:8121) ப(cid:8080)ைள மாவ(cid:8117)ட(cid:8119)தி(cid:8127) 02. (cid:8080)(cid:8118)(cid:8076) இல. 292 - காணியி(cid:8121) ெபய(cid:8125):
(cid:8100)(cid:8078)கைல பிரேதச ெசயலாள(cid:8125) பிாிவி(cid:8127) 94G, (cid:8065)றி(cid:8122)பிட(cid:8122)படவி(cid:8127)ைல; விபர(cid:8123): ேதா(cid:8117)ட(cid:8123) (5 - 10
(cid:8070)(cid:8089)(cid:8080)கம கிராம அ(cid:8100)வல(cid:8125) பிாிவி(cid:8127) மாபா எ(cid:8127)ல வயதி(cid:8126)(cid:8065)(cid:8117)ப(cid:8117)ட கல(cid:8122)பின(cid:8119) தாவர(cid:8113)க(cid:8128) காண(cid:8122)ப(cid:8076)
கிராம(cid:8119)தி(cid:8127) இ.கி.வ. 535 இ(cid:8127), பி(cid:8126)ேச(cid:8125)(cid:8112)ைக இல. 7 கி(cid:8121)றன); உாிைம ேகா(cid:8094)பவ(cid:8125): அர(cid:8070), ச(cid:8117)ட(cid:8088)(cid:8125)வமான
1A - G 46187 — 18 (2026/01)
இ(cid:8130) அதிவிேசட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- 2026.01.26
ப(cid:8065)தி III - இல(cid:8113)ைக(cid:8114) சனநாயக ேசாச(cid:8098)ச(cid:8112) (cid:8065)(cid:8074)யர(cid:8070) வ(cid:8125)(cid:8119)தமான(cid:8122) ப(cid:8119)திாிைக - அதி விேசஷமான(cid:8080) - 2026.01.26
விதிக(cid:8128) ம(cid:8126)(cid:8096)(cid:8123) அளைவ(cid:8112)கான காரண(cid:8123) - ப(cid:8080)ைள யி(cid:8127) அவ(cid:8125)க(cid:8102)(cid:8112)(cid:8065)(cid:8128)ள உட(cid:8120)ைதகளி(cid:8121) த(cid:8121)ைம
ெச(cid:8113)கல(cid:8074) பாைத அபிவி(cid:8094)(cid:8119)தி ெச(cid:8124)வத(cid:8126)காக ைய(cid:8092)(cid:8123) (cid:8065)றி(cid:8119)த காணிைய எ(cid:8076)(cid:8119)த(cid:8126)கான ந(cid:8117)டஈ(cid:8076)
ேதைவ(cid:8122)ப(cid:8076)கி(cid:8121)ற(cid:8080); வி(cid:8132)தீரண(cid:8123): 0.0005 ெஹ(cid:8112)ட ப(cid:8126)றிய அவ(cid:8125)களி(cid:8121) ேகாாி(cid:8112)ைககளி(cid:8121) விபர(cid:8113)
யா(cid:8125) கைள(cid:8092)(cid:8123) ந(cid:8117)ட ஈ(cid:8117)(cid:8076)(cid:8119) ெதாைகைய(cid:8092)(cid:8123) அ(cid:8119) ெதாைக
வட(cid:8112)(cid:8065): (cid:8080)(cid:8118)(cid:8076) இல. 291, 72 ம(cid:8126)(cid:8096)(cid:8123) 293; கிழ(cid:8112)(cid:8065): கணி(cid:8112)க(cid:8122)ப(cid:8117)ட வித(cid:8119)ைத(cid:8092)(cid:8123) 2026 ஆ(cid:8123) ஆ(cid:8118)(cid:8076) மாசி
(cid:8080)(cid:8118)(cid:8076) இல. 293; ெத(cid:8126)(cid:8065): (cid:8080)(cid:8118)(cid:8076) இல. 293 ம(cid:8126)(cid:8096)(cid:8123) மாத(cid:8123) 28 ஆ(cid:8120) திகதி(cid:8112)(cid:8065) (cid:8089)(cid:8121)ன(cid:8125) எ(cid:8104)(cid:8119)தி(cid:8127)
290; ேம(cid:8126)(cid:8065): (cid:8080)(cid:8118)(cid:8076) இல. 290 ம(cid:8126)(cid:8096)(cid:8123) 291. இ(cid:8094)பிரதிகளாக என(cid:8112)(cid:8065) அறிவி(cid:8112)(cid:8065)(cid:8123)ப(cid:8074)(cid:8092)(cid:8123) இ(cid:8119)தா(cid:8127)
ேக(cid:8117)(cid:8076)(cid:8112)ெகா(cid:8128)ள(cid:8122)ப(cid:8076)கி(cid:8121)றன(cid:8125).
03. (cid:8080)(cid:8118)(cid:8076) இல. 293 - காணியி(cid:8121) ெபய(cid:8125): ெபா(cid:8127)
ெல(cid:8119)ேதெவல ேதா(cid:8117)ட(cid:8123); விபர(cid:8123): ேதா(cid:8117)ட(cid:8123) (5 - 10 சி. (cid:8087)வேன(cid:8120)திர(cid:8121),
வயதி(cid:8126)(cid:8065)(cid:8117)ப(cid:8117)ட கல(cid:8122)பின(cid:8119) தாவர(cid:8113)க(cid:8128) காண(cid:8122)ப(cid:8076) பிரேதச ெசயலாள(cid:8125),
கி(cid:8121)றன); உாிைம ேகா(cid:8094)பவ(cid:8125): அர(cid:8070), ச(cid:8117)ட(cid:8088)(cid:8125)வமான (cid:8100)(cid:8078)கைல.
விதிக(cid:8128) ம(cid:8126)(cid:8096)(cid:8123) அளைவ(cid:8112)கான காரண(cid:8123) - காணி
பிரேதச ெசயலக(cid:8123),
எ(cid:8076)(cid:8119)த(cid:8126) ச(cid:8117)ட(cid:8119)தி(cid:8121) 38 ஆவ(cid:8080) அ(cid:8119)தியாய(cid:8119)தி(cid:8121) (அ)
(cid:8100)(cid:8078)கைல,
இைட(cid:8112)கால உ(cid:8119)தரவி(cid:8121) கீ(cid:8129) ைக(cid:8122)ப(cid:8126)ற(cid:8122)ப(cid:8117)ட(cid:8080).
2026, சனவாி 21.
ஆர(cid:8123)ப உாிைம ேகா(cid:8094)பவ(cid:8125): ெசனவிதி(cid:8132)ஸ(cid:8087)ர,
(cid:8100)(cid:8078)கைலயி(cid:8127) வசி(cid:8112)(cid:8065)(cid:8123) விமலர(cid:8119)ன (cid:8098)யனவி(cid:8112)ரம
EOG 01 - 0262
சி(cid:8113)க, ப(cid:8080)ைள ெச(cid:8113)கல(cid:8074) பாைத அபிவி(cid:8094)(cid:8119)தி
ெச(cid:8124)வத(cid:8126)காக ேதைவ(cid:8122)ப(cid:8076)கி(cid:8121)ற(cid:8080); வி(cid:8132)தீரண(cid:8123):
0.0031 ெஹ(cid:8112)ட யா(cid:8125)
வட(cid:8112)(cid:8065): (cid:8080)(cid:8118)(cid:8076) இல. 72; கிழ(cid:8112)(cid:8065): (cid:8080)(cid:8118)(cid:8076) இல. 72
தி(cid:8094)(cid:8119)த(cid:8123)
ம(cid:8126)(cid:8096)(cid:8123) 294; ெத(cid:8126)(cid:8065): (cid:8080)(cid:8118)(cid:8076) இல. 294, 290 ம(cid:8126)(cid:8096)(cid:8123)
292; ேம(cid:8126)(cid:8065): (cid:8080)(cid:8118)(cid:8076) இல. 290, 292, 291 ம(cid:8126)(cid:8096)(cid:8123) 72.
காணி எ(cid:8076)(cid:8119)த(cid:8126) ச(cid:8117)ட(cid:8123) (அ(cid:8119)தியாய(cid:8123) 460)
04. (cid:8080)(cid:8118)(cid:8076) இல. 294 - காணியி(cid:8121) ெபய(cid:8125): ெபா(cid:8127)
7 ஆ(cid:8123) பிாிவி(cid:8121) கீ(cid:8129) அறிவி(cid:8119)த(cid:8127)
ெல(cid:8119)ேதெவல ேதா(cid:8117)ட(cid:8123); விபர(cid:8123): ேதா(cid:8117)ட(cid:8123) (5 - 10
வயதி(cid:8126)(cid:8065)(cid:8117)ப(cid:8117)ட கல(cid:8122)பின(cid:8119) தாவர(cid:8113)க(cid:8128) காண(cid:8122)ப(cid:8076) என(cid:8080) இல.: GCF/ATH/KL/03/LA.
கி(cid:8121)றன); உாிைம ேகா(cid:8094)பவ(cid:8125): அர(cid:8070), ச(cid:8117)ட(cid:8088)(cid:8125)வமான கம(cid:8119)ெதாழி(cid:8127), கா(cid:8127)நைட வள(cid:8113)க(cid:8128), காணி ம(cid:8126)(cid:8096)(cid:8123)
விதிக(cid:8128) ம(cid:8126)(cid:8096)(cid:8123) அளைவ(cid:8112)கான காரண(cid:8123) - காணி நீ(cid:8125)(cid:8122)பாசன அைம(cid:8114)சி(cid:8121) (cid:8065)றி(cid:8122)(cid:8087) இல.: 03J/91/
எ(cid:8076)(cid:8119)த(cid:8126) ச(cid:8117)ட(cid:8119)தி(cid:8121) 38 ஆவ(cid:8080) அ(cid:8119)தியாய(cid:8119)தி(cid:8121) (அ) LRB/108.
இைட(cid:8112)கால உ(cid:8119)தரவி(cid:8121) கீ(cid:8129) ைக(cid:8122)ப(cid:8126)ற(cid:8122)ப(cid:8117)ட(cid:8080).
1997.10.03 ஆ(cid:8120) திகதிய 995/26 ஆ(cid:8123) இல(cid:8112)க
ஆர(cid:8123)ப உாிைம ேகா(cid:8094)பவ(cid:8125): ெசனவிதி(cid:8132)ஸ(cid:8087)ர,
இல(cid:8113)ைக(cid:8114) சனநாயக ேசாச(cid:8098)ச(cid:8112) (cid:8065)(cid:8074)யரசி(cid:8121) அதி
விகாைர, ப(cid:8080)ைள ெச(cid:8113)கல(cid:8074) பாைத அபிவி(cid:8094)(cid:8119)தி
விேசட வ(cid:8125)(cid:8119)தமானியி(cid:8127) காணி எ(cid:8076)(cid:8119)த(cid:8126) ச(cid:8117)ட(cid:8119)தி(cid:8121) 7
ெச(cid:8124)வத(cid:8126)காக ேதைவ(cid:8122)ப(cid:8076)கி(cid:8121)ற(cid:8080); வி(cid:8132)தீரண(cid:8123):
ஆ(cid:8123) பிாிவி(cid:8121) கீழான அறிவி(cid:8119)த(cid:8098)(cid:8121) கீ(cid:8129) எ(cid:8121)னா(cid:8127)
0.0031 ெஹ(cid:8112)ட யா(cid:8125)
பிர(cid:8070)ர(cid:8112)க(cid:8122)ப(cid:8117)ட அறிவி(cid:8119)த(cid:8127) பி(cid:8121)வ(cid:8094)மா(cid:8096) தி(cid:8094)(cid:8119)த(cid:8122)
வட(cid:8112)(cid:8065): (cid:8080)(cid:8118)(cid:8076) இல. 293 ம(cid:8126)(cid:8096)(cid:8123) 72; கிழ(cid:8112)(cid:8065):
ப(cid:8076)கி(cid:8121)ற(cid:8080) எ(cid:8121)பைத இ(cid:8119)தா(cid:8127) அறிய(cid:8119) த(cid:8094)கி(cid:8121)ேற(cid:8121).
(cid:8080)(cid:8118)(cid:8076) இல. 72 ம(cid:8126)(cid:8096)(cid:8123) இ.கி.வ. 536
(ெகா(cid:8117)ட(cid:8127)ெப(cid:8119)த ெமதக(cid:8113)ெகாட); ெத(cid:8126)(cid:8065): இ.கி.வ.
எ(cid:8076)(cid:8119)(cid:8080)(cid:8112) ெகா(cid:8128)ளவி(cid:8094)(cid:8112)(cid:8065)(cid:8123) காணியி(cid:8121) விபர(cid:8123):
536 (ெகா(cid:8117)ட(cid:8127)ெப(cid:8119)த ெமதக(cid:8113)ெகாட) ம(cid:8126)(cid:8096)(cid:8123) (cid:8080)(cid:8118)(cid:8076)
இல. 290; ேம(cid:8126)(cid:8065): (cid:8080)(cid:8118)(cid:8076) இல. 290 ம(cid:8126)(cid:8096)(cid:8123) 293.
ேம(cid:8127) மாகாண(cid:8123), ெகா(cid:8104)(cid:8123)(cid:8087) மாவ(cid:8117)ட(cid:8123), ெகாெலா(cid:8121)
னாைவ பிரேதச ெசயலாள(cid:8125) பிாிவி(cid:8127) கல(cid:8122)ப(cid:8104)வாவ
ேம(cid:8126)(cid:8065)றி(cid:8119)த காணி(cid:8112)(cid:8065) உாி(cid:8119)(cid:8080)(cid:8122) ேப(cid:8070)கி(cid:8121)ற சகல(cid:8094)(cid:8123) கிராம(cid:8119)தி(cid:8127) அைம(cid:8120)(cid:8080)(cid:8128)ள நில அளைவயாள(cid:8125)
தாமாக அ(cid:8127)ல(cid:8080) (cid:8089)ைற(cid:8122)ப(cid:8074) எ(cid:8104)(cid:8119)(cid:8080) (cid:8090)ல(cid:8123) அதிகார
நாயக(cid:8119)தினா(cid:8127) தயாாி(cid:8112)க(cid:8122)ப(cid:8117)ட ෙක(cid:675):7293 ஆ(cid:8123)
மளி(cid:8112)க(cid:8122)ப(cid:8117)ட காாிய(cid:8112)கார(cid:8125) (cid:8090)லமாக 2026 ஆ(cid:8123) இல(cid:8112)க ஆர(cid:8123)ப வைரபட(cid:8119)தி(cid:8127) கா(cid:8117)ட(cid:8122)ப(cid:8117)(cid:8076)(cid:8128)ள
ஆ(cid:8118)(cid:8076) ப(cid:8113)(cid:8065)னி மாத(cid:8123) 23 ஆ(cid:8120) திகதி (cid:8089).ப. 9.30
0.4899 ெஹ(cid:8112)டயா(cid:8125) (cid:8089)(cid:8104) வி(cid:8132)தீரண(cid:8123) எ(cid:8121)ப(cid:8080)
மணி(cid:8112)(cid:8065) (cid:8100)(cid:8078)கைல பிரேதச ெசயலக(cid:8119)தி(cid:8127) எ(cid:8121)
நீ(cid:8112)க(cid:8122)ப(cid:8117)(cid:8076) அத(cid:8126)(cid:8065)(cid:8122) பதிலாக 0.4898 ெஹ(cid:8112)டயா(cid:8125)
(cid:8089)(cid:8121)பாக ெவளி(cid:8122)ப(cid:8076)(cid:8119)(cid:8080)(cid:8123)ப(cid:8074)(cid:8092)(cid:8123) ேம(cid:8100)(cid:8123), அ(cid:8112)காணி
(cid:8089)(cid:8104) வி(cid:8132)தீரண(cid:8123) என(cid:8122) பதி(cid:8099)(cid:8076) ெச(cid:8124)ய(cid:8122)ப(cid:8117)(cid:8076)(cid:8119)
III ෙක(cid:675)ටස - (cid:636) ලංකා (cid:541)ජාතා(cid:486)(cid:437)ක සමාජවා(cid:463) ජනරජෙ(cid:591) අ(cid:431) (cid:618)ෙශෂ ගැස(cid:376) ප(cid:436)ය - 2026.01.26 3A
ப(cid:8065)தி III - இல(cid:8113)ைக(cid:8114) சனநாயக ேசாச(cid:8098)ச(cid:8112) (cid:8065)(cid:8074)யர(cid:8070) வ(cid:8125)(cid:8119)தமான(cid:8122) ப(cid:8119)திாிைக - அதி விேசஷமான(cid:8080) - 2026.01.26
தி(cid:8094)(cid:8119)த(cid:8122)ப(cid:8076)கிற(cid:8080) எ(cid:8121)பைத இ(cid:8119)தா(cid:8127) அறிய(cid:8119) பாாிய ெகா(cid:8104)(cid:8123)(cid:8087) ெவ(cid:8128)ள(cid:8122) ெப(cid:8094)(cid:8112)ைக(cid:8112)
த(cid:8094)கி(cid:8121)ேற(cid:8121). க(cid:8117)(cid:8076)(cid:8122)ப(cid:8076)(cid:8119)த(cid:8127) ம(cid:8126)(cid:8096)(cid:8123) (cid:8070)(cid:8126)றாட(cid:8127) ேம(cid:8123)ப(cid:8076)(cid:8119)த(cid:8127)
க(cid:8094)(cid:8119)தி(cid:8117)ட(cid:8119)தி(cid:8121) காணி எ(cid:8076)(cid:8119)(cid:8080)(cid:8112) ெகா(cid:8128)ள(cid:8127)
எ(cid:8114). தில(cid:8112)கவ(cid:8125)தன, அ(cid:8100)வலக(cid:8123).
காணி எ(cid:8076)(cid:8119)த(cid:8127) உ(cid:8119)திேயாக(cid:8119)த(cid:8125), இல(cid:8113)ைக காணி அபிவி(cid:8094)(cid:8119)தி(cid:8112) (cid:8066)(cid:8117)(cid:8076)(cid:8119)தாபன(cid:8123).
பாாிய ெகா(cid:8104)(cid:8123)(cid:8087) ெவ(cid:8128)ள(cid:8122) இல. 3, (cid:8111) ஜயவ(cid:8125)தன(cid:8087)ர மாவ(cid:8119)ைத,
ெப(cid:8094)(cid:8112)ைக(cid:8112) க(cid:8117)(cid:8076)(cid:8122)ப(cid:8076)(cid:8119)த(cid:8127) ெவ(cid:8098)(cid:8112)கைட,
ம(cid:8126)(cid:8096)(cid:8123) (cid:8070)(cid:8126)றாட(cid:8127) ேம(cid:8123)ப(cid:8076)(cid:8119)த(cid:8127) இராஜகிாிய.
க(cid:8094)(cid:8119)தி(cid:8117)ட(cid:8123). 2026, சனவாி 19.
ெகாெலா(cid:8121)னாைவ பிரேதச
ெசயலாள(cid:8125) பிாி(cid:8107). EOG 01 - 0263
இல(cid:8113)ைக அரசா(cid:8113)க அ(cid:8114)(cid:8070)(cid:8119) திைண(cid:8112)கள(cid:8119)தி(cid:8127) அ(cid:8114)சிட(cid:8122)ப(cid:8117)ட(cid:8080).</t>
  </si>
  <si>
    <t>911a0954-515e-464e-94b3-d65a5dbb2ab3</t>
  </si>
  <si>
    <t>2473_08</t>
  </si>
  <si>
    <t>2473/08</t>
  </si>
  <si>
    <t>Public Performances Ordinance (Chapter 40), Section 27 — Notice (Gazette 2473/08)</t>
  </si>
  <si>
    <t>රාජ්‍ය ප්‍රසංග ආඥාපනත (40 අධිකාරය), 27 වගන්තිය යටතේ දැන්වීම</t>
  </si>
  <si>
    <t>பொதுமக்கள் பாதுகாப்புக் கட்டளைச் சட்டம் (40 ஆம் அத்தியாயம்), 27 ஆம் பிரிவின் கீழ் அறிவித்தல்</t>
  </si>
  <si>
    <t>Notice issued under Section 27 of the Public Security/Performances Ordinance. Part I — General. Dated 26 January 2026.</t>
  </si>
  <si>
    <t>m1/raw/2473_08.pdf</t>
  </si>
  <si>
    <t>Y%S ,xld m%cd;dka;%sl iudcjd§ ckrcfha .eiÜ m;%h
w;s úfYI
,yq;ifr; rdehaf Nrhryprf; FbauR th;j;jkhdg; gj;jphpif
mjp tpNr\khdJ
wxl 2473/08 - 2026 ckjdß ui 26 jeks i÷od - 2026'01'26
2473/08 Mk; ,yf;fk; - 2026 Mk; Mz;L rdtup khjk; 26 Me; jpfjp jpq;fl;fpoik
(murhq;fj;jpd; mjpfhuj;Jld; gpuRupf;fg;gl;lJ)
gFjp I : njhFjp (I) - nghJ
murhq;f mwptpj;jy;fs;
பப��ொொதுதுமமக்க்ககள்ள் ��ொொதுதுககொொப்ப்புபுக்க் ககட்ட்டடளைளைைைச்ச் சசட்ட்டடம்ம் ((4400 ஆஆம்ம் அஅத்த்திதிிியாயாொொயாயாம்ம்))
ககட்ட்டடளைளைைை
(40 ஆம் அத்திியாொயாமொன) ப�ொதுமக்கள் �ொதுகொப்புக் கட்டளைைச் சட்டத்திின் 12 ஆம் �ிொிவிினொல் எனக்குொித்திொக்கப்�ட்டுள்ை
தித்துவிங்கைின் �யாளைனக் பகொண்டு, சனொதிி�திி அநுர குமொர திிசொநாொயாக்க ஆகியா நாொன், இதின் முதிலாொம் அட்டவிளை�யாில்
குறிித்துளைரத்துக் கொட்டப்�டும் ஆயுதிந்திொங்கியா �ளைடயாின் சகலா உறுப்�ினர்களைையும், இதின் இரண்டொம் அட்டவிளை�யாில்
குறிித்துளைரத்துக் கொட்டப்�ட்ட �ிரதேதிசங்கைில் ப�ொதுமக்கைின் அளைமதிிளையாப் தே�ணுவிதிற்கொக 2026, சனவிொி மொதிம் 27 ஆந்
திிகதிியாிலிருந்து நாளைடமுளைறிக்கு விருமொறு இக்கட்டளைை மூலாம் அளைைக்கின்தேறின்.
அஅநுநுரர குகுமமொொரர திதிிிசசொொநாநாொொயாயாக்க்கக,,
சனொதிி�திி.
2026, சனவிொி மொதிம் 26 ஆம் திிகதிி.
முமுதிதிலாலாொொம்ம் அஅட்ட்டடவிவிளைளை��
இலாங்ளைகத் திளைரப்�ளைட
இலாங்ளைகக் கடற்�ளைட
இலாங்ளைக விொன்�ளைட
1A - G 46190 — 354 (2026/01)
,t; mjp tpNrl tu;j;jkhdpia www.documents.gov.lk vDk; ,izaj;jsj;jpypUe;J gjptpwf;fk; nra;a KbAk;.
2A I fldgi ( (I) fPoh - YS% ,xld m%cd;dka;s%l iudcjd§ ckrcfha w;s úfYI .eiÜ m;%h - 2026'01'26
gFjp I : njhFjp (I) - ,yq;ifr; rdehaf Nrhryprf; FbauR tu;j;jkhdg; gj;jpupif - mjp tpNr\khdJ - 2026.01.26
இஇரரண்ண்டடொொம்ம் அஅட்ட்டடவிவிளைளை��
பகொழும்பு நாிர்விொக மொவிட்டமும் அத்திளைகயா மொவிட்டத்ளைதி அண்மித்துள்ை ஆள்புலா நாீர்ப்�ரப்புகளும்
கம்�ஹாொ நாிர்விொக மொவிட்டமும் அத்திளைகயா மொவிட்டத்ளைதி அண்மித்துள்ை ஆள்புலா நாீர்ப்�ரப்புகளும்
களுத்துளைறி நாிர்விொக மொவிட்டமும் அத்திளைகயா மொவிட்டத்ளைதி அண்மித்துள்ை ஆள்புலா நாீர்ப்�ரப்புகளும்
கண்டி நாிர்விொக மொவிட்டம்
மொத்திளைை நாிர்விொக மொவிட்டம்
நுவிபரலியாொ நாிர்விொக மொவிட்டம்
கொலி நாிர்விொக மொவிட்டமும் அத்திளைகயா மொவிட்டத்ளைதி அண்மித்துள்ை ஆள்புலா நாீர்ப்�ரப்புகளும்
மொத்திளைறி நாிர்விொக மொவிட்டமும் அத்திளைகயா மொவிட்டத்ளைதி அண்மித்துள்ை ஆள்புலா நாீர்ப்�ரப்புகளும்
அம்�ொந்தேதிொட்ளைட நாிர்விொக மொவிட்டமும் அத்திளைகயா மொவிட்டத்ளைதி அண்மித்துள்ை ஆள்புலா நாீர்ப்�ரப்புகளும்
யாொழ்ப்�ொ�ம் நாிர்விொக மொவிட்டமும் அத்திளைகயா மொவிட்டத்ளைதி அண்மித்துள்ை ஆள்புலா நாீர்ப்�ரப்புகளும்
கிைிபநாொச்சி நாிர்விொக மொவிட்டமும் அத்திளைகயா மொவிட்டத்ளைதி அண்மித்துள்ை ஆள்புலா நாீர்ப்�ரப்புகளும்
மன்னொர் நாிர்விொக மொவிட்டமும் அத்திளைகயா மொவிட்டத்ளைதி அண்மித்துள்ை ஆள்புலா நாீர்ப்�ரப்புகளும்
விவுனியாொ நாிர்விொக மொவிட்டம்
முல்ளைலாத்திீவு நாிர்விொக மொவிட்டமும் அத்திளைகயா மொவிட்டத்ளைதி அண்மித்துள்ை ஆள்புலா நாீர்ப்�ரப்புகளும்
மட்டக்கைப்பு நாிர்விொக மொவிட்டமும் அத்திளைகயா மொவிட்டத்ளைதி அண்மித்துள்ை ஆள்புலா நாீர்ப்�ரப்புகளும்
அம்�ொளைறி நாிர்விொக மொவிட்டமும் அத்திளைகயா மொவிட்டத்ளைதி அண்மித்துள்ை ஆள்புலா நாீர்ப்�ரப்புகளும்
திிருதேகொ�மளைலா நாிர்விொக மொவிட்டமும் அத்திளைகயா மொவிட்டத்ளைதி அண்மித்துள்ை ஆள்புலா நாீர்ப்�ரப்புகளும்
குருநாொகல் நாிர்விொக மொவிட்டம்
புத்திைம் நாிர்விொக மொவிட்டமும் அத்திளைகயா மொவிட்டத்ளைதி அண்மித்துள்ைஆள்புலா நாீர்ப்�ரப்புகளும்
அநுரொதிபுரம் நாிர்விொக மொவிட்டம்
ப�ொலான்னறுளைவி நாிர்விொக மொவிட்டம்
�துளைை நாிர்விொக மொவிட்டம்
பமொ�ரொகளைலா நாிர்விொக மொவிட்டம்
இரத்திினபுொி நாிர்விொக மொவிட்டம்
தேககொளைலா நாிர்விொக மொவிட்டம்
EOG 01 - 0271
,yq;if murhq;f mr;Rj; jpizf;fsj;jpw; gjpg;gpf;fg;ngw;wJ.</t>
  </si>
  <si>
    <t>98f2d9a3-e9ab-4896-a281-3769d125560b</t>
  </si>
  <si>
    <t>2473_09</t>
  </si>
  <si>
    <t>2473/09</t>
  </si>
  <si>
    <t>General Government Notification under Act No. 18 of 2008, Section 4(1) (Gazette 2473/09)</t>
  </si>
  <si>
    <t>2008 අංක 18 දරන පනත 4(1) වගන්තිය යටතේ රජයේ දැන්වීම</t>
  </si>
  <si>
    <t>2008 ஆம் ஆண்டின் 18 ஆம் இலக்க சட்டத்தின் 4(1) ஆம் பிரிவின் கீழ் அரசாங்க அறிவித்தல்</t>
  </si>
  <si>
    <t>Notice under Section 4(1) of Act No. 18 of 2008. Part I — General/Government Notifications.</t>
  </si>
  <si>
    <t>m1/raw/2473_09.pdf</t>
  </si>
  <si>
    <t>Y%S ,xld m%cd;dka;%sl iudcjd§ ckrcfha .eiÜ m;%h
w;s úfYI
,yq;ifr; rdehaf Nrhryprf; FbauR th;j;jkhdg; gj;jphpif
mjp tpNr\khdJ
wxl 2473/09 - 2026 ckjdß ui 26 jeks i÷od - 2026'01'26
2473/09 Mk; ,yf;fk; - 2026 Mk; Mz;L rdtup khjk; 26 Me; jpfjp jpq;fl;fpoik
(murhq;fj;jpd; mjpfhuj;Jld; gpuRupf;fg;gl;lJ)
gFjp I : njhFjp (I) - nghJ
murhq;f mwptpj;jy;fs;
22000099 ஆஆம்ம் ஆஆண்ண்டிடின்ன் 2200 ஆஆம்ம் இஇலலக்க்கக ((திதிிிருருத்த்திதிப்ப்பபட்ட்டட)) இஇலலங்ங்கைகைகக மிமிிின்ன்சாசாாாரர சாசாட்ட்டடத்த்திதிிின்ன் 1100((33)) ஆஆம்ம் பபிிாாிிவிவிிின்ன் ககீீழ்ழ்
விவிிிடுடுக்க்ககப்ப்பபடுடும்ம் அஅறிறிிிவிவிிித்த்திதில்ல்
விிலக்களிித்திலுக்கான சாான்றிிதிழ் விழங்கல்
இலங்கைக பபாதுப் பயன்பாடுகள் ஆகை�க்குழுவிானது, 2009 ஆம் ஆண்டின் 20 ஆம் இலக்க திிருத்திப்பட்ட இலங்கைக மிின்சாார
சாட்டத்திின் 10(2) ஆம் பிாிவிளிிக்கும் அதின் அதிிகாரங்ககைளிப் பயன்படுத்திி, இத்திால் பின்விரும் நபருக்கு, மிின்சாாரத்கைதி விிநியயாகம்
மிற்றும் விழங்கல் அல்லது மிின்சாார விழங்கல் பபறி யவிண்டிய உாிமித்திிற்கான யதிகைவிப்பாட்டினின்றும் விிலக்களிிக்கும் பபாருட்டு,
விிலக்களிிப்புச் சாான்றிிதிகைழ விழங்குகின்றிது.
விிண்�ப்ப நபர்/பதிிவு பசாய்யப்பட்ட விலிதுகைடய காலம்
அங்கீகாிக்கப்பட்ட பசாயல்பாடு
இலக்கம் முகவிாி ஆரம்பம் விகைர
EL/EX/D/26-01 துவிிஸ் ப�ல்டர் ய�ாம் ஸ்யட மிின்சாார விாகனங்ககைளி சாார்ஜ் (மிின்யனற்றும்) 2025.12.19 2030.12.18
13/5/1/1, பராபர்ட் கு�விர்தின பசாய்யும் யநாக்கத்திிற்காக மிின்சாார விிநியயாகம்
மிாவித்கைதி, கனய�ன, மிற்றும் பாிமிாற்றிம் அல்லது விழங்கல்.
பத்திரமுல்ல.
திகைலவிர்,
இலங்கைக பபாதுப் பயன்பாடுகள் ஆகை�க்குழு.
EOG 01 - 0269
1A - PG 7495 — 04 (2026/01) ,yq;if murhq;f mr;Rj; jpizf;fsj;jpw; gjpg;gpf;fg;ngw;wJ.
,t; mjptpNrl tu;j;jkhdpia www.documents.gov.lk vDk; ,izaj;jsj;jpypUe;J gjptpwf;fk; nra;a KbAk;.</t>
  </si>
  <si>
    <t>40ec4106-e35f-4862-8c52-b8ada546919c</t>
  </si>
  <si>
    <t>2473_10</t>
  </si>
  <si>
    <t>2473/10</t>
  </si>
  <si>
    <t>General Notification under Act No. 20 of 2009, Section 4(1) (Gazette 2473/10)</t>
  </si>
  <si>
    <t>2009 අංක 20 දරන පනත, 4(1) වගන්තිය යටතේ දැන්වීම</t>
  </si>
  <si>
    <t>2009 ஆம் ஆண்டின் 20 ஆம் இலக்க சட்டம், 4(1) ஆம் பிரிவின் கீழ் அறிவித்தல்</t>
  </si>
  <si>
    <t>Notice under Section 4(1) of Act No. 20 of 2009. Part I — General.</t>
  </si>
  <si>
    <t>m1/raw/2473_10.pdf</t>
  </si>
  <si>
    <t>Y%S ,xld m%cd;dka;%sl iudcjd§ ckrcfha .eiÜ m;%h
w;s úfYI
,yq;ifr; rdehaf Nrhryprf; FbauR th;j;jkhdg; gj;jphpif
mjp tpNr\khdJ
wxl 2473/10 - 2026 ckjdß ui 26 jeks i÷od - 2026'01'26
2473/10 Mk; ,yf;fk; - 2026 Mk; Mz;L rdtup khjk; 26 Me; jpfjp jpq;fl;fpoik
(murhq;fj;jpd; mjpfhuj;Jld; gpuRupf;fg;gl;lJ)
gFjp I : njhFjp (I) - nghJ
murhq;f mwptpj;jy;fs;
22000099 ஆஆம்ம் ஆஆண்ண்டிடின்ன் 2200 ஆஆம்ம் இஇலலக்க்கக ((திதிிிருருத்த்திதிப்ப்பபட்ட்டட)) இஇலலங்ங்கைகைகக மிமிிின்ன்சாசாாாரர சாசாட்ட்டடத்த்திதிிின்ன் 1100((33)) ஆஆம்ம் பபிிாாிிவிவிிின்ன் ககீீழ்ழ்
விவிிிடுடுக்க்ககப்ப்பபடுடும்ம் அஅறிறிிிவிவிிித்த்திதில்ல்
விிலக்களிித்திலுக்கான சாான்றிிதிழ் விழங்கல்
இலங்கைக பபாதுப் பயன்பாடுகள் ஆகை�க்குழுவிானது, 2009 ஆம் ஆண்டின் 20 ஆம் இலக்க திிருத்திப்பட்ட இலங்கைக மிின்சாார
சாட்டத்திின் 10(2) ஆம் பிாிவிளிிக்கும் அதின் அதிிகாரங்ககைளிப் பயன்படுத்திி, இத்திால் பின்விரும் நபர்களுக்கு, மிின்சாாரத்கைதி
விிநியயாகப்பதிற்கும் விழங்கலுக்கும் பபறி யவிண்டிய உாிமித்திிற்கான யதிகைவிப்பாட்டினின்றும் விிலக்களிிக்கும் பபாருட்டு,
விிலக்களிிப்புச் சாான்றிிதிகைழ விழங்குகின்றிது.
விிண்�ப்ப விலிதுகைடய காலம்
நிறுவினம் விளிாகங்கள்
இலக்கம் ஆரம்பம் விகைர
EL/EX/D/26-02 ஹாார்பர் விியலஜ் (பிகைறியவிட்) இலக்கம் 250, ஸ்ரீமித் ராமிநாதின் மிாவித்கைதி, 2025.12.19 2030.12.18
லிமிிபடட் பகாழும்பு 15
EL/EX/D/26-03 கூட்டு ஆதின முகாகைமித்துவி இலக்கம் 67/09, புத்கமுவி வீதிி, ராஜகிாிய 2025.12.19 2035.12.18
திிட்ட இலக்கம் 15399
EL/EX/D/26-04 எவிிக் இன்டர்யநஷனல் இலக்கம் 418, 420, 422, ஆர். ஏ. டி பமில் 2025.12.19 2030.12.18
யஹாாட்டல்ஸ் லங்கா லிமிிபடட் மிாவித்கைதி பகாழும்பு 03
திகைலவிர்,
இலங்கைக பபாதுப் பயன்பாடுகள் ஆகை�க்குழு.
EOG 01 - 0270
1A - PG 7496 — 04 (2026/01) ,yq;if murhq;f mr;Rj; jpizf;fsj;jpw; gjpg;gpf;fg;ngw;wJ.
,t; mjptpNrl tu;j;jkhdpia www.documents.gov.lk vDk; ,izaj;jsj;jpypUe;J gjptpwf;fk; nra;a KbAk;.</t>
  </si>
  <si>
    <t>b352192d-d240-40b0-98d0-4024a2ce02f8</t>
  </si>
  <si>
    <t>2473_12</t>
  </si>
  <si>
    <t>2473/12</t>
  </si>
  <si>
    <t>Petroleum Products (Special Provisions) Act No. 21 of 2021, Section 17 — Notice (Gazette 2473/12)</t>
  </si>
  <si>
    <t>2021 අංක 21 දරන ඛනිජ තෙල් නිෂ්පාදන (විශේෂ විධිවිධාන) පනත, 17 වැනි වගන්තිය යටතේ දැන්වීම</t>
  </si>
  <si>
    <t>2021 ஆம் ஆண்டின் 21 ஆம் இலக்க பெற்றோலியப் பொருட்கள் சட்டம், 17 ஆம் பிரிவின் கீழ் அறிவித்தல்</t>
  </si>
  <si>
    <t>Notice issued under Section 17 of the Petroleum Products (Special Provisions) Act No. 21 of 2021 (48 sub-section). Part I — General. Dated 27 January 2026.</t>
  </si>
  <si>
    <t>Petroleum Products (Special Provisions) Act, No. 21 of 2021</t>
  </si>
  <si>
    <t>m1/raw/2473_12.pdf</t>
  </si>
  <si>
    <t>Y%S ,xld m%cd;dka;%sl iudcjd§ ckrcfha .eiÜ m;%h
w;s úfYI
,yq;ifr; rdehaf Nrhryprf; FbauR th;j;jkhdg; gj;jphpif
mjp tpNr\khdJ
wxl 2473/12 - 2026 ckjdß ui 27 jeks w`.yrejdod - 2026'01'27
2473/12 Mk; ,yf;fk; - 2026 Mk; Mz;L rdtup khjk; 27 Me; jpfjp nrt;tha;f;fpoik
(murhq;fj;jpd; mjpfhuj;Jld; gpuRupf;fg;gl;lJ)
gFjp I : njhFjp (I) - nghJ
murhq;f mwptpj;jy;fs;
ச.வ.பிி. 5/2021
22002211 ஆஆம்ம் ஆஆண்ண்டிடின்ன் 2211 ஆஆம்ம் இஇலலக்க்கக,, பெபெபிபிற்ற்றற��ோோலிலியய வவளளங்ங்ககள்ள் சசட்ட்டடம்ம்
2021 ஆம் ஆண்டின் 21 ஆம் இலக்க, பெபிற்ற�ோலிய வளங்கள் சட்டத்திின் 17 ஆம் பிிோிவுடன் றசர்த்து வோசிக்கப்பிடும், 48 ஆம்
பிிோிவின் கீழ் வலுசக்திி அமைைச்சோினாோல் ஆக்கப்பிட்டமைவயும் அமைைச்சரமைவயினாோல் அங்கீகோிக்கப்பிட்டமைவயுைோனா ஒழுங்குவிதிிகள்.
வலுசக்திி அமைைச்சர்.
பெகோழும்பு,
2026, சனாவோி 27.
ஒஒழுழுங்ங்குகுவவிிதிதிிிககள்ள்
1. இவ்பெவோழுங்குவிதிிகள் 2026 ஆம் ஆண்டின் 01 ஆம் இலக்க, பெபிற்ற�ோலிய வளங்கள் உடன்பிடிக்மைக ஒழுங்குவிதிிகள்
எனா எடுத்துக்கோட்டப்பிடலோம்.
2. அமைடயோளங்கோணப்பிட்ட ஒன்று அல்லது அதிற்கு றைற்பிட்ட துண்டங்க ளினுள் பெபிற்ற�ோலிய வளங்கமைளத்
றதிடிக்கண்ட�ிவதிற்கு அல்லது அபிிவிருத்திி பெசய்வதிற்கு விரும்புகின்� எவறரனுைோள் (இ தினாகத்துப் பிின்னார்
இவ்பெவோழுங்குவிதிிகளில் “விமைலகூ�ல்” எனாக் கு�ிப்பீடு பெசய்யப்பிடும்) முதிலீட்டு முன்பெைோழிிபெவோன்மை�, இமையபிோனா
விமைலகூ�லுக்கோனா அமைழிப்பிில் கு�ித்துமைரக்கப்பிட்டவோறு, நிிருவோகக் கட்டணபெைோன்�ின் பெகோடுப்பினாவுடன் றசர்த்து,
சைர்ப்பிித்தில் றவண்டும்.
1A - G 46191 — 04 (2026/01)
,t; mjptpNrl tu;j;jkhdpia www.documents.gov.lk vDk; ,izaj;jsj;jpypUe;J gjptpwf;fk; nra;a KbAk;.
2A I fldgi ( ^I&amp; fPoh - YS% ,xld m%cd;dka;s%l iudcjd§ ckrcfha w;s úfYI .eiÜ m;%h - 2026'01'27
gFjp I : njhFjp (I) - ,yq;ifr; rdehaf Nrhryprf; FbauR tu;j;jkhdg; gj;;jpupif - mjp tpNr\khdJ - 2026.01.27
3. ஒழுங்குவிதிி 2 இல் கு�ிப்பீடு பெசய்யப்பிட்ட விமைலகூ�லுக்கோனா அமைழிப்பிில் கு�ித்துமைரக்கப்பிட்டவோ�ோனா ஒத்தி பிடிவத்திில்
பெசம்மைையோனா திகவல்கமைள உள்ளடக்குதில் றவண்டும்.
4. ஒழுங்குவிதிி 2 இன் கீழ் சைர்ப்பிிக்கப்பிட்ட விமைலக்கூ�ல்கள், விமைலகூ�லுக்கோனா றநிபெரோத்தி அமைழிப்பிில் கு�ித்துமைரக்கப்பிட்ட
கட்டமைளகளுக்கிணங்க, துமை� அமைைச்சோினாோல் நிியைிக்கப்பிட்ட கருத்திிட்டக் குழுவினாோல் ைதிிப்பீடு பெசய்யப்பிடுதில்
றவண்டும்.
5. கருத்திிட்டக் குழுவோனாது, அதின் விதிப்புமைரகமைள, (இதினாகத்துப் பிின்னார் “அதிிகோரசமைபி” எனாக் கு�ிப்பீடு பெசய்யப்பிடும்)
இலங்மைகப் பெபிற்ற�ோலிய அபிிவிருத்திி அதிிகோர சமைபிக்கும் அமைைச்சரமைவயினாோல் நிியைிக்கப்பிட்ட றபிச்சுவோர்த்மைதிக்
குழுவுக்கும் அனுப்பிி மைவத்தில் றவண்டும்.
6. அதிிகோர சமைபியோனாது, அவசியைோனாவிடத்து, ஒரு றபிச்சுவோர்மைதிக் குழுவின் கலந்திோறலோசமைனாயுடன், இமையபிோனா ைோதிிோிப்
பெபிற்ற�ோலிய வளங்கள் உடன்பிடிக்மைகயின் அடிப்பிமைடயில் ஒவ்பெவோரு பெபிற்ற�ோலிய வளங்கள் உடன்பிடிக்மைகயினுள்ளும்
றசர்க்கப்பிடறவண்டிய நிியதிிநிிபிந்திமைனாகள் பிற்�ி ஒப்பிந்திக்கோரர்களுடன் றபிச்சுவோர்த்மைதி நிடோத்துதில் றவண்டும்.
7. அதிிகோர சமைபியோனாது, இறுதிிப் றபிச்சுவோர்த்மைதி மூலம் பெசய்யப்பிட்ட பெபிற்ற�ோலிய வளங்கள் உடன்பிடிக்மைகமைய
அமைைச்சருக்கு அனுப்பிி மைவத்தில் றவண்டுபெைன்பிதுடன் அமைைச்சர் அதிமைனா அங்கீகோரத்துக்கோக அமைைச்சரமைவக்குச்
சைர்ப்பிித்திலும் றவண்டும்.
8. அமைைச்சரமைவயோனாது, இலங்மைக அரசோங்கத்திின் சோர்பிில் பெபிற்ற�ோலிய வளங்கள் உடன்பிடிக்மைகமையச் பெசய்து
பெகோள்வதிற்குப் பெபியர்கு�ிக்கப்பிட்ட தினாியோளுக்கு அதிிகோரைளித்தில் றவண்டும்.
EOG 01 - 0273
,yq;if murhq;f mr;Rj; jpizf;fsj;jpw; gjpg;gpf;fg;ngw;wJ.</t>
  </si>
  <si>
    <t>fbdddb50-35d3-40a2-84f4-7d0d961c6c7a</t>
  </si>
  <si>
    <t>2473_13</t>
  </si>
  <si>
    <t>2473/13</t>
  </si>
  <si>
    <t>Local Authorities Elections — Returning Officer Notice (Gazette 2473/13)</t>
  </si>
  <si>
    <t>පළාත් පාලන තේරීම් - භාරගැනීමේ නිලධාරියාගේ දැන්වීම</t>
  </si>
  <si>
    <t>உள்ளூராட்சி தேர்தல்கள் - தேர்தல் அதிகாரியின் அறிவித்தல்</t>
  </si>
  <si>
    <t>Returning Officer notice under the Local Authorities Elections Ordinance regarding council member status. Part IV — Local Government.</t>
  </si>
  <si>
    <t>m1/raw/2473_13.pdf</t>
  </si>
  <si>
    <t>Y%S ,xld m%cd;dka;%sl iudcjd§ ckrcfha .eiÜ m;%h
w;s úfYI
,yq;ifr; rdehaf Nrhryprf; FbauR tu;j;jkhdg; gj;jpupif
mjp tpNr\khdJ
wxl 2473/13 - 2026 ckjdß ui 28 jeks nodod - 2026'01'28
2473/ 13 Mk; ,yf;fk; - 2026 Mk; Mz;L rdtup khjk; 28 Me; jpfjp Gjd;fpoik
(murhq;fj;jpd; mjpfhuj;Jld; gpuRupf;fg;gl;lJ)
gFjp I : njhFjp (I) - nghJ
rdhjpgjpapd; gpufldq;fSk; gpwTk;
khz;GkpF rdhjpgjp mtu;fshy; nra;ag;gLk; fl;lis
11997799 ஆஆம்ம் ஆஆண்ண்டிடின்ன் 6611 ஆஆம்ம் இஇலலக்க்கக,, அஅத்த்திதிிியயாாவவசாசாிியய பப��ாாதுதுச்ச் சேசேசாசாவைவைவவககள்ள் சாசாட்ட்டடம்ம்
அஅநுநுரர குகுமாமாாாரர திதிிிசாசாாாநாநாாாயயக்க்கக..
Kj;jpiu
,yq;ifr; rdehaf Nrhryprf; Fbaurpd; rdhjpgjp&gt; mEu Fkhu jprhehaf;f Mfpa ehd;&gt; 1979 Mk; Mz;bd;
61 Mk; ,yf;f&gt; mj;jpahtrpa nghJr; Nritfs; rl;lj;jpd; 2 Mk; gputpw;fika vdf;Fupj;jhf;fg;gl;Ls;s
jj;Jtq;fspd; gpufhuk;&gt; ,t;twptpj;jypd;%yk; gpd;tUk; ml;ltizapy; Fwpg;gplg;gl;Ls;s Nritfis
toq;Ftjpy; &lt;LgLk; ve;jnthU mur $l;Lj;jhgdk; my;yJ mur jpizf;fsk; my;yJ cs;@@uhl;rp
epWtdk; my;yJ $l;LwTr; rq;fk; my;yJ mtw;wpd; fpisnahd;wpdhy; toq;fg;gLk; Nritfs; bl;th
#whtsp fhuzkhf Vw;gl;Ls;s mdu;j;jj;jpw;F gpd;duhd epiyikfUjp toikahd nghJkf;fs; tho;itf;
nfhz;Lelj;Jtjw;F ,d;wpaikahjnjd kw;Wk; nrhy;yg;gl;l NritfSf;F ,ila+whff;$Lnkd;gij
my;yJ jilahff;$Lnkd;gijf; fUj;jpw;nfhz;L ve;jnthU mur $l;Lj;jhgdk; my;yJ mur jpizf;fsk;
my;yJ cs;@@uhl;rp epWtdk; my;yJ $l;LwTr; rq;fk; my;yJ mtw;wpd; fpisnahd;wpd;%yk; toq;fg;gLk;
gpd;tUk; ml;ltizapy; Fwpg;gpl;Ls;s Nritfs; Nkw;Nghe;j gpuptpd; gzpfSf;fhf mj;jpahtrpa Nritfs;
vd ,f;fl;lisapd;%yk; gpufldg;gLj;Jfpd;Nwd;.
,uz;lhapuj;J ,Ugj;jhwhk; Mz;L rdtup khjk; 28 Mk; jpfjpad;W ifnahg;gkplg;gl;lJ.
khz;GkpF rdhjpgjpatu;fspd; Mizg;gb&gt;
fyhepjp vvdd;;..vv]];;.. FFkkhheehhaaff;;ff
rdhjpgjpapd; nrayhsu;
1A - G 46195 — 355 (2026/01)
,t; mjptpNrl tu;j;jkhdpia www.documents.gov.lk vDk; ,izaj;jsj;jpypUe;J gjptpwf;fk; nra;a KbAk;.
2A I fldgi ( ^I&amp; fPoh - YS% ,xld m%cd;dka;s%l iudcjd§ ckrcfha w;s úfYI .eiÜ m;%h - 2026'01'28
gFjp I : njhFjp (I) - ,yq;ifr; rdehaf Nrhryprf; FbauR tu;j;jkhdg; gj;;jpupif - mjp tpNr\khdJ - 2026.01.28
mmll;;llttiizz
1. kpd;rhuk; toq;fy; njhlu;ghd rfy Nritfs;
2. ngw;Nwhypa cw;gj;jpfs;&gt; vupthA cs;spl;l vupnghUs; toq;fy; my;yJ tpepNahfk;
3. itj;jparhiyfs;&gt; jhjpau; ,y;yq;fs;&gt; kUe;jfq;fs; kw;Wk; mJNghd;w Vida epWtdq;fspd;
Nehahsu;fspd; guhkupg;G kw;Wk; tuNtw;G&gt; ghJfhg;G&gt; Nghrhf;$l;ly; kw;Wk; rpfpr;ir mspj;jy; Mfpait
njhlu;gpy; mtrpakhd my;yJ Nkw;nfhs;s Ntz;ba ve;j tifapyhd rfy Nritfs;&gt; Ntiyfs;
my;yJ njhopy; gq;fspg;G
4. gazpfs; my;yJ nghUl;fis nfhz;L nry;tjw;fhd nghJ Nghf;Ftuj;J Nritfs;
5. tPjpfs;&gt; ghyq;fs;&gt; kjFfs;&gt; tpkhd epiyaq;fs;&gt; JiwKfq;fs; kw;Wk; Gifapuj ghijfs; mlq;fyhf
ghijfs;&gt; Gifapuj ghijfs; my;yJ thd;top Nghf;Ftuj;Jr; Nritfs;&gt; Rw;Wyh NritfSf;fhd
trjpfis toq;Fjy; kw;Wk; Ngzpr;nry;yy;
6. ePu; toq;fy; kw;Wk; tbfhy; njhlu;ghd rfy Nritfs;
7. czT kw;Wk; mj;jpahtrpag; nghUl;fspd; toq;fy;&gt; ghJfhg;G kw;Wk; tpepNahfk; njhlu;ghd rfy
Nritfs;
8. midj;J khtl;l nrayfq;fs;&gt; gpuNjr nrayfq;fs;&gt; fpuhk mYtyu;fs;&gt; rKu;j;jp mgptpUj;jp mYtyu;fs;&gt;
tptrha Muha;r;rp cjtpahsu;fs;&gt; r%f tYT+l;ly; mYtyu;fs;&gt; fpsPd; = yq;fh FO mYtyu;fs;
cl;gl midj;J khtl;l kw;Wk; gpuNjr nrayfq;fspd; fs kl;l mYtyu;fshy; Nkw;nfhs;s Ntz;ba
my;yJ Nkw;nfhs;s mtrpakhd ve;jnthU tifahd midj;J Nritfs;&gt; Ntiy my;yJ njhopyhsu;
gq;fspg;Gf;fs;.
9. mtru Nehahsu; fhT tz;b Nritfs;
10. ,yq;if kj;jpa tq;fp cl;gl midj;J mur tq;fp kw;Wk; fhg;GWjp eltbf;iffs;
11. ePu;&gt; kpd;rhuk;&gt; tbfhy; kw;Wk; fopTePu; tbfhy; mikg;Gfs;&gt; jPaizg;G kw;Wk; Nehahsu; fhT tz;b
Nritfs;&gt; (fopTfis nfhz;Lnry;yy;; kw;Wk; mfw;Wjy; cl;gl) fopT Rj;jpfupg;G kw;Wk; Fg;igfis
mfw;Wtjw;fhf VNjDk; cs;Suhl;rp epWtdk; %yk; Nkw;nfhs;sg;gl;L tUk; VNjDk; gzpfs; kw;Wk;
cs;Suhl;rp epWtdq;fshy; Nkw;nfhs;sg;gLk; rfy Nritfs;
12. ePu;g;ghrdk; njhlu;ghd rfy Nritfs;
13. njhiyNgrp&gt; njhiyj;njhlu;G kw;Wk; Clfk; njhlu;ghd rfy Nritfs;
14. jho; epyq;fis kPl;nlLg;gJ kw;Wk; mgptpUj;jp nra;jy; njhlu;ghd rfy Nritfs;
15. tptrhak; kw;Wk; tptrha fhg;GWjp Nritfs; njhlu;ghd rfy Nritfs;
EOG 01 - 0280
,yq;if murhq;f mr;Rj; jpizf;fsj;jpw; gjpg;gpf;fg;ngw;wJ.</t>
  </si>
  <si>
    <t>8b169e2a-40d4-4d16-a330-65cca6699fbe</t>
  </si>
  <si>
    <t>2473_14</t>
  </si>
  <si>
    <t>2473/14</t>
  </si>
  <si>
    <t>General Government Notification (Gazette 2473/14)</t>
  </si>
  <si>
    <t>General Government Notification published in Part I — General/Government Notifications.</t>
  </si>
  <si>
    <t>m1/raw/2473_14.pdf</t>
  </si>
  <si>
    <t>Y%S ,xld m%cd;dka;%sl iudcjd§ ckrcfha .eiÜ m;%h
w;s úfYI
,yq;ifr; rdehaf Nrhryprf; FbauR tu;j;jkhdg; gj;jpupif
mjp tpNr\khdJ
wxl 2473/14 - 2026 ckjdß ui 28 jeks nodod - 2026'01'28
2473/ 14 Mk; ,yf;fk; - 2026 Mk; Mz;L rdtup khjk; 28 Me; jpfjp Gjd;fpoik
(murhq;fj;jpd; mjpfhuj;Jld; gpuRupf;fg;gl;lJ)
gFjp I : njhFjp (I) - nghJ
rdhjpgjpapd; gpufldq;fSk; gpwTk;
மாமாாாண்ண்புபுமாமாிிகுகு சாசானானாாாதிதிிிபபதிதிிி அஅவவர்ர்ககளிளிிினானாாால்ல் செசெசாசாய்ய்யயப்ப்பபடுடும்ம் பபிிரரககடடனானாம்ம்
அஅநுநுரர குகுமாமாாாரர திதிிிசாசாாாநாநாாாயயக்க்கக..
Kj;jpiu
,yq;ifapy; kf;fs; mtrufhy epiyik epyTtjd; fhuzkhf nghJkf;fspd; ghJfhg;G&gt; ehl;bd; mikjpiag;
ghJfhj;jy;&gt; nghJkf;fs; tho;Tf;F mj;jpahtrpakhd toq;fy;fs; kw;Wk; Nritfs; vd;gtw;iwg; NgZtjw;fhf
,t;thW nra;jy; crpjkhdjhfTs;snjd ehd; mgpg;gpuhag;gLtjpdhy; ;
rdhjpgjp mEu Fkhu jprhehaf;f Mfpa ehd;&gt; 1959 Mk; Mz;bd; 8 Mk; ,yf;fr; rl;lj;jpdhYk; Njrpa
muRg; Nguitapd; 1978 Mk; Mz;bd; 6 Mk; ,yf;fr; rl;lj;jpdhYk; 1988 Mk; Mz;bd; 28 Mk; ,yf;fr;
rl;lj;jpdhYk; jpUj;jg;gl;lthwhd (40 Mk; mj;jpahakhd) nghJkf;fs; ghJfhg;Gf; fl;lisr; rl;lj;jpd; 2 Mk;
gpuptpdhy; vdf;Fupj;jhf;fg;gl;l jj;Jtq;fspd; gaidf;nfhz;L mf;fl;lisr; rl;lj;jpd; ghfk; II ,d; Vw;ghLfs;
,uz;lhapuj;J ,Ugj;jhwhk; Mz;L rdtup khjk; 28 Mk; jpfjp njhlf;fk;; ,yq;if G+uhfTk; eilKiwf;F
tUjy; Ntz;Lk; vd ntspg;gLj;Jfpd;Nwd;.
,uz;lhapuj;J ,Ugj;jhwhk; Mz;L rdtup khjk; 28 Mk; jpfjpad;W nfhOk;gpy; ifnahg;gkplg;gl;lJ.
khz;GkpF rdhjpgjpatu;fspd; Mizg;gb&gt;
fyhepjp vvdd;;..vv]];;.. FFkkhheehhaaff;;ff&gt;&gt;
rdhjpgjpapd; nrayhsu;.
EOG 01 - 0281
1A - G 46196 — 355 (2026/01) ,yq;if murhq;f mr;Rj; jpizf;fsj;jpw; gjpg;gpf;fg;ngw;wJ.
,t; mjptpNrl tu;j;jkhdpia www.documents.gov.lk vDk; ,izaj;jsj;jpypUe;J gjptpwf;fk; nra;a KbAk;.</t>
  </si>
  <si>
    <t>12e5a75a-dd38-493f-9077-9fa81fa65499</t>
  </si>
  <si>
    <t>2473_15</t>
  </si>
  <si>
    <t>2473/15</t>
  </si>
  <si>
    <t>Provincial Councils Act, No. 42 of 1987 — Appointment under Section 32(1) (Gazette 2473/15)</t>
  </si>
  <si>
    <t>m1/raw/2473_15.pdf</t>
  </si>
  <si>
    <t>ශ්‍රී ලංකා ප්‍රා‍ජාතාන්ත්‍රික සමාජවාාදී ජනරජතේ� ගැසට් පත්‍රය
අංති විතේ�ෂ
අංංක 2473/15 - 2026 ජනවාාරි මස 28 වාැනි බදාාදාා - 2026.01.28
(රජතේ� බලයපිට ප්‍රා‍සිේධ කරන ලදී)
IV (ආ) වාැනි තේකාටස - පළාාත් පාලනය
පළාාත් පාලන ආයතන ඡන්දා විමසීම් ආඥාාපනත යටතේත් දාැන්වීම්
(262 අංධිකාරය) පළාාත් පාලන ආයතන ඡන්දා විමසීම් ආඥාාපනතේත් 66අං(1) (අං) වාගන්තිය යටතේත්
කුලියාපිටිය ප්‍රා‍ාතේ ේශීය සභාාතේේ සභික ධුරතේ� පුරප්පාඩුවාක් පිරවීම
ඉල්ලංා අස්වී් ම යේ�්තුයේකාාට යේ�න කුලියාපිටිය ප්‍රාායේේශීය ස්භාායේේ ස්භිකා ධුරයක් පුරප්පාාඩු වී ඇති යේ�යින් ෙ;
ඉ�ත කී ආඥාාපානයේ� 66අ (1) (අ) ව�න්තිය යටයේ� කුලියාපිටිය ප්‍රාායේේශීය ස්භාායේේ අංකා 21 කාළු�මුව යේකාාට්ඨාාස්යට යේ�රී
පා�වූ කුඹල් �මයලංායේ� මාලංනී ගුණතිලංකා අය� වන්නා වූ ජාතිකා ජන බලංයේේ�ය න� වන පිළි�� යේේශපාාලංන පාක්ෂයේ� යේල්කා�ට
දින ති� (30) කා කාාලං පාරිච්යේේෙය ඇතුළත පාළා� පාාලංන ආයතන ඡන්ෙ විමසී� ආඥාාපානයේ� (262 අධිකාාරය) 9 ව�න්තිය යටයේ�
නුසුදුස්්යේස්කු වී යේනාමැති අයේප්ක්ෂකායේයකු, ස්හිකායේයකු වශයේයන් යේතා්රා පා�කාර �නු ලංැබිය යුතුයැයි ප්‍රාකාාශ කාරනු ලංැබිය යුතු වූ ෙ, එම
පාක්ෂයට අය� වන්නා වූ ෙ, එම කුලියාපිටිය ප්‍රාායේේශීය ස්භාායේේ අංකා 21 කාළු�මුව යේකාාට්ඨාාස්යේ� ස්භිකායා පිළිබඳව තීරණය කිරීමට මා
විසින් නියම කාරනු ලංැබ ඇති යේ�යින් ෙ;
ඉ�ත කී පිළි�� යේේශපාාලංන පාක්ෂයේ� යේල්කා� විසින් ඒ පුරප්පාාඩුව පිරවීම ස්ඳ�ා අංයේ�ට්ටි යේ�ෙර සුධර්මා ජානකී ෙනපාාලං
න� කිරීයේ � ස්්වකීය තීරණය ෙන්වනු ලංැබ ඇති යේ�යින් ෙ;
කුලියාපිටිය ප්‍රාායේේශීය ස්භාායේේ යේ�රී�භාාර නිලංධාරි ර�නායකා මුදියන්යේස්්ලංායේ� �යේර්න්ද්‍ර බණ්ඩාාර ර�නායකා වන මම,
පාළා� පාාලංන ආයතන ඡන්ෙ විමසී� ආඥාාපානයේ� (262 අධිකාාරය) 66අ(1) (අ) ව�න්තිය ප්‍රාකාාරව ක්‍රියා කාරමින් අංයේ�ට්ටි යේ�ෙර
සුධර්මා ජානකී ෙනපාාලං කුලියාපිටිය ප්‍රාායේේශීය ස්භාායේේ අංකා 21 කාළු�මුව යේකාාට්ඨාාස්යේ� ස්භිකායා වශයේයන් යේතාර් ා පා�කාර �� බව
යේමයින් ප්‍රාකාාශ කාරමි.
ආර්. එම්. එච්. බී. රත්නායක,
යේ�රී�භාාර නිලංධාරි,
කුලියාපිටිය ප්‍රාායේේශීය ස්භාාව.
2026 ජනවාරි මස් 27 වැනි දින,
දිස්්ත්‍රික් මැතිවරණ කාාර්යාලංය,
කුරුණෑ�ලං.
EOG 01 - 0274
1A - PG 7498 — 08 (2026/01) ශ්‍රී ලංංකාා රජයේ� මුද්‍රණ යේෙපාාර්තයේ�න්තුයේේ මුද්‍රණය කාරන ලංදී.
fuu w;s úfYI .eiÜ m;%h www.documents.gov.lk fjí wvúfhka nd.; l&lt; yel'</t>
  </si>
  <si>
    <t>41729cde-7ec2-431f-bd0e-587606319067</t>
  </si>
  <si>
    <t>2473_16</t>
  </si>
  <si>
    <t>2473/16</t>
  </si>
  <si>
    <t>Public Security Ordinance (Chapter 40), Section 5 — Presidential proclamation/regulation (Gazette 2473/16)</t>
  </si>
  <si>
    <t>මහජන ආරක්ෂණ ආඥා පනත (40 වන අධිකාරිය) - ජනාධිපති විනියම</t>
  </si>
  <si>
    <t>பொதுமக்கள் பாதுகாப்புக் கட்டளைச் சட்டம் (40 ஆம் அத்தியாயம்) - ஜனாதிபதி ஒழுங்குவிதி</t>
  </si>
  <si>
    <t>Regulation made under Section 5 of the Public Security Ordinance (Chapter 40) by the President. Part I — General.</t>
  </si>
  <si>
    <t>Public Security Ordinance (Chapter 40)</t>
  </si>
  <si>
    <t>m1/raw/2473_16.pdf</t>
  </si>
  <si>
    <t>135497a3-7563-4cad-b50a-24f968c9f18f</t>
  </si>
  <si>
    <t>2473_17</t>
  </si>
  <si>
    <t>2473/17</t>
  </si>
  <si>
    <t>Civil Aviation Act No. 14 of 2010, Section 8 — Designation of Aerodromes (Gazette 2473/17)</t>
  </si>
  <si>
    <t>2010 අංක 14 දරන සිවිල් ගුවන් සේවා පනත, 8 වැනි වගන්තිය - ගුවන් තොටුපල නම් කිරීම</t>
  </si>
  <si>
    <t>2010 ஆம் ஆண்டின் 14 ஆம் இலக்க சிவில் விமான சேவைகள் சட்டம், 8 ஆம் பிரிவின் கீழ் விமான நிலைய நியமனம்</t>
  </si>
  <si>
    <t>Notice issued by the Minister of Transport, Highways, Ports and Civil Aviation under Section 8 of the Civil Aviation Act No. 14 of 2010 designating Airports &amp; Aerodromes (referencing the Airport and Aviation Services (Sri Lanka) Limited - AASL). Schedule I lists civil aerodromes; Schedule II lists registered private aerodromes. Part I — General.</t>
  </si>
  <si>
    <t>Civil Aviation Act, No. 14 of 2010</t>
  </si>
  <si>
    <t>aviation</t>
  </si>
  <si>
    <t>m1/raw/2473_17.pdf</t>
  </si>
  <si>
    <t>ශ්‍රී ලංංකාා ප්‍රජාාතාාන්ත්‍රිකා සමාාජාවාාදී ජානරජායේ� ගැැසට් පත්‍රය
අති වියේ�ෂ
,yq;ifr; rdehaf Nrhryprf; FbauR th;j;jkhdg; gj;jphpif
mjp tpNr\khdJ
wxl 2473$17 - 2026 ckjdß ui 29 jeks n%yiam;skaod - 2026'01'29
2473/ 17 Mk; ,yf;fk; - 2026 Mk; Mz;L rdtup khjk; 29 Me; jpfjp tpahof;fpoik
(murhq;fj;jpd; mjpfhuj;Jld; gpuRupf;fg;gl;lJ)
gFjp I : njhFjp (I) - nghJ
murhq;f mwptpj;jy;fs;
22001100 ஆஆம்ம் ஆஆண்ண்டிடின்ன் 1144 ஆஆம்ம் இஇலலக்க்கக,, சிசிிிவிவிிில்ல் விவிிிமாமாாானனப்ப் பப��ாாக்க்குகுவிவிரரத்த்துதுச்ச் சிசிட்ட்டடம்ம்
88 ஆஆம்ம் ��ிிாாிிவிவிிின்ன் ககீீழாழாாானன ககட்ட்டடளைளைைை
2010 ஆம் ஆண்டின் 14 ஆம் இலக்க, சிிவிில் விிமாானப் ப�ாக்குவிரத்து சிட்டத்திின் 8 ஆம் �ிாிவிின் கீழ், இலங்ளைக சிிவிில் விிமாானப்
ப�ாக்குவிரத்து அதிிகார சிளை�க்கு விழாங்கப்�ட்டுள்ை அதிிகாரங்கைின் அடிப்�ளைடயிில், இலங்ளைக சிிவிில் விிமாானப் ப�ாக்குவிரத்து
அதிிகார சிளை�யிின் சிார்�ாக இலங்ளைக சிிவிில் விிமாானப் ப�ாக்குவிரத்து அதிிகார சிளை�யிின் �ணிிப்�ாைர் நாாயிகம் கெகப்டன்
திமாிந்தி ரம்புக்கெவில்ல ஆகியி நாான், அட்டவிளைணி l இல் குறிிப்�ிடப்�ட்டுள்ை சிட்டப்பூர்வி பசிளைவி விழாங்குநார், அட்டவிளைணி IV
இல் குறிிப்�ிடப்�ட்டுள்ை விிதிிமுளைறிகள் மாற்றும் நாி�ந்திளைனகளுக்கு உட்�ட்டு, அட்டவிளைணி IV இல் குறிிப்�ிடப்�ட்டுள்ை
விிதிிமுளைறிகள் மாற்றும் நாி�ந்திளைனகைின் கீழ் குறிிப்�ிடப்�ட்டுள்ைவிாறு, சிிவிில் விிமாானப் ப�ாக்குவிரத்து அதிிகார சிளை� மாற்றும்
விளைரயிறுக்கப்�ட்ட விிமாான நாிளைலயிம் மாற்றும் விிமாானப் ப�ாக்குவிரத்து பசிளைவிகள் (ஸ்ரீலங்கா) (தினியிார்) நாிறுவினத்திிற்கு
இளைடபயியிான ஒப்�ந்தித்ளைதி நாிளைறிபவிற்றும் திிகதிியிிலிருந்து நாளைடமுளைறிக்கு விரும் விளைகயிில், அட்டவிளைணி II மாற்றும் அட்டவிளைணி
III இல் குறிிப்�ிடப்�ட்டுள்ை கெசிாத்துக்களைை சிிவிில் விிமாானப் ப�ாக்குவிரத்து நாடவிடிக்ளைககளுக்கு கிளைடக்கச் கெசிய்யி பவிண்டும்
என்று இதின் மூலம் கட்டளைையிிடுகிபறின்.
அஅட்ட்டடவிவிளைளைணிணி II
விளைரயிறுக்கப்�ட்ட விிமாான நாிளைலயிம் மாற்றும் விிமாான பசிளைவிகள் (ஸ்ரீலங்கா) (தினியிார்) நாிறுவின (AASL)
அஅட்ட்டடவிவிளைளைணிணி IIII
விிமாான நாிளைலயிங்கள்
* கட்டுநாாயிக்க �ண்டாரநாாயிக்க சிர்விபதிசி விிமாான நாிளைலயிம்
* ரத்மாலாளைன சிர்விபதிசி விிமாான நாிளைலயிம்
* மாட்டக்கைப்பு சிர்விபதிசி விிமாான நாிளைலயிம்
* யிாழ்ப்�ாணிம் சிர்விபதிசி விிமாான நாிளைலயிம்
1A - G 46194 — 04 (2026/01)
,t; mjptpNrl tu;j;jkhdpia www.documents.gov.lk vDk; ,izaj;jsj;jpypUe;J gjptpwf;fk; nra;a KbAk;.
2A I fldgi ( ^I&amp; fPoh - YS% ,xld m%cd;dka;s%l iudcjd§ ckrcfha w;s úfYI .eiÜ m;%h - 2026'01'29
gFjp I : njhFjp (I) - ,yq;ifr; rdehaf Nrhryprf; FbauR tu;j;jkhdg; gj;;jpupif - mjp tpNr\khdJ - 2026.01.29
அஅட்ட்டடவிவிளைளைணிணி IIIIII
விானூர்திி விசிதிிகள் மாற்றும் அதினுடன் கெதிாடர்பு�ட்ட நாிலம்
1. ரத்மாலாளைன, கந்திவில வீதிியிில் உள்ை சிிவிில் விிமாானப் �யிிற்சிி நாிளைலயிம், அதிில் உள்ை கட்டிடங்கள் மாற்றும்
கட்டளைமாப்புகள் மாற்றும் அதினுடன் கெதிாடர்புளைடயி நாிலம்.
2. ரத்மாலாளைன, அத்திியிடியிவிில் உள்ை விானூர்திி கெதிாடர்�ாடல் �ாிமாாற்றி நாிளைலயிம், அதிில் உள்ை கட்டிடங்கள் மாற்றும்
கட்டளைமாப்புகள் மாற்றும் அதினுடன் கெதிாடர்புளைடயி நாிலம்.
3. கம்�ஹாாவிில் மாாதிம்�ல்லவிில் அளைமாந்துள்ை �ண்டாரநாாயிக்க சிர்விபதிசி விிமாான நாிளைலயித்திிற்கான விாகெனாலி விழாி
கெசிலுத்தில் உதிவிி, அதிில் உள்ை கட்டிடங்கள் மாற்றும் கட்டளைமாப்புகள் மாற்றும் அதினுடன் கெதிாடர்புளைடயி நாிலம்.
4. கம்�ஹாாவிில் உள்ை கபுங்கெகாட, �முனுகமாவிில் அளைமாந்துள்ை �ண்டாரநாாயிக்க சிர்விபதிசி விிமாான நாிளைலயித்திின்
ஓடு�ாளைதிக்கான விாகெனாலி விழாிகெசிலுத்தில் உதிவிி, அதிில் உள்ை கட்டிடங்கள் மாற்றும் கட்டளைமாப்புகள் மாற்றும்
அதினுடன் கெதிாடர்புளைடயி நாிலம்.
5. �ிதுருதிலாகல மாளைலயிில் அளைமாந்துள்ை ராடார் நாிளைலயிம், அதிில் உள்ை கட்டிடங்கள் மாற்றும் கட்டளைமாப்புகள் மாற்றும்
அதினுடன் கெதிாடர்புளைடயி நாிலம்.
6. நுவிகெரலியிா மாாவிட்டத்திில் உள்ை �ிதுருதிலாகளைலயிில் விிமாானப் �ணிியிாைர்களுக்கான விிடுமுளைறி �ங்கைாக்கள்
நாிர்மாாணிிக்கப்�ட்டுள்ை நாிலம், அதிில் உள்ை அல்லது அதினுடன் கெதிாடர்புளைடயி ஏபதினும் கட்டளைமாப்புகள் உட்�ட.
அஅட்ட்டடவிவிளைளைணிணி IIVV
விவிிிதிதிிிமுமுளைளைறிறிககள்ள் மாமாற்ற்றுறும்ம் நாநாிி��ந்ந்திதிளைளைனனககள்ள் ::
1. இந்தி விர்த்திமாானி அறிிவிிப்பு கெவிிியிிடப்�ட்ட உடபனபயி, அட்டவிளைணி II மாற்றும் III இல் குறிிப்�ிடப்�ட்டுள்ை
ஒவ்கெவிாரு கெசிாத்துக்கும் விளைரயிறுக்கப்�ட்ட விிமாான நாிளைலயிம் மாற்றும் விிமாான பசிளைவிகள் (ஸ்ரீலங்கா) (தினியிார்)
நாிறுவினம் (AASL) சிிவிில் விிமாானப் ப�ாக்குவிரத்து �ணிிப்�ாைர் நாாயிகத்துடன் ஒரு ஒப்�ந்தித்ளைதி கெசிய்து கெகாள்ளும்.
2. இந்தி கட்டளைைளையி நாளைடமுளைறிப்�டுத்துவிதிற்கான கெசில்லு�டியிாகும் திிகதிி, பமாபல குறிிப்�ிடப்�ட்ட ஒப்�ந்திம்
முளைறியிாக ளைககெயிாப்�மாிடப்�ட்ட திிகதிியிாக இருக்கும்.
3. விளைரயிறுக்கப்�ட்ட விிமாான நாிளைலயிம் மாற்றும் விிமாான பசிளைவிகள் (ஸ்ரீலங்கா) (தினியிார்) நாிறுவின (AASL) கெகிரவி
சிிவிில் விிமாானப் ப�ாக்குவிரத்து அளைமாச்சிரால் விிதிிக்கப்�ட்ட �ின்விரும் ஒழுங்குமுளைறிகளுக்கு இணிங்க பவிண்டும்.
I. 2422/ 38 ஆம் இலக்க மாற்றும் 2025/02/06 ஆந் திிகதிியி அதிிவிி பசிட விர்த்திமாானியிில் கெவிிியிிடப்�ட்ட
ஒழுங்குமுளைறி இல. 1
II. 2422/ 39 ஆம் இலக்க மாற்றும் 2025/02/06 ஆந் திிகதிியி அதிிவிி பசிட விர்த்திமாானியிில் கெவிிியிிடப்�ட்ட
ஒழுங்குமுளைறி இல. 2
4. விளைரயிறுக்கப்�ட்ட விிமாான நாிளைலயிம் மாற்றும் விிமாான பசிளைவிகள் (ஸ்ரீலங்கா) (தினியிார்) நாிறுவின (AASL) இந்தி
கட்டளைையிில் குறிிப்�ிடப்�ட்டுள்ை விிதிிமுளைறிகள் மாற்றும் நாி�ந்திளைனகளுக்கு இணிங்க பவிண்டும் என்�துடன்,
அத்திளைகயி அளைசியிா கெசிாத்து அல்லது விிமாான நாிளைலயிங்களைை சிிறிந்தி நாிளைலயிில் ளைவித்துப் ப�ணி பவிண்டும்.
5. எந்திகெவிாரு அளைசியிா கெசிாத்து அல்லது விிமாான நாிளைலயிங்களும் கிளைடக்கப்கெ�றிச் கெசிய்விதிானது, அத்திளைகயி
கெசிாத்து அல்லது விிமாான நாிளைலயித்திில் எந்தி மாாற்றித்ளைதியும் ஏற்�டுத்துவிபதிா அல்லது அத்திளைகயி கெசிாத்திில்
எந்திகெவிாரு புதிியி நாிர்மாாணிிப்புகளைையும் அளைமாப்�பதிா, அல்லது அத்திளைகயி எந்திகெவிாரு கெசிாத்து அல்லது விிமாான
நாிளைலயித்ளைதியும் எவிருக்கும் குத்திளைகக்கு விழாங்குவிபதிா அதிிகாரசிளை�யிின் முன் எழுத்துமூல அங்கீகாரம் இல்லாமால்
�யின்விலுப்கெ�றிாது.
கெகப்டன் திமாிந்தி ரம்புக்கெவில்ல,
சிிவிில் விிமாானப் ப�ாக்குவிரத்து,
�ணிிப்�ாைர் நாாயிகம் மாற்றும்
�ிரதிமா நாிளைறிபவிற்று அதிிகாாி.
இல. 152/1, மாினுவிாங்கெகாளைட வீதிி,
கட்டுநாாயிக்க.
2026, சினவிாி 07.
EOG 01 - 0279
,yq;if murhq;f mr;Rj; jpizf;fsj;jpw; gjpg;gpf;fg;ngw;wJ.</t>
  </si>
  <si>
    <t>5d78bca0-16eb-4ecd-8b0a-18e26c7ec842</t>
  </si>
  <si>
    <t>2473_18</t>
  </si>
  <si>
    <t>2473/18</t>
  </si>
  <si>
    <t>Land Acquisition Act (Chapter 460), Section 7 — Notice of Intended Acquisition (Gazette 2473/18)</t>
  </si>
  <si>
    <t>Notice under Section 7 of the Land Acquisition Act (Chapter 460) declaring intended acquisition of identified land parcels for a public purpose (e.g. highway, irrigation, public infrastructure). Part III — Lands.</t>
  </si>
  <si>
    <t>m1/raw/2473_18.pdf</t>
  </si>
  <si>
    <t>a4ff24a5-3193-495e-b948-a1023534220c</t>
  </si>
  <si>
    <t>2473_19</t>
  </si>
  <si>
    <t>2473/19</t>
  </si>
  <si>
    <t>Air Force Act, No. 41 of 1949 — Foreign Service Medal / award (Gazette 2473/19)</t>
  </si>
  <si>
    <t>1949 අංක 41 දරන ගුවන් හමුදා පනත - විදේශ සේවා පදක්කම් ප්‍රදානය</t>
  </si>
  <si>
    <t>1949 ஆம் ஆண்டின் 41 ஆம் இலக்க வான்படை சட்டம் - வெளிநாட்டு சேவை பதக்கம்</t>
  </si>
  <si>
    <t>Award of medals (foreign service / commemorative) to Sri Lanka Air Force personnel under the Air Force Act, No. 41 of 1949. Part I — General; signed under presidential authority.</t>
  </si>
  <si>
    <t>Air Force Act, No. 41 of 1949</t>
  </si>
  <si>
    <t>defence</t>
  </si>
  <si>
    <t>m1/raw/2473_19.pdf</t>
  </si>
  <si>
    <t>416619ad-374c-4e1f-93a9-2c100a519ac8</t>
  </si>
  <si>
    <t>2473_21</t>
  </si>
  <si>
    <t>2473/21</t>
  </si>
  <si>
    <t>Land Acquisition Act — Land Acquisition Notices (Gazette 2473/21)</t>
  </si>
  <si>
    <t>ඉඩම් අත්පත් කරගැනීමේ පනත - ඉඩම් අත්පත් කරගැනීමේ දැන්වීම්</t>
  </si>
  <si>
    <t>காணி எடுத்தற் சட்டம் - காணி கொள்வனவு அறிவித்தல்கள்</t>
  </si>
  <si>
    <t>English-language land acquisition notices under the Land Acquisition Act. Part III — Lands. Dated 29 January 2026.</t>
  </si>
  <si>
    <t>m1/raw/2473_21.pdf</t>
  </si>
  <si>
    <t>ශ්‍රී ලංකා ප්‍රජාාාා්ත්‍රික සමාජාවාදී ජානරජායේ ගැසට් පත්‍රය
අති විශෙෂ
The Gazette of the Democratic Socialist Republic of Sri Lanka
EXTRAORDINARY
අංක 2473/21 - 2026 ජනවාරි මස 29 වැනි බ්‍රහසසතප ති්දා ා - 2026.01.29
No. 2473/21 – THURSDAY, JANUARY 29, 2026 - 29.01.2026
(Published by Authority)
PART III — LANDS
Land Acquisition Notices
THE LAND ACQUISITION ACT (CHAPTER 460) 02. Lot No. 374
Name of the Land: —; Description: Road; Claimant:
Notice under Section 7 Unknown; Original Claimant:—; Extent: 0.0792 Hectare.
My Ref. No.: DIVMW/LAD/CEPLA/6/1/11. 03. Lot No. 376
Ministry of Tourism and Land Reference No.: 4-3/7/2018/ Name of the Land: —; Description: Road; Claimant:
HW/434. Government; Original Claimant:—; Extent: 0.0074
Hectare.
I hereby give notice, under Sub-section (1) of Section 7 of
the Land Acquisition Act, as amended by the Land 04. Lot No. 377
Acquisition (Amendment) Act No. 28 of 1964, that the Name of the Land: —; Description: Garden; Claimant:
Government intends to acquire the following lands/ Government; Original Claimant: Sinhalage
servitudes which are required for a public purpose: Abeygunawardana (Encroacher); Extent: 0.0010 Hectare.
Description of the Lands or Servitudes to be acquired: 05. Lot No. 379
Name of the Land: Kiriwalgodaidama or
Undermentioned land shown in Supplement No. 7, Kiriwalgodahena; Description: Garden; Claimant:
Sheet No. 6 in the Surveyor General’s Plan of F. V. P. Sinhalage Abeygunawardana; Original Claimant: —;
1526, situated in the Village of Kahapathwala in the Extent: 0.0025 Hectare.
Grama Niladhari Division No. 654, Kahapathwala in
Mawathagama Divisional Secretary’s Division in 06. Lot No. 380
Kurunegala District of North Western Province. Name of the Land: Radakumbure or
Kiwulkumburapillawa; Description: Garden; Claimant:
01. Lot No. 373 Richerd Perera; Original Claimant: —; Extent: 0.0019
Name of the Land: Kiriwalgodahena; Description: In Hectare.
Gravel; Claimant: Unknown; Original Claimant: —;
Extent: 0.1145 Hectare.
1A - G 046193 - 33 (01/2026)
This Gazette Extraordinary can be downloaded from www.documents.gov.lk
2 A III ශකොටස - ශ්‍රී කංකා ‍රජාාා්ද්‍රික සමාජවා ජ ජනයජශඅ අති විශෙෂ සැස ප ත‍රය - 2026.01.29
Part III – GAZETTE EXTRAORDINARY OF THE DEMOCRATIC SOCIALIST REPUBLIC OF SRI LANKA – 29.01.2026
07. Lot No. 381 19. Lot No. 394
Name of the Land: —; Description:Canal; Claimant: Name of the Land: Welyaya or Dambikumbura or
Unknown; Original Claimant:—; Extent: 0.0009 Hectare. Kewulkumbura; Description: Paddy Field; Claimant:
Government; Original Claimant: —; Extent: 0.0003
08. Lot No. 382 Hectare.
Name of the Land: Kahapathwalagewatta or
Wadugewatta or Wadugewattehena; Description:Garden;
Claimant: Weerakoon Mudiyanselage Karunarathna; 20. Lot No. 396
Original Claimant: —; Extent: 0.0109 Hectare. Name of the Land: Welyaya or Dambikumbura or
Kewulkumburepillawa; Description: Paddy Field;
09. Lot No. 383 Claimant: Sri Dalada Maligawa; Original Claimant: —;
Name of the Land: Kahapathwalagewatta or Extent: 0.0016 Hectare.
Wadugewatta or Wadugewattehena; Description:Garden;
Claimant: Weerakoon Mudiyanselage Karunarathna;
Original Claimant: —; Extent: 0.0016 Hectare. 21. Lot No. 397
Name of the Land: —; Description: Canal; Claimant:
10. Lot No. 384 Unknown; Original Claimant: —; Extent: 0.0102 Hectare.
Name of the Land: Kahapathwalagewatta or
Wadugewatta or Wadugewattehena; Description: Garden;
Claimant: Weerakoon Mudiyanselage Jayathissa; Original 22. Lot No. 398
Claimant: —; Extent: 0.0019 Hectare. Name of the Land: —; Description: Road (Road
Development Authority); Claimant: Unknown; Original
11. Lot No. 385 Claimant: —; Extent: 0.0196 Hectare.
Name of the Land: —; Description: Road (Road
Development Authority); Claimant: Unknown; Original
Claimant: —; Extent: 0.0044 Hectare. 23. Lot No. 399
Name of the Land: —; Description: Road (Road
12. Lot No. 387 Development Authority); Claimant: Government;
Name of the Land: —; Description: Road (Road Original Claimant: —; Extent: 0.0458 Hectare.
Development Authority); Claimant: Government;
Original Claimant: —; Extent: 0.0373 Hectare.
24. Lot No. 401
13. Lot No. 388 Name of the Land: —; Description: Road (Road
Name of the Land: —; Description: Road (Road Development Authority); Claimant: Unknown; Original
Development Authority); Claimant: Unknown; Original Claimant: —; Extent: 0.0183 Hectare.
Claimant: —; Extent: 0.0161 Hectare.
14. Lot No. 389 25. Lot No. 402
Name of the Land: —; Description: Canal; Claimant: Name of the Land: Welyaya or Dambikumbura or
Unknown; Original Claimant: —; Extent: 0.0039 Hectare. Radakumbura; Description: Paddy Field;Claimant:
Dunusinha Mudiyanselage Aruna Shantha Bandara;
15. Lot No. 390 Original Claimant: —; Extent: 0.0027 Hectare.
Name of the Land: Welyaya or Dambikumbura or
Widanapothuwela; Description: Paddy Field; Claimant:
Sri Dalada Maligawa; Original Claimant: —; Extent: 26. Lot No. 403
0.0029 Hectare. Name of the Land: Welyaya or Dambikumbura or
Radakumbura; Description: Paddy Field; Claimant:
16. Lot No. 391 Madiwaththage Nimal Padmasiri Samarasinha; Original
Name of the Land: Welyaya or Dambikumbura or
Claimant: —; Extent: 0.0018 Hectare.
Widanapothuwela; Description: Paddy Field; Claimant:
Sri Dalada Maligawa; Original Claimant: —; Extent:
0.0026 Hectare. 27. Lot No. 404
Name of the Land: Radakumburepillawa; Description:
17. Lot No. 392
Garden; Claimant: Herath Mudiyanselage Jayantha
Name of the Land: —; Description: Canal; Claimant:
Bandara; Original Claimant: —; Extent: 0.0027 Hectare.
Unknown; Original Claimant: —; Extent: 0.0052 Hectare.
18. Lot No. 393 28. Lot No. 405
Name of the Land: Welyaya or Dambikumbura or Name of the Land: Kiriwalgodahena; Description:
Widanapothuwela; Description: Paddy Field; Claimant: Garden; Claimant: Unknown; Original Claimant: —;
Sri Dalada Maligawa; Original Claimant: —; Extent: Extent: 0.0029 Hectare.
0.0022 Hectare.
III ශකොටස - ශ්‍රී කංකා ‍රජාාා්ද්‍රික සමාජවා ජ ජනයජශඅ අති විශෙෂ සැස ප ත‍රය - 2026.01.29 3A
Part III – GAZETTE EXTRAORDINARY OF THE DEMOCRATIC SOCIALIST REPUBLIC OF SRI LANKA – 29.01.2026
All persons interested in the aforesaid land/lands on D.P.S. Kumara,
which a servitude is to be acquired are hereby required to Divisional Secretary,
appear personally, or by agents duly authorized in writing, Mawathagama.
before me at Divisional Secretariat, Mawathagama on the
16.03.2026 at 10.30 a. m. and are hereby requested to
notify to me in writing (in duplicate) on or before the Divisional Secretariat,
23.02.2026 the nature of their interests in the land, the Mawathagama,
particulars of their claims for Acquisition of the said 19th January, 2026.
land/servitude the amount of compensation the details of
the computation of such amount. EOG 01 - 0277
PRINTED AT THE DEPARTMENT OF GOVERNMENT PRINTING, SRI LANKA.</t>
  </si>
  <si>
    <t>ad849dfd-703b-4824-b501-1150b5d36666</t>
  </si>
  <si>
    <t>2473_22</t>
  </si>
  <si>
    <t>2473/22</t>
  </si>
  <si>
    <t>Land Acquisition Act (Chapter 460), Section 5 — Notice of Intended Acquisition (Gazette 2473/22)</t>
  </si>
  <si>
    <t>m1/raw/2473_22.pdf</t>
  </si>
  <si>
    <t>III කො�ොටස - ශ්‍රී ලංං�ා ප්‍රජාාතාාන්ත්‍රි� සමාාජාවාාදී ජානරජාකො� අති විකො�ෂ ගැැසට් පත්‍රය - 2025.08.01 1A
பகுதி III - இலங்கைச் சனநாயகை சசாசலிசக் குடியரசு வர்ததமானப் ப்ததிாி்கை - அதி விசசஷமானது - 2025.08.01
ශ්‍රීශ්‍රී ලංලංංංකාකාාා ප්‍රප්‍රජාජාාාතාතාාාන්න්ත්‍රිත්‍රිකාකා සසමාමාාාජාජාවාවාාාදීදී ජාජානනරරජාජායේයේ�� ගැගැැැසසට්ට් පපත්‍රත්‍රයය
இஇலலஙங்்கைகைச்ச் சசனனநநாாயயகைகை சசசசாாசசலிலிசசக்க் குகுடிடியயரரசுசு வவரர்த்த்த்தமமாானனப்ப் பப்த்த்த்ததிதிாாதிதி்்கைகை
අඅතිති විවියේයේ��ෂෂ அஅ்த்ததிதி வவதிதிசசசசஷஷமமாானனதுது
අංඅංංංකක 22447733//2222 -- 22002266 ජජනනවාවාාාරිරි මමසස 2299 වාවාැැනිනි බ්‍රබ්‍රහහසස්ප්පතිතින්න්දාදාාා -- 22002266..0011..2299
2473/22 ஆம் இலக்கைம் - 2026 ஆம் ஆண்டு சனவாதி மா்தம் 29 ஆந் ்ததிகை்ததி வதியாழக்கைதிழ்ம
(அரசாஙகை்த்ததின் அ்ததிகைார்ததுடன் பதிரசுாதிக்கைப்படடது)
பபகுகு்த்ததிதி IIIIII -- கைகைாாணணதிதிகைகைள்ள்
கைகைாாணணதிதி கககைகைாாள்ள்வவனனவுவு பபறற்்திதியய அஅ்்திதிவவதிதி்த்த்த்தலலகைகைள்ள்
கைகைாாணணதிதி எஎடுடு்த்த்த்தறற சசடடடடம்ம் ((அஅ்த்த்த்ததிதியயாாயயம்ம் 446600)) 0011.. துதுண்ண்டுடு ‘‘‘‘AA’’’’ –– இஇஙஙகுகுருருவவ்த்தசச்த்தகுகும்ம்புபுரர –– வவதிதிஸஸ்த்தீீரரணணம்ம்::
00..00008822 ககெெக்க்டடயயாாரர
5 ஆம் பதிாதிவதின் படியான பதிரகைடனம் வடக்கு: கைாலவாய ; கைதிழக்கு: எம். டீ. சசாமாவ்தீ மறறும் ஏ்னசயார
உாதி்மசகைாரும் இஙகுருவ்தச்தகும்புர மறறும் கைாலவாய ;
கைீழக்கைாணும் கைாணதி ஒரு பகைதிரஙகை்த ச்த்வக்கு சவண்டிய்தாய க்தறகு : கைாலவாய ; சமறகு: கைாலவாய.
இருக்கைதின்்க்தன்றும் கைாணதி எடு்த்தற சடட்த்ததின்
ஏறபாடுகைளதின் பதிரகைாரம் அது எடு்ததுக்ககைாள்ளப்படுகமன்றும்
சகை. டி. லால கைாந்்த,
கைாணதி எடு்த்தற சடட்த்ததின் 5 ஆம் பதிாதிவதின் (1) ஆம் உபபதிாதிவதின்
கைம்தக்தாழதில, கைாலந்ட வளஙகைள்,
பதிரகைாரம் கைம்தக்தாழதில, கைாலந்ட வளஙகைள், கைாணதி மறறும்
கைாணதி மறறும் நீரப்பாசன அ்மச்சர.
நீரப்பாசன அ்மச்சர குரகைமசகை க்தான் லால கைாந்்த ஆகைதிய
நான், இ்த்தால பதிரகைடனம் கசயகைதின்ச்ன்.
எனது இல. : 4-3/6/2019/HW/217.
சப்பதிரகைமுவ மாகைாண்த்ததில, சகைகைா்ல மாவடட்த்ததில, கைம்தக்தாழதில, கைாலந்ட வளஙகைள், கைாணதி மறறும்
ரம்புக்கை்ன பதிரச்தச கசயலாளர பதிாதிவதில, இல. 03B, பரப்சப நீரப்பாசன அ்மச்சு,
வடக்கு கைதிராம அலுவலர பதிாதிவதில, அ்மந்துள்ள பரப்சப “மதிெதிகை்த கமதுர”, கைாணதிச் கசயலகைம்,
கைதிராம்த்ததில அ்மந்துள்ள நதில அள்வயாளர நாயகை்த்ததினால
1200/6, இரஜமலவ்த்்த வீ்ததி,
்தயாாதிக்கைப்படட ஆரம்ப வ்ரபட இல. KE/RMB/2024/75
ப்த்தரமுல்ல,
மறறும் 2024.11.27 ஆந் ்ததிகை்ததியதில வதிபாதிக்கைப்படடுள்ள
2025, ்ததிகசம்பர 19.
துண்டு A இல கு்திப்பதிடப்படடுள்ள 0.0082 கெக்டயார
வதிஸ்தீரணமு்டய கைாணதியதின் கபயரகைள் மறறும்
வ்ரபட்த்ததில எல்லகைள் பதின்வருமாறு: EOG 01 - 0283
1A - G46197 - 13 (2026/01) இலங்கை அரசாஙகை அச்சு்த ்ததி்ணக்கைள்த்ததில அச்சதிடப்படடது.
இவ் அ்ததிவதிச ஷட வர்த்தமானதி்ய www.documents.gov.lk எனும் இ்ணய்த்தள்த்ததிலிருந்து ப்ததிவதி்க்கைம் கசயய முடியும்.</t>
  </si>
  <si>
    <t>2d1fd7ba-911c-493d-9c65-73238248bb37</t>
  </si>
  <si>
    <t>2473_23</t>
  </si>
  <si>
    <t>2473/23</t>
  </si>
  <si>
    <t>Sri Lanka Industrial Park Authority — Notice (Gazette 2473/23)</t>
  </si>
  <si>
    <t>ශ්‍රී ලංකා කර්මාන්තපුර අධිකාරිය - දැන්වීම</t>
  </si>
  <si>
    <t>இலங்கை சனநாயக சோசலிசக் குடியரசு அரசியலமைப்பு - 136 ஆம் பத்தியின் கீழ் பிரகடனம்</t>
  </si>
  <si>
    <t>Notification under Section 136 of the Constitution of the Democratic Socialist Republic of Sri Lanka concerning industrial-park related government powers. Signed by Prime Minister. Part I — General. Reference EOG 01-0019.</t>
  </si>
  <si>
    <t>m1/raw/2473_23.pdf</t>
  </si>
  <si>
    <t>ශ්‍රී ලංංකාා ප්‍රජාාතාාන්ත්‍රිකා සමාාජාවාාදී ජානරජායේ� ගැැසට් පත්‍රය
අති වියේ�ෂ
,yq;ifr; rdehaf Nrhryprf; FbauR th;j;jkhdg; gj;jphpif
mjp tpNr\khdJ
wxl 2473$23 - 2026 ckjdß ui 29 jeks n%yiamkskaod - 2026'01'29
2473/ 23 Mk; ,yf;fk; - 2026 Mk; Mz;L rdtup khjk; 29 Me; jpfjp tpahof;fpoik
(murhq;fj;jpd; mjpfhuj;Jld; gpuRupf;fg;gl;lJ)
gFjp I : njhFjp (I) - nghJ
murhq;f mwptpj;jy;fs;
சச..வவ..பீபீ 11//22002266
இஇலலங்ங்கைகைைைச்ச் சசனனநாநாாாயயைை சசசசாாசசலிலிசசக்க் குகுடிடியயரரசசிின்ன் அஅரரசசிியயலலகைகைைைப்ப்புபு
உஉயயர்ர்நாநாீீதிதிிிைைன்ன்றற வவிிதிதிிிைைள்ள்
இலங்கைைச் சனநாாயை சசாசலிசக் குடியரசின் அரசியலகைைப்பிின் 136 ஆம் உறுப்புகைரயின் ைீழ் பிிரதிை நாீதிியரசர் ைற்றும்
அவ்வுறுப்புகைரயின்ைீழ் அவரால் பெபியர்குறித்து நாியைிக்ைப்பிட்ட ஏகைனய உயர்நாீதிிைன்ற நாீதிிபிதிிைளிினால் ஆக்ைப்பிட்ட விதிிைள்.
பிி. பித்ைன் சூரசசன, அச்சல பெவங்ைபுலி,
பிிரதிை நாீதிியரசர். உயர்நாீதிிைன்றத்திின் நாீதிிபிதிி.
ைஹிிந்தி சையவர்தின, அர்ஜுுன ஒசபிசசைர,
உயர்நாீதிிைன்றத்திின் நாீதிிபிதிி. உயர்நாீதிிைன்றத்திின் நாீதிிபிதிி.
பெைாழும்பு.
வவிிதிதிிிைைள்ள்
1. இவ்விதிிைள் 2026 ஆம் ஆண்டின் உயர்நாீதிிைன்ற (இலத்திிரனியல் வழக்கு சைாப்பிிடுதில் ைற்றும் இலத்திிரனியல் நாீதிிைன்ற
சசகைவைள்) விதிிைள் என எடுத்துக்ைாட்டப்பிடலாம்.
2. (இதினைத்துப்பிின்னர் ''இ-வழக்கு சைாப்பிிடல் முகைறகைை" எனக் குறிப்பீடு பெசய்யப்பிடும்) இலத்திிரனியல் வழக்கு
சைாப்பிிடல் முகைறகைை, (இதினைத்துப்பிின்னர் ''இ-வழக்குப் பிதிிசவடுைள்" எனக் குறிப்பீடு பெசய்யப்பிடும்) இலத்திிரனியல்
வழக்குப் பிதிிசவடுைள் ைற்றும் ைாலத்துக்குக் ைாலம் ைிகைடக்ைப்பெபிறக்கூடியனவான சவறு ஏசதினும் இ-நாீதிிைன்றச் சசகைவ
1A - G 46199 - 04 (2026/01)
,t; mjptpNrl tu;j;jkhdpia www.documents.gov.lk vDk; ,izaj;jsj;jpypUe;J gjptpwf;fk; nra;a KbAk;.
2A I fldgi ( ^I&amp; fPoh - YS% ,xld m%cd;dka;s%l iudcjd§ ckrcfha w;s úfYI .eiÜ m;%h - 2026'01'29
gFjp I : njhFjp (I) - ,yq;ifr; rdehaf Nrhryprf; FbauR tu;j;jkhdg; gj;;jpupif - mjp tpNr\khdJ - 2026.01.29
அல்லது வசதிி என்பிவற்றின் அணுக்ைம் உள்ளிடங்ைலாை (இதினைத்துப் பிின்னர் “இ-நாீதிிைன்றச் சசகைவைள்” எனக் குறிப்பீடு
பெசய்யப்பிடும்) இலத்திிரனியல் நாீதிிைனறச் சசகைவைகைளிப் பெபிற்றுக்பெைாள்வதிற்கு உட்ைருதுைின்ற பிதிிவு பெசய்யப்பிட்ட
சட்டத்திரணிி ஒவ்பெவாருவரும் பிிரதிை நாீதிியரசாின் அங்ைீைாரத்துடன் உயர்நாீதிிைன்றத்திின் பிதிிவாளிாினால் ைாலத்துக்குக்
ைாலம் இ-நாீதிிைன்றச் சசகைவயினூடாை குறித்துகைரக்ைப்பிடக்கூடியதிான ஆண்டிறுதிி ஒப்பிப்பிணிக் ைட்டணிபெைான்கைறச்
பெசலுத்துதில் சவண்டும்.
3. ஒப்பிப்பிணிக் ைட்டணிபெைான்றின் பெைாடுப்பினவின் சைல், பிதிிவு பெசய்யப்பிட்ட சட்டத்திரணிி ஒவ்பெவாருவருக்கும்
பிின்வருவனவற்றுக்ைான அணுக்ைத்திிகைன வழங்குைின்ற தினித்துவைான உள்நுகைழவு விபிரங்ைள் வழங்ைப்பிடுதில்
சவண்டும் -
(அ) இ - வழக்கு சைாப்பிிடல் முகைறகைை ;
(ஆ) இ-வழக்குப் பிதிிசவடுைள் ; அத்துடன்
(இ) ைாலத்துக்குக் ைாலம் ைிகைடக்ைப்பெபிறக்கூடியதிான சவறு ஏசதினும் இ-நாீதிிைன்றச் சசகைவ அல்லது வசதிி.
4. வருடாந்தி ஒப்பிப்பிணிக் ைட்டணித்கைதிச் பெசலுத்துவதிற்ைான திவறுகைையானது அத்திகைைய ைட்டணிம் முகைறயாை
பெசலுத்திப்பிடும் வகைர, விதிி 3 இல் குறிப்பீடு பெசய்யப்பிட்ட சசகைவைளுக்ைான அணுக்ைத்திின் இகைடநாிறுத்துகைைகைய
விகைளிவித்தில் சவண்டும்.
5. விதிி 3 இன் ைீழ் வழங்ைப்பிட்ட உள்நுகைழவு விபிரங்ைள் சட்டத்திரணிிபெயாருவருக்கு தினிப்பிட்டதிாை ைாத்திிரம் இருத்தில்
சவண்டுபெைன்பிதுடன் சவறு எவசரனும் ஆளுக்கு பிைிரப்பிடுதில், பெவிிப்பிடுத்திப்பிடுதில் அல்லது கைையளிிக்ைப்பிடுதில்
ஆைாது.
6. உயர்நாீதிிைன்றத்திின் பிதிிவாளிர் பிிரதிை நாீதிியரசாின் அங்ைீைாரத்துடன் இவ்விதிிைளிின் பெசயற்றிறன்ைிக்ை நாகைடமுகைறப்
பிடுத்துகைைக்கு அவசியைாைவிருக்ைக்கூடியதிான பிணிிப்புைள், வழிைாட்டுபெநாறிைள் அல்லது பிடிவங்ைகைளி வழங்குதில்
சவண்டும்.
7. ஒவ்பெவாரு சட்டத்திரணிியும் விதிி 6 இன் ைீழ் வழங்ைப்பிட்ட பிணிிப்புைள் ைற்றும் வழிைாட்டுபெநாறிைளுடன் இணிங்ைிபெயாழுகுதில்
சவண்டும்.
8. ஒவ்பெவாரு வழக்குகைர, விண்ணிப்பிம், சைன்முகைறயீடு, நாைர்த்தில் பித்திிரம், பிட்டியல், சத்திியக்ைடதிாசி அல்லது ஏசதினும்
நாீிதிிைன்றத்திில் வழக்கு சைாப்பிிடப்பிடுவதிற்கு சதிகைவப்பிடும் சவறு ஆவணிம் பிிரதிை நாீதிியரசாின் அங்ைீைாரத்துடன் உயர்
நாீதிிைன்றத்திின் பிதிிவாளிாின் மூலம் ைாலத்துக்குக் ைாலம் இ - நாீதிிைன்றச் சசகைவயினூடாை குறித்துகைரக்ைப்பிடக்கூடியதிான
அத்திகைைய ைட்டணித்திின் பெைாடுப்பினவுக்ைகைைய இலத்திிரனியல் ாீதிியில் சைாப்பிிடப்பிடலாம்.
9. இவ்விதிிைளிின் ைீழ் பெசலுத்திப்பிடற்பிாலதிான எல்லாக் ைட்டணிங்ைளும் இ-நாீதிிைன்றச் சசகைவயில் ைிகைடக்ைக்கூடியதிான
நாிைழ்நாிகைலக் பெைாடுப்பினவு நுகைழவாயிலினூடாை பெசலுத்திப்பிடுதில் சவண்டும்.
10. இவ்விதிிைளிில் ''பிதிிவு பெசய்யப்பிட்ட சட்டத்திரணிி" என்பிது உயர்நாீதிிைன்றத்திின் நாிைழ்நாிகைல திரவுத் திளித்திில் பிதிிவு
பெசய்யப்பிட்ட சட்டத்திரணிிபெயாருவர் எனப் பெபிாருள்பிடும்.
EOG 01 - 0285
,yq;if murhq;f mr;Rj; jpizf;fsj;jpw; gjpg;gpf;fg;ngw;wJ.</t>
  </si>
  <si>
    <t>7c82a624-9116-41c8-ade0-a764aff8e94e</t>
  </si>
  <si>
    <t>2473_24</t>
  </si>
  <si>
    <t>2473/24</t>
  </si>
  <si>
    <t>Provincial Councils Act, No. 42 of 1987 — Appointment under Section 32(1) (Gazette 2473/24)</t>
  </si>
  <si>
    <t>m1/raw/2473_24.pdf</t>
  </si>
  <si>
    <t>Y%S ,xld m%cd;dka;%sl iudcjd§ ckrcfha .eiÜ m;%h
w;s úfYI
,yq;ifr; rdehaf Nrhryprf; FbauR th;j;jkhdg; gj;jphpif
mjp tpNr\khdJ
අංඅංංංකක 22447733//2244 -- 22002266 ජජනනවාවාාාරිරි මමසස 2299 වාවාැැනිනි ඛ්‍රඛ්‍රහහසස්ප්පතිතින්න්දාදාාා -- 22002266..0011..2299
2473/24 ஆம் இலக்கம் - 2026 ஆம் ஆண்டு சனவரிி மாரிதம் 29 ஆந் திகதி வியாரிழக்கிழமைமா
(murhq;fj;jpd; mjpfhuj;Jld; gpuRupf;fg;gl;lJ)
gFjp IV(M) - cs;~uhl;rp
உஉள்ள்ளூளூர்ர் அஅததிிககரிரிரர சசமைமைைைககள்ள் தேதேததர்ர்ததல்ல்ககள்ள் ககட்ட்டடமைமைைைச்ச் சசட்ட்டட அஅறிறிிிவவிித்த்ததல்ல்ககள்ள்
((226622 ஆஆம்ம் அஅத்த்ததிியாயாரிரியாயாம்ம்)) உஉள்ள்ளூளூர்ர் அஅததிிககரிரிரர சசமைமைைைககள்ள் தேதேததர்ர்ததல்ல்ககள்ள் ககட்ட்டடமைமைைைச்ச் சசட்ட்டடத்த்ததிின்ன் 6666அஅ((11))((அஅ)) எஎன்ன்னுனும்ம்
ைைிிரிரிிிவவிின்ன் ககீீழ்ழ் ரரஜ்ஜ்ககமாமா ைைிிரரதேதேததசச சசமைமைைை உஉறுறுப்ப்ைைிினனர்ர் ஒஒருருவவரிரிிின்ன் ைைததவவிியாயாிிலலரிரினன வவவவற்ற்றிறிிிடடத்த்மைமைதத நிநிிிரரப்ப்புபுததல்ல்
ரரஜ்ஜ்ககமாமா ைைிிரரதேதேததசச சசமைமைைை உஉறுறுப்ப்ைைிினனர்ர் ஒஒருருவவரிரிிின்ன் ைைததவவிி தேதேககட்ட்டுடு வவிிலலககிியாயாமைமைமாமா ககரிரிரரணணமாமாரிரிகக வவவவற்ற்றிறிிிடடமாமாரிரிககிியாயாிிருருக்க்ககிின்ன்றிறிததரிரிததலலரிரிலுலும்ம்;;
தேதேமாமாற்ற்குகுறிறிிித்த்தத ககட்ட்டடமைமைைைச்ச் சசட்ட்டடத்த்ததிின்ன் 6666அஅ((11))((அஅ)) ஆஆம்ம் ைைிிரிரிிிவவிின்ன் ககீீழ்ழ்,, ரரஜ்ஜ்ககமாமா ைைிிரரதேதேததசச சசமைமைைையாயாிின்ன் இஇலல.. 1100 -- மாமாரிரிவவடடவவிிலல
வவட்ட்டடரிரிரரத்த்ததிிற்ற்குகு வவததரிரிிிவுவு வவசசய்ய்யாயாப்ப்ைைட்ட்டட ததடடல்ல்லலவவககயாயாிி லலயாயானனல்ல் குகுமாமாரிரிரரசசிிரிரிிி எஎன்ன்ைைவவர்ர் அஅங்ங்ககம்ம் வவககிிக்க்ககிின்ன்றிறி தேதேததசசிியாயா மாமாக்க்ககள்ள் சசக்க்ததிி எஎன்ன்றிறி
அஅங்ங்ககீீககரிரிிிக்க்ககப்ப்ைைட்ட்டட அஅரரசசிியாயால்ல் ககட்ட்சசிியாயாிின்ன் வவசசயாயாலலரிரிைைர்ர் முமுப்ப்ைைதுது ((3300)) நிநிரிரிட்ட் ககரிரிலலக்க்வவககடுடுவுவுக்க்குகுள்ள் உஉள்ள்ளூளூர்ர் அஅததிிககரிரிரர சசமைமைைைககள்ள் தேதேததர்ர்ததல்ல்ககள்ள்
ககட்ட்டடமைமைைைச்ச் சசட்ட்டடத்த்ததிின்ன் ((226622 ஆஆம்ம் அஅத்த்ததிியாயாரிரியாயாம்ம்)) 99 ஆஆம்ம் ைைிிரிரிிிவவிின்ன் ககீீழ்ழ் ததமைமைககமைமைமாமாயுயுமைமைடடயாயா தேதேவவட்ட்ைைரிரிைைவவரரரிரிருருவவரரரிரிகக,, உஉறுறுப்ப்ைைிினனவவரரரிரிருருவவரரரிரிகக
தேதேததர்ர்ந்ந்வவததடுடுக்க்ககப்ப்ைைட்ட்டடவவவவரரனன வவவவைைிிப்ப்ைைடுடுத்த்ததப்ப்ைைடட தேதேவவண்ண்டிடியாயாவவருரும்ம் அஅக்க்ககட்ட்சசிிமைமையாயாச்ச் தேதேசசர்ர்ந்ந்ததவவருருமாமாரிரினன ரரஜ்ஜ்ககமாமா ைைிிரரதேதேததசச சசமைமைைையாயாிின்ன்
இஇலல.. 1100 -- மாமாரிரிவவடடவவிிலல வவட்ட்டடரிரிரரத்த்ததிின்ன் உஉறுறுப்ப்ைைிினனர்ர் வவததரிரிடடர்ர்ைைரிரிகக ததீீர்ர்மாமாரிரினனிிக்க்குகுமாமாரிரிறுறு எஎன்ன்னனரிரில்ல் ைைணணிிக்க்ககப்ப்ைைட்ட்டுடுள்ள்ைைரிரிரரரிரிததலலரிரிலுலும்ம் ;;
தேதேமாமாதேதேலல கூகூறிறிப்ப்ைைட்ட்டட அஅங்ங்ககீீககரிரிிிக்க்ககப்ப்ைைட்ட்டட அஅரரசசிியாயால்ல் ககட்ட்சசிியாயாிின்ன் வவசசயாயாலலரிரிைைரிரிிினனரிரில்ல் அஅவ்வ்வவவவற்ற்றிறிிிடடத்த்மைமைதத நிநிிிரரப்ப்புபுவவததற்ற்ககரிரிகக
மாமாரிரினனவவடுடுதேதேகக சசிிறிறிிில்ல் ஜஜயாயானனந்ந்தத எஎன்ன்ைைவவமைமைரரப்ப் வவைையாயார்ர் குகுறிறிிித்த்துது நிநிிியாயாமாமாிிக்க்குகும்ம் ததமாமாதுது முமுடிடிவவிிமைமைனன அஅறிறிிிவவிித்த்துதுள்ள்ைைரிரிரரரிரிததலலரிரிலுலும்ம் ;;
ரரஜ்ஜ்ககமாமா ைைிிரரதேதேததசச சசமைமைைையாயாிின்ன் வவததரிரிிிவவத்த்ததரிரிட்ட்சசிி அஅலுலுவவலலரரரிரினன தேதேவவவவவவல்ல்வவலல தேதே��வவதேதேகக ரரவீவீந்ந்ரர வவிிஜஜயாயா குகுமாமாரிரிரர ஆஆககிியாயா நிநிரிரின்ன்,, உஉள்ள்ளூளூர்ர்
அஅததிிககரிரிரர சசமைமைைைககள்ள் தேதேததர்ர்ததல்ல்ககள்ள் ககட்ட்டடமைமைைைச்ச் சசட்ட்டடத்த்ததிின்ன் ((226622 ஆஆம்ம் அஅத்த்ததிியாயாரிரியாயாமாமாரிரினன)) 6666அஅ((11))((அஅ)) எஎன்ன்னுனும்ம் ைைிிரிரிிிவவிின்ன் நிநிிியாயாததிிககைைிின்ன்ைைடிடி
வவசசயாயாற்ற்ைைட்ட்டுடு மாமாரிரினனவவடுடுதேதேகக சசிிறிறிிில்ல் ஜஜயாயானனந்ந்தத எஎன்ன்ைைவவர்ர் ர ரஜ்ஜ்ககமாமா ைைிிரரதேதேததசச சசமைமைைையாயாிின்ன் இஇலல.. 1100 -- மாமாரிரிவவடடவவிிலல வவட்ட்டடரிரிரரத்த்ததிிற்ற்குகு உஉறுறுப்ப்ைைிினனர்ர்
ஒஒருருவவரரரிரிககத்த் தேதேததர்ர்ந்ந்வவததடுடுக்க்ககப்ப்ைைட்ட்டுடுள்ள்ைைததரிரிகக இஇத்த்ததரிரில்ல் வவவவைைிிப்ப்ைைடுடுத்த்துதுககிின்ன்தேதேறிறின்ன்..
டடப்ப்ைைிியூயூ.. எஎச்ச்.. ஆஆர்ர்.. வவிிஜஜயாயாகுகுமாமாரிரிரர,,
வவததரிரிிிவவத்த்ததரிரிட்ட்சசிி அஅலுலுவவலலர்ர் ,,
ரரஜ்ஜ்ககமாமா ைைிிரரதேதேததசச சசமைமைைை..
மாமாரிரிவவட்ட்டடத்த் தேதேததர்ர்ததல்ல்ககள்ள் அஅலுலுவவலலககம்ம்,,
ககரிரிலிலி,,
22002266,, சசனனவவரிரிிி 2299 ஆஆம்ம் ததிிககததிி..
EEOOGG 0011 -- 00228866
1A - PG 7502 — 08 (2026/01) ,yq;if murhq;f mr;Rj; jpizf;fsj;jpw; gjpg;gpf;fg;ngw;wJ.
,t; mjptpNrl tu;j;jkhdpia www.documents.gov.lk vDk; ,izaj;jsj;jpypUe;J gjptpwf;fk; nra;a KbAk;.</t>
  </si>
  <si>
    <t>f53e3bd9-01ae-4ed9-bd69-c23b78954c9c</t>
  </si>
  <si>
    <t>2473_25</t>
  </si>
  <si>
    <t>2473/25</t>
  </si>
  <si>
    <t>Local Authorities Elections Ordinance (Chapter 262) — General Government Notification (Gazette 2473/25)</t>
  </si>
  <si>
    <t>පළාත් පාලන ආයතන ඡන්ද විමසීම් ආඥාපනත (262 අධිකාරය) යටතේ රජයේ දැන්වීම</t>
  </si>
  <si>
    <t>உள்ளூராட்சி அதிகார சபைகள் தேர்தல்கள் கட்டளைச் சட்டம் (262 ஆம் அத்தியாயம்) கீழான அரசாங்க அறிவித்தல்</t>
  </si>
  <si>
    <t>General government notification under the Local Authorities Elections Ordinance (Chapter 262). Part I — General.</t>
  </si>
  <si>
    <t>m1/raw/2473_25.pdf</t>
  </si>
  <si>
    <t>Y%S ,xld m%cd;dka;%sl iudcjd§ ckrcfha .eiÜ m;%h
w;s úfYI
,yq;ifr; rdehaf Nrhryprf; FbauR th;j;jkhdg; gj;jphpif
mjp tpNr\khdJ
wxl 2473/25 - 2026 ckjdß ui 30 jeks isl=rdod - 2026'01'30
2473/25 Mk; ,yf;fk; - 2026 Mk; Mz;L rdtup khjk; 30 Me; jpfjp nts;spf;fpoik
(murhq;fj;jpd; mjpfhuj;Jld; gpuRupf;fg;gl;lJ)
gFjp I : njhFjp (I) - nghJ
murhq;f mwptpj;jy;fs;
ச.வ.பிி. 3/2025
((112299 ஆஆம்ம் அஅத்த்திதிிியாயாாாயாயாமாமாாானன)) ககடைடைைை,, அஅலுலுவவலலகக ஊஊழிழிிியாயார்ர் ((ஊஊழிழிிியாயாத்த்டைடைதிதியுயும்ம்
வவவவதிதினனத்த்டைடைதிதியுயும்ம் ஒஒழுழுங்ங்குகுபிபிடுடுத்த்திதில்ல்)) சசட்ட்ைைம்ம்
(129 ஆம் அத்திியாாயாமாான) கடைை, அலுவலக ஊழிியார் (ஊழிியாத்டைதியும் வவதினத்டைதியும் ஒழுங்குப்பிடுத்தில்) சட்ைத்திின் 66 ஆம்
பிிாிவின்கீழ் ததிாழிில் அடைமாச்சாினால் ஆக்கப்பிட்ை ஒழுங்குவிதிி.
ககலலாாநிநிிிதிதிிி அஅனனிில்ல் ஜஜயாயாந்ந்திதி பிபிிிரரனனாாந்ந்துது,,
ததிாழிில் அடைமாச்சர்.
தகாழும்பு,
2025, திிதசம்பிர் 12.
ஒஒழுழுங்ங்குகுவவிிதிதிிிககள்ள்
1974, வமா 10 ஆந் திிகதிியா 111 ஆம் இலக்க, அதிிவிவசை வர்த்திமாானியாில் தவிியாிைப்பிட்ை ஒழுங்குவிதிியாினால் திிருத்திப்பிட்ைவாறாாக,
1954, ஒற்வறாாபிர் 15 ஆம் திிகதிியா 10724 ஆம் இலக்க, அதிிவிவசை வர்த்திமாானியாில் தவிியாிைப்பிட்ை 1954 ஆம் ஆண்டு கடைை,
அலுவலக ஊழிியார் (ஊழிியாத்டைதியும் வவதினத்டைதியும் ஒழுங்குபிடுத்தில்) ஒழுங்குவிதிிகள், அதின் 3 ஆம் ஒழுங்குவிதிியாில் “அல்லது
தபிண்கள் மாலசலகூை பிணிிப்தபிண் என்றா தின்டைமாயாில் ஏவதினும் வதிிவிைவசதிியுள்ள விடுதிியாில் மு.பி. 6 மாணிிக்கு முன்னர் அல்லது
பிி.பி.6 மாணிிக்குப் பிின்னர் ததிாழிிலுக்கமார்த்திப்பிைலாம்.” என்னும் தசாற்களுக்கும் எண்களுக்கும் பிதிிலாக “அல்லது தபிண்கள்
தூய்டைமா பிணிிப்தபிண் ''அல்லது உணிவு மாற்றும் பிாணிம் தபிண் உணிவுவமாலாளர் என்றா தின்டைமாயாில் ஏவதினும் வதிிவிைவசதிியுள்ள
விடுதிியாில், பிி. பி. 6 மாணிிக்குப் பிின்னர் அல்லது அடுத்திநிாள் மு. பி. 6 மாணிிக்கு முன்னர் ததிாழிிலுக்கமார்த்திப்பிைலாம்
1A - G 46202 — 04 (2026/01) ,yq;if murhq;f mr;Rj; jpizf;fsj;jpw; gjpg;gpf;fg;ngw;wJ.
,t; mjptpNrl tu;j;jkhdpia www.documents.gov.lk vDk; ,izaj;jsj;jpypUe;J gjptpwf;fk; nra;a KbAk;.</t>
  </si>
  <si>
    <t>dd6c5f24-fadb-4163-957d-8842a1654d9e</t>
  </si>
  <si>
    <t>2473_26</t>
  </si>
  <si>
    <t>2473/26</t>
  </si>
  <si>
    <t>Fauna and Flora Protection Ordinance — Wildlife regulation (Gazette 2473/26)</t>
  </si>
  <si>
    <t>වන සත්ව සහ වෘක්ෂලතා ආරක්ෂණ ආඥා පනත (469 වන අධිකාරිය) - වන ජීවී නියාමන</t>
  </si>
  <si>
    <t>தாவர, விலங்கினப் பாதுகாப்புக் கட்டளைச் சட்டம் (அதிகாரம் 469) - வனவிலங்கு ஒழுங்குமுறை</t>
  </si>
  <si>
    <t>Regulation under the Fauna and Flora Protection Ordinance (Chapter 469), typically designating a managed reserve (e.g. Elephant Managed Reserve) and imposing land-use and development controls within the area.</t>
  </si>
  <si>
    <t>Fauna and Flora Protection Ordinance (Chapter 469)</t>
  </si>
  <si>
    <t>m1/raw/2473_26.pdf</t>
  </si>
  <si>
    <t>8372718e-616c-4f08-ba90-bdf7461e3aba</t>
  </si>
  <si>
    <t>2473_27</t>
  </si>
  <si>
    <t>2473/27</t>
  </si>
  <si>
    <t>Local Authorities Elections Ordinance (Chapter 262), Section 66A(1) - Filling vacancy of Member position at Galigamuwa Pradeshiya Sabha</t>
  </si>
  <si>
    <t>පළාත් පාලන ආයතන ඡන්ද විමසීම් ආඥාපනත (262 අධිකාරය), 66අ(1) වගන්තිය - ගලිගමුව ප්‍රාදේශීය සභාවේ සභික ධුරයේ පුරප්පාඩුවක් පිරවීම</t>
  </si>
  <si>
    <t>உள்ளூராட்சி அதிகார சபைகள் தேர்தல்கள் கட்டளைச் சட்டம் (262 ஆம் அத்தியாயம்), 66அ(1) ஆம் பிரிவின் கீழ் - கலிகமுவ பிரதேச சபையின் உறுப்பினர் பதவியில் ஏற்பட்ட வெற்றிடத்தை நிரப்புதல்</t>
  </si>
  <si>
    <t>Notice of vacancy in Galigamuwa Pradeshiya Sabha caused by loss of party membership by Member Lalith Roshana Pirisath of the SLPP (Sri Lanka Podujana Peramuna) recognized political party. Within 30 days, the party Secretary must nominate a replacement candidate per Section 9 of the Local Authorities Elections Ordinance. Issued by the Election Commission, 29 January 2026.</t>
  </si>
  <si>
    <t>m1/raw/2473_27.pdf</t>
  </si>
  <si>
    <t>ශ්‍රී ලංකා ප්‍රා‍ජාතාන්ත්‍රික සමාජවාාදී ජනරාජතේ� ගැසට් පත්‍රය
අංති විතේ�ෂ
අංංක 2473/27 - 2026 ජනවාාරි මස 30 වාැනි සිකුරාාදාා - 2026.01.30
(රාජතේ� බලයපිට ප්‍රා‍සිේධ කරාන ලදී)
IV (ආ) වාැනි තේකාටස - පළාාත් පාලනය
පළාාත් පාලන ආයතන ඡන්දා විමසීම් ආඥාාපනත යටතේත් දාැන්වීම්
(262 අංධිකාරාය) පළාාත් පාලන ආයතන ඡන්දා විමසීම් ආඥාාපනතේත් 66අං(1) වාගන්තිය යටතේත්
ගලිගමුුුවා ප්‍රා‍ාතේ ේශීය සභාාතේේ සභික ධුරාතේ� පුරාප්පාඩුවාක් පිරාවීම
පාක්ෂ සාාමාාජිකාත්වය අහිමිවීමා යේ�තුේ යේකාාට යේ�න �ලි�මුව ප්‍රාායේේශීය සාභාායේේ යේතාරේ ා එවා ඇති සාභිකායේයකුයේ� ධූරයක් පුරප්පාාඩු වී ඇති
යේ�යින් ෙ;
ඉ�ත කී ආඥාාපානයේත් 66අ(1) ව�න්තිය යටයේත් �ලි�මුව ප්‍රාායේේශීය සාභාාව සාඳ�ා යේතාරේ ා එවා ඇති සාභිකායේයකු යේලංසා පාත්වූ
යේ�ාඩයලංායේ� ලංලිත් යේරා�ේ ණ පීරිසාේ අයත් වන්නා වූ සාර්වජන බලංය න�වන පිළි�ත් යේේශපාාලංන පාක්ෂයේ� යේ�කා�ට දින ති� (30) කා කාාලං
පාරිච්යේේෙය ඇතුළත පාළාත් පාාලංන ආයතන ඡන්ෙ විමාසී� ආඥාාපානයේත් (262 අධිකාාරය) 9 ව�න්තිය යටයේත් නුසුදුසාේයේසාකු වී යේනාමාැති
අයේප්ක්ෂකායේයකු, සාභිකායේයකු වශයේයන් යේතාේරා පාත්කාර �නු ලංැබිය යුතුයැයි ප්‍රාකාාශ කාරනු ලංැබිය යුතු වූ ෙ, එමා පාක්ෂයට අයත් වන්නා
වූ ෙ, එමා �ලි�මුව ප්‍රාායේේශීය සාභාාව සාඳ�ා යේතාරේ ා එවිය යුතු සාභිකායා පිළිබඳව තීරණය කිරීමාට මාා විසින් නියමා කාරනු ලංැබ ඇති යේ�යින් ෙ;
ඉ�ත කී පිළි�ත් යේේශපාාලංන පාක්ෂයේ� යේ�කා� විසින් එමා පුරප්පාාඩුව පිරවීමා සාඳ�ා අසුර යේප්ඩියේ� අජිත් යේරාේ�ණ කුමාාර
කාරුණාරත්න න� කිරීයේ � සාේවකීය තීරණය ෙන්වනු ලංැබ ඇති යේ�යින් ෙ;
�ලි�මුව ප්‍රාායේේශීය සාභාායේේ යේත්රී�භාාර නිලංධාාරි කාරුණාතිලංකා රාලං�ාමිලංායේ� වසුන්ෙරා එරන්දි දිසාානායකා වන මාමා, පාළාත්
පාාලංන ආයතන ඡන්ෙ විමාසී� ආඥාාපානයේත් (262 අධිකාාරය) 66අ(1) ව�න්තිය ප්‍රාකාාරව ක්‍රියා කාරමින් අසුර යේප්ඩියේ� අජිත් යේරාේ�ණ
කුමාාර කාරුණාරත්න, �ලි�මුව ප්‍රාායේේශීය සාභාායේේ යේතාේරා එවා ඇති සාභිකායේයකු යේලංසා යේමායින් ප්‍රාකාාශ කාරමි.
තේක්. ආර්. වාසුන්දාරාා ඊ. දිසානායක,
යේත්රී�භාාර නිලංධාාරි,
�ලි�මුව ප්‍රාායේේශීය සාභාාව.
2026 ජනවාරි 29 වැනි දින,
දිසාේත්‍රික් මාැතිවරණ කාාර්යාලංය,
කාෑ��ලං.
EOG 01 - 0292
1A - PG 7505 — 09 (2026/01) ශ්‍රී ලංංකාා රජයේ� මුද්‍රණ යේෙපාාර්තයේ�න්තුයේේ මුද්‍රණය කාරන ලංදී.
fuu w;s úfYI .eiÜ m;%h www.documents.gov.lk fjí wvúfhka nd.; l&lt; yel'</t>
  </si>
  <si>
    <t>9c9aee41-0cb9-4233-b769-c2f2749412ef</t>
  </si>
  <si>
    <t>2473_28</t>
  </si>
  <si>
    <t>2473/28</t>
  </si>
  <si>
    <t>Provincial Councils Act, No. 42 of 1987 — Appointment under Section 32(1) (Gazette 2473/28)</t>
  </si>
  <si>
    <t>m1/raw/2473_28.pdf</t>
  </si>
  <si>
    <t>Y%S ,xld m%cd;dka;%sl iudcjd§ ckrcfha .eiÜ m;%h
w;s úfYI
,yq;ifr; rdehaf Nrhryprf; FbauR th;j;jkhdg; gj;jphpif
mjp tpNr\khdJ
අංඅංංංකක 22447733//2288 -- 22002266 ජජනනවාවාාාරිරි මමසස 3300 වාවාැැනිනි සිසිකුකුරාරාාාදාදාාා -- 22002266..0011..3300
2473/28 ஆம் இலக்கம் - 2026 ஆம் ஆண்டு சனவரிி மாரிதம் 30 ஆந் திகதி வவ்�ளிிக்கிழமைமா
(murhq;fj;jpd; mjpfhuj;Jld; gpuRupf;fg;gl;lJ)
gFjp IV(M) - cs;~uhl;rp
உஉள்ள்ளூளூர்ர் அஅததிிககரிரிரர சசமைமைைைககள்ள் தேதேததர்ர்ததல்ல்ககள்ள் ககட்ட்டடமைமைளிளிச்ச் சசட்ட்டட அஅறிறிிிவவிித்த்ததல்ல்ககள்ள்
((226622 ஆஆம்ம் அஅத்த்ததிியாயாரிரியாயாம்ம்)) உஉள்ள்ளூளூர்ர் அஅததிிககரிரிரர சசமைமைைைககள்ள் தேதேததர்ர்ததல்ல்ககள்ள் ககட்ட்டடமைமைளிளிச்ச் சசட்ட்டடத்த்ததிின்ன் 6666அஅ((11))((அஅ)) எஎன்ன்னுனும்ம்
ைைிிரிரிிிவவிின்ன் ககீீழ்ழ் க கம்ம்ைைஹாஹாரிரி ைைிிரரதேதேததசச சசமைமைைை உஉறுறுப்ப்ைைிினனர்ர் ஒஒருருவவரிரிிின்ன் ைைததவவிியாயாிிலலரிரினன வவவவற்ற்றிறிிிடடத்த்மைமைதத நிநிிிரரப்ப்புபுததல்ல்
ககம்ம்ைைஹாஹாரிரி ைைிிரரதேதேததசச சசமைமைைை உஉறுறுப்ப்ைைிினனர்ர் ஒஒருருவவரிரிிின்ன் ைைததவவிி தேதேககட்ட்டுடு வவிிலலககிியாயாமைமைமாமா ககரிரிரரணணமாமாரிரிகக வவவவற்ற்றிறிிிடடமாமாரிரியாயாிிருருக்க்ககிின்ன்றிறிததரிரிததலலரிரிலுலும்ம்;;
தேதேமாமாற்ற்குகுறிறிிித்த்தத ககட்ட்டடமைமைளிளிச்ச் சசட்ட்டடத்த்ததிின்ன் 6666அஅ((11))((அஅ)) ஆஆம்ம் ைைிிரிரிிிவவிின்ன் ககீீழ்ழ்,, க கம்ம்ைைஹாஹாரிரி ைைிிரரதேதேததசச சசமைமைைையாயாிின்ன் இஇலலக்க்ககம்ம் 0088 -- ைைஹாஹாலல
யாயாரிரிவவககரிரிடட வவட்ட்டடரிரிரரத்த்ததிிற்ற்குகு வவததரிரிிிவுவு வவசசய்ய்யாயாப்ப்ைைட்ட்டட முமுதுதுன்ன்வவககரிரிடுடுவவதேதேகக ஜஜயாயாசசிிறிறிிி குகுணணவவர்ர்ததனன எஎன்ன்ைைவவர்ர் அஅங்ங்ககம்ம் வவககிிக்க்ககிின்ன்றிறி தேதேததசசிியாயா
மாமாக்க்ககள்ள் சசக்க்ததிி எஎன்ன்றிறி அஅங்ங்ககீீககரிரிிிக்க்ககப்ப்ைைட்ட்டட அஅரரசசிியாயால்ல் ககட்ட்சசிியாயாிின்ன் வவசசயாயாலலரிரிளிளிர்ர் முமுப்ப்ைைதுது ((3300)) நிநிரிரிட்ட் ககரிரிலலக்க்வவககடுடுவுவுக்க்குகுள்ள் உஉள்ள்ளூளூர்ர் அஅததிிககரிரிரர
சசமைமைைைககள்ள் தேதேததர்ர்ததல்ல்ககள்ள் ககட்ட்டடமைமைளிளிச்ச் சசட்ட்டடத்த்ததிின்ன் ((226622 ஆஆம்ம் அஅத்த்ததிியாயாரிரியாயாம்ம்)) 99 ஆஆம்ம் ைைிிரிரிிிவவிின்ன் ககீீழ்ழ் ததமைமைககமைமைமாமாயுயுமைமைடடயாயா தேதேவவட்ட்ைைரிரிளிளிவவரரரிரிருருவவரரரிரிகக,,
உஉறுறுப்ப்ைைிினனவவரரரிரிருருவவரரரிரிகக தேதேததர்ர்ந்ந்வவததடுடுக்க்ககப்ப்ைைட்ட்டடவவவவரரனன வவவவளிளிிிப்ப்ைைடுடுத்த்ததப்ப்ைைடட தேதேவவண்ண்டிடியாயாவவருரும்ம் அஅக்க்ககட்ட்சசிிமைமையாயாச்ச் தேதேசசர்ர்ந்ந்ததவவருருமாமாரிரினன
ககம்ம்ைைஹாஹாரிரி ைைிிரரதேதேததசச சசமைமைைையாயாிின்ன் இஇலலக்க்ககம்ம் 0088 -- ைைஹாஹாலல யாயாரிரிவவககரிரிடட வவட்ட்டடரிரிரரத்த்ததிின்ன் உஉறுறுப்ப்ைைிினனர்ர் வவததரிரிடடர்ர்ைைரிரிகக ததீீர்ர்மாமாரிரினனிிக்க்குகுமாமாரிரிறுறு எஎன்ன்னனரிரில்ல்
ைைணணிிக்க்ககப்ப்ைைட்ட்டுடுள்ள்ளிளிரிரிரரரிரிததலலரிரிலுலும்ம் ;;
தேதேமாமாதேதேலல கூகூறிறிப்ப்ைைட்ட்டட அஅங்ங்ககீீககரிரிிிக்க்ககப்ப்ைைட்ட்டட அஅரரசசிியாயால்ல் ககட்ட்சசிியாயாிின்ன் வவசசயாயாலலரிரிளிளிரிரிிினனரிரில்ல் அஅவ்வ்வவவவற்ற்றிறிிிடடத்த்மைமைதத நிநிிிரரப்ப்புபுவவததற்ற்ககரிரிகக ஜஜயாயாசூசூரிரிிியாயா
ஆஆரரச்ச்சசிிதேதேகக ைைிிரரைைரிரிஷ்ஷ் ரரங்ங்கக ஜஜயாயாசூசூரிரிிியாயா எஎன்ன்ைைவவமைமைரரப்ப் வவைையாயார்ர் குகுறிறிிித்த்துது நிநிிியாயாமாமாிிக்க்குகும்ம் ததமாமாதுது முமுடிடிவவிிமைமைனன அஅறிறிிிவவிித்த்துதுள்ள்ளிளிரிரிரரரிரிததலலரிரிலுலும்ம் ;;
க கம்ம்ைைஹாஹாரிரி ைைிிரரதேதேததசச சசமைமைைையாயாிின்ன் வவததரிரிிிவவத்த்ததரிரிட்ட்சசிி அஅலுலுவவலலரரரிரினன வவிிததரிரினன அஅப்ப்புபுஹாஹாரிரிமாமாிில்ல்லலரிரிதேதேகக ரரவீவீன்ன்ததிிரர வவிிக்க்ரரமாமாசசிிங்ங்ஂஹாஂஹா ஆஆககிியாயா
நிநிரிரின்ன்,, உஉள்ள்ளூளூர்ர் அஅததிிககரிரிரர சசமைமைைைககள்ள் தேதேததர்ர்ததல்ல்ககள்ள் ககட்ட்டடமைமைளிளிச்ச் சசட்ட்டடத்த்ததிின்ன் ((226622 ஆஆம்ம் அஅத்த்ததிியாயாரிரியாயாமாமாரிரினன)) 6666அஅ((11))((அஅ)) எஎன்ன்னுனும்ம் ைைிிரிரிிிவவிின்ன்
நிநிிியாயாததிிககளிளிிின்ன்ைைடிடி வவசசயாயாற்ற்ைைட்ட்டுடு ஜஜயாயாசூசூரிரிிியாயா ஆஆரரச்ச்சசிிதேதேகக ைைிிரரைைரிரிஷ்ஷ் ரரங்ங்கக ஜஜயாயாசூசூரிரிிியாயா எஎன்ன்ைைவவர்ர் க கம்ம்ைைஹாஹாரிரி ைைிிரரதேதேததசச சசமைமைைையாயாிின்ன் இஇலலக்க்ககம்ம் 0088
-- ைைஹாஹாலல யாயாரிரிவவககரிரிடட வவட்ட்டடரிரிரரத்த்ததிின்ன் உஉறுறுப்ப்ைைிினனர்ர் ஒஒருருவவரரரிரிககத்த் தேதேததர்ர்ந்ந்வவததடுடுக்க்ககப்ப்ைைட்ட்டுடுள்ள்ளிளிததரிரிகக இஇத்த்ததரிரில்ல் வவவவளிளிிிப்ப்ைைடுடுத்த்துதுககிின்ன்தேதேறிறின்ன்..
டடப்ப்ளிளிிியூயூ.. ஏஏ.. ரரவீவீன்ன்ததிிரர வவிிக்க்ரரமாமாசசிிங்ங்ஹாஹா,,
வவததரிரிிிவவத்த்ததரிரிட்ட்சசிி அஅலுலுவவலலர்ர் ,,
ககம்ம்ைைஹாஹாரிரி ைைிிரரதேதேததசச சசமைமைைை..
மாமாரிரிவவட்ட்டடத்த் தேதேததர்ர்ததல்ல்ககள்ள் அஅலுலுவவலலககம்ம்,,
ககம்ம்ைைஹாஹாரிரி,,
22002266,, சசனனவவரிரிிி 3300 ஆஆம்ம் ததிிககததிி..
EEOOGG 0011 -- 00229933
1A - PG 7506 — 09 (2026/01) ,yq;if murhq;f mr;Rj; jpizf;fsj;jpw; gjpg;gpf;fg;ngw;wJ.
,t; mjptpNrl tu;j;jkhdpia www.documents.gov.lk vDk; ,izaj;jsj;jpypUe;J gjptpwf;fk; nra;a KbAk;.</t>
  </si>
  <si>
    <t>69565def-db38-43f2-b158-d6a553766d33</t>
  </si>
  <si>
    <t>2473_29</t>
  </si>
  <si>
    <t>2473/29</t>
  </si>
  <si>
    <t>Provincial Councils Act, No. 42 of 1987 — Appointment under Section 32(1) (Gazette 2473/29)</t>
  </si>
  <si>
    <t>m1/raw/2473_29.pdf</t>
  </si>
  <si>
    <t>Y%S ,xld m%cd;dka;%sl iudcjd§ ckrcfha .eiÜ m;%h
w;s úfYI
,yq;ifr; rdehaf Nrhryprf; FbauR th;j;jkhdg; gj;jphpif
mjp tpNr\khdJ
අංඅංංංකක 22447733//2299 -- 22002266 ජජනනවාවාාාරිරි මමසස 3300 වාවාැැනිනි සිසිකුකුරාරාාාදාදාාා -- 22002266..0011..3300
2473/29 ஆம் இலக்கம் - 2026 ஆம் ஆண்டு சனவரிி மாரிதம் 30 ஆந் திகதி வவ்�ளிிக்கிழமைமா
(murhq;fj;jpd; mjpfhuj;Jld; gpuRupf;fg;gl;lJ)
gFjp IV(M) - cs;~uhl;rp
உஉள்ள்ளூளூர்ர் அஅததிிககரிரிரர சசமைமைைைககள்ள் தேதேததர்ர்ததல்ல்ககள்ள் ககட்ட்டடமைமைளிளிச்ச் சசட்ட்டட அஅறிறிிிவவிித்த்ததல்ல்ககள்ள்
((226622 ஆஆம்ம் அஅத்த்ததிியாயாரிரியாயாம்ம்)) உஉள்ள்ளூளூர்ர் அஅததிிககரிரிரர சசமைமைைைககள்ள் தேதேததர்ர்ததல்ல்ககள்ள் ககட்ட்டடமைமைளிளிச்ச் சசட்ட்டடத்த்ததிின்ன் 6666அஅ((11))((அஅ)) எஎன்ன்னுனும்ம்
ைைிிரிரிிிவவிின்ன் ககீீழ்ழ் ததலலரிரிமைமைவவ ைைிிரரதேதேததசச சசமைமைைை உஉறுறுப்ப்ைைிினனர்ர் ஒஒருருவவரிரிிின்ன் ைைததவவிியாயாிிலலரிரினன வவவவற்ற்றிறிிிடடத்த்மைமைதத நிநிிிரரப்ப்புபுததல்ல்
ததலலரிரிமைமைவவ ைைிிரரதேதேததசச சசமைமைைை உஉறுறுப்ப்ைைிினனர்ர் ஒஒருருவவரிரிிின்ன் ைைததவவிி தேதேககட்ட்டுடு வவிிலலககிியாயாமைமைமாமா ககரிரிரரணணமாமாரிரிகக வவவவற்ற்றிறிிிடடமாமாரிரியாயாிிருருக்க்ககிின்ன்றிறிததரிரிததலலரிரிலுலும்ம்;;
தேதேமாமாற்ற்குகுறிறிிித்த்தத ககட்ட்டடமைமைளிளிச்ச் சசட்ட்டடத்த்ததிின்ன் 6666அஅ((11))((அஅ)) ஆஆம்ம் ைைிிரிரிிிவவிின்ன் ககீீழ்ழ்,, த தலலரிரிமைமைவவ ைைிிரரதேதேததசச சசமைமைைையாயாிின்ன் இஇலலக்க்ககம்ம் 1122 -- இஇக்க்ககிிரிரிிிவவவவவவ
வவட்ட்டடரிரிரரத்த்ததிிற்ற்குகு வவததரிரிிிவுவு வவசசய்ய்யாயாப்ப்ைைட்ட்டட தேதே��ரரத்த் முமுததிியாயான்ன்தேதேசசலலரிரிதேதேகக ைைிிங்ங்��ரிரிமாமாிிதேதேகக ரரஞ்ஞ்ஜிஜிிித்த் எஎன்ன்ைைவவர்ர் அஅங்ங்ககம்ம் வவககிிக்க்ககிின்ன்றிறி தேதேததசசிியாயா
மாமாக்க்ககள்ள் சசக்க்ததிி எஎன்ன்றிறி அஅங்ங்ககீீககரிரிிிக்க்ககப்ப்ைைட்ட்டட அஅரரசசிியாயால்ல் ககட்ட்சசிியாயாிின்ன் வவசசயாயாலலரிரிளிளிர்ர் முமுப்ப்ைைதுது ((3300)) நிநிரிரிட்ட் ககரிரிலலக்க்வவககடுடுவுவுக்க்குகுள்ள் உஉள்ள்ளூளூர்ர் அஅததிிககரிரிரர
சசமைமைைைககள்ள் தேதேததர்ர்ததல்ல்ககள்ள் ககட்ட்டடமைமைளிளிச்ச் சசட்ட்டடத்த்ததிின்ன் ((226622 ஆஆம்ம் அஅத்த்ததிியாயாரிரியாயாம்ம்)) 99 ஆஆம்ம் ைைிிரிரிிிவவிின்ன் ககீீழ்ழ் ததமைமைககமைமைமாமாயுயுமைமைடடயாயா தேதேவவட்ட்ைைரிரிளிளிவவரரரிரிருருவவரரரிரிகக,,
உஉறுறுப்ப்ைைிினனவவரரரிரிருருவவரரரிரிகக தேதேததர்ர்ந்ந்வவததடுடுக்க்ககப்ப்ைைட்ட்டடவவவவரரனன வவவவளிளிிிப்ப்ைைடுடுத்த்ததப்ப்ைைடட தேதேவவண்ண்டிடியாயாவவருரும்ம் அஅக்க்ககட்ட்சசிிமைமையாயாச்ச் தேதேசசர்ர்ந்ந்ததவவருருமாமாரிரினன
ததலலரிரிமைமைவவ ைைிிரரதேதேததசச சசமைமைைையாயாிின்ன் இஇலலக்க்ககம்ம் 1122 -- இஇக்க்ககிிரிரிிிவவவவவவ வவட்ட்டடரிரிரரத்த்ததிின்ன் உஉறுறுப்ப்ைைிினனர்ர் வவததரிரிடடர்ர்ைைரிரிகக ததீீர்ர்மாமாரிரினனிிக்க்குகுமாமாரிரிறுறு எஎன்ன்னனரிரில்ல்
ைைணணிிக்க்ககப்ப்ைைட்ட்டுடுள்ள்ளிளிரிரிரரரிரிததலலரிரிலுலும்ம் ;;
தேதேமாமாதேதேலல கூகூறிறிப்ப்ைைட்ட்டட அஅங்ங்ககீீககரிரிிிக்க்ககப்ப்ைைட்ட்டட அஅரரசசிியாயால்ல் ககட்ட்சசிியாயாிின்ன் வவசசயாயாலலரிரிளிளிரிரிிினனரிரில்ல் அஅவ்வ்வவவவற்ற்றிறிிிடடத்த்மைமைதத நிநிிிரரப்ப்புபுவவததற்ற்ககரிரிகக
அஅணணவவத்த்துதுதேதேகக ைைந்ந்துது எஎன்ன்ைைவவமைமைரரப்ப் வவைையாயார்ர் குகுறிறிிித்த்துது நிநிிியாயாமாமாிிக்க்குகும்ம் ததமாமாதுது முமுடிடிவவிிமைமைனன அஅறிறிிிவவிித்த்துதுள்ள்ளிளிரிரிரரரிரிததலலரிரிலுலும்ம் ;;
ததலலரிரிமைமைவவ ைைிிரரதேதேததசச சசமைமைைையாயாிின்ன் வவததரிரிிிவவத்த்ததரிரிட்ட்சசிி அஅலுலுவவலலரரரிரினன நுநுவவரர ைைக்க் ஷஷதேதேகக ைைிிவவிிதுதுருரு இஇன்ன்ததிிகக ரரவவிிரரரிரிஜ்ஜ் குகுணணரரத்த்னன ஆஆககிியாயா
நிநிரிரின்ன்,, உஉள்ள்ளூளூர்ர் அஅததிிககரிரிரர சசமைமைைைககள்ள் தேதேததர்ர்ததல்ல்ககள்ள் ககட்ட்டடமைமைளிளிச்ச் சசட்ட்டடத்த்ததிின்ன் ((226622 ஆஆம்ம் அஅத்த்ததிியாயாரிரியாயாமாமாரிரினன)) 6666அஅ((11))((அஅ)) எஎன்ன்னுனும்ம் ைைிிரிரிிிவவிின்ன்
நிநிிியாயாததிிககளிளிிின்ன்ைைடிடி வவசசயாயாற்ற்ைைட்ட்டுடு அஅணணவவத்த்துதுதேதேகக ைைந்ந்துது எஎன்ன்ைைவவர்ர் தத லலரிரிமைமைவவ ைைிிரரதேதேததசச சசமைமைைையாயாிின்ன் இஇலலக்க்ககம்ம் 1122 -- இஇக்க்ககிிரிரிிிவவவவவவ வவட்ட்டடரிரிரரத்த்ததிின்ன்
உஉறுறுப்ப்ைைிினனர்ர் ஒஒருருவவரரரிரிககத்த் தேதேததர்ர்ந்ந்வவததடுடுக்க்ககப்ப்ைைட்ட்டுடுள்ள்ளிளிததரிரிகக இஇத்த்ததரிரில்ல் வவவவளிளிிிப்ப்ைைடுடுத்த்துதுககிின்ன்தேதேறிறின்ன்..
எஎன்ன்.. ைைிி.. ைைிி.. ஐஐ.. ஆஆர்ர்.. குகுணணரரத்த்னன,,
வவததரிரிிிவவத்த்ததரிரிட்ட்சசிி அஅலுலுவவலலர்ர் ,,
ததலலரிரிமைமைவவ ைைிிரரதேதேததசச சசமைமைைை..
மாமாரிரிவவட்ட்டடத்த் தேதேததர்ர்ததல்ல்ககள்ள் அஅலுலுவவலலககம்ம்,,
அஅநுநுரரரிரிததபுபுரரம்ம்,,
22002266,, சசனனவவரிரிிி 3300 ஆஆம்ம் ததிிககததிி..
EEOOGG 0011 -- 00229944
1A - PG 7507 — 08 (2026/01) ,yq;if murhq;f mr;Rj; jpizf;fsj;jpw; gjpg;gpf;fg;ngw;wJ.
,t; mjptpNrl tu;j;jkhdpia www.documents.gov.lk vDk; ,izaj;jsj;jpypUe;J gjptpwf;fk; nra;a KbAk;.</t>
  </si>
  <si>
    <t>c83006b5-3ddc-4509-b928-61acaf8655da</t>
  </si>
  <si>
    <t>2473_30</t>
  </si>
  <si>
    <t>2473/30</t>
  </si>
  <si>
    <t>General Government Notification (Gazette 2473/30)</t>
  </si>
  <si>
    <t>m1/raw/2473_30.pdf</t>
  </si>
  <si>
    <t>Y%S ,xld m%cd;dka;%sl iudcjd§ ckrcfha .eiÜ m;%h
w;s úfYI
,yq;ifr; rdehaf Nrhryprf; FbauR th;j;jkhdg; gj;jphpif
mjp tpNr\khdJ
wxl 2473$30 - 2026 ckjdß ui 30 jeks isl=rdod - 2026'01'30
2473/ 30 Mk; ,yf;fk; - 2026 Mk; Mz;L rdtup khjk; 30 Me; jpfjp nts;spf;fpoik
(murhq;fj;jpd; mjpfhuj;Jld; gpuRupf;fg;gl;lJ)
gFjp I : njhFjp (I) - nghJ
,yq;if kj;jpa tq;fpapd; mwptpj;jy;fs;
22002233 ஆஆம்ம் ஆஆண்ண்டிடின்ன் 1166 ஆஆம்ம் இஇலலக்க்கக இஇலலங்ங்கைகைகக மமத்த்திதிிியய வவங்ங்ககிிச்ச் சசட்ட்டடம்ம்
22002233 ஆஆம்ம் ஆஆண்ண்டிடின்ன் 1166 ஆஆம்ம் இஇலலக்க்கக இஇலலங்ங்கைகை கக மமத்த்திதிிியய வவங்ங்ககிிச்ச் சசட்ட்டடத்த்திதிிின்ன் பிபிிிரிரிிிவுவு 77((11)) ((இஇ)) மமற்ற்றுறும்ம் பிபிகுகுதிதிிி VVII எஎன்ன்பிபிவவற்ற்றுறுடடன்ன்
சேசேசசர்ர்த்த்துது வவரிரிசசிிக்க்ககப்ப்பிபிடுடும்ம் 110055 ஆஆம்ம் பிபிிிரிரிிிவவிின்ன் ககீீழ்ழ் ஆஆக்க்ககப்ப்பிபிட்ட்டட வவிிதிதிிிககள்ள்..
பிபிிி.. நநந்ந்திதிலலரிரில்ல் வீவீரரசசிிங்ங்கக,,
ஆளும் சகைபியின் திகைலவரும்
இலங்கைக மத்திிய வங்கியின் ஆளுநரும்.
இலங்கைக மத்திிய வங்கி,
ககரிழும்பு,
2026, சனவரிி, 30.
ஏஏற்ற்றுறுமமதிதிிிப்ப் ககபிபிறுறுகைகைகககககைகைைை இஇலலங்ங்கைகைககக்க்குகுத்த் திதிிிருருப்ப்பிபிிியயனுனுப்ப்புபுதிதில்ல்
1. இவ்விதிிகள் “2026 ஆம் ஆண்டின் 01 ஆம் இலக்க ஏற்றுமதிிப் கபிறுகைகககைை இலங்கைகக்குத் திிருப்பிியனுப்புதில் விதிிகள்” என
எடுத்துக்கரிட்டப்பிடுதில் சேவண்டும். அத்துடன் இவ்் விதிிகள் எத்திிகதிியில் பிரிரரிளுமன்றத்திினரில் அனுமதிிக்கப்பிடுகின்றசேதிரி
அத்திிகதிியில் நகைடமுகைறக்கு வருதிலும் சேவண்டும்.
2. இலங்கைக மத்திிய வங்கியினரில் விடுக்கப்பிட்டதும் 2024, யூகைல 01 ஆந் திிகதிியிடப்பிட்ட 2391/02 ஆம் இலக்க வர்த்திமரினி
(அதிிவிசேசட) அறிவித்தில்கைில் கவிியிடப்பிட்டதுமரின 2024 ஆம் ஆண்டின் 1 ஆம் இலக்க ஏற்றுமதிிப் கபிறுகைகககைை
இலங்கைகக்குத் திிருப்பிியனுப்புதில் விதிிகள் அதின் 4(எ) ஆம் விதிியிகைன நீக்குவதின் மூலம் திிருத்திப்பிட்டு அதிற்குப் பிதிிலரிக
பிின்வரும் புதிிய விதிியிகைனப் பிதிிலீடு கசய்வதின் மூலம் இத்திரில் திிருத்திப்பிடுகின்றன.
“4(எ) அவ்வரிறு கிகைடக்கப்கபிற்ற ஏற்றுமதிிப் கபிறுகைககைின் பித்து சதிவீதிம் (10%) வகைர இலங்கைக அரசரிங்கத்திினரில்
வழங்கப்பிட்ட கவிிநரிட்டு நரிணயத்திில் கபியர்குறிக்கப்பிட்ட பிடுகடன் பிிகைணயங்கைில் முதிலீடுககைை சேமற்ககரிள்வதுடன்
கதிரிடர்புகைடய ககரிடுப்பினவுகள் ; அத்துடன்”
1A - G 46204 - 23 (2026/01) ,yq;if murhq;f mr;Rj; jpizf;fsj;jpw; gjpg;gpf;fg;ngw;wJ.
,t; mjptpNrl tu;j;jkhdpia www.documents.gov.lk vDk; ,izaj;jsj;jpypUe;J gjptpwf;fk; nra;a KbAk;.</t>
  </si>
  <si>
    <t>32844bb2-87cc-41c4-a8d9-55f087890040</t>
  </si>
  <si>
    <t>2473_31</t>
  </si>
  <si>
    <t>2473/31</t>
  </si>
  <si>
    <t>Customs Ordinance (Chapter 235) — Customs notification (Gazette 2473/31)</t>
  </si>
  <si>
    <t>රේගු ආඥා පනත (235 වන අධිකාරිය) - රේගු දැන්වීම</t>
  </si>
  <si>
    <t>சுங்க கட்டளைச் சட்டம் (அத்தியாயம் 235) - சுங்க அறிவித்தல்</t>
  </si>
  <si>
    <t>Notification published under the Customs Ordinance (Chapter 235), Section 10, covering import/export duties, prohibitions, or related customs matters.</t>
  </si>
  <si>
    <t>m1/raw/2473_31.pdf</t>
  </si>
  <si>
    <t>e208c63e-8e7e-4764-beab-c2a1f4ae58ba</t>
  </si>
  <si>
    <t>2473_32</t>
  </si>
  <si>
    <t>2473/32</t>
  </si>
  <si>
    <t>Post Office Ordinance (Chapter 190) — Postal tariff/rules amendment (Gazette 2473/32)</t>
  </si>
  <si>
    <t>තැපැල් කන්තෝරු ආඥා පනත (190 වන අධිකාරිය) - තැපැල් ගාස්තු සංශෝධනය</t>
  </si>
  <si>
    <t>அஞ்சல் அலுவலக கட்டளைச் சட்டம் (190 ஆம் அத்தியாயம்) - அஞ்சல் வீத திருத்தம்</t>
  </si>
  <si>
    <t>Amendment to the Sri Lanka Post Office Ordinance (Chapter 190) rules made under Sections 7 and 8, revising postal tariffs and service rates. Issued by the Minister of Mass Media with concurrence of the Minister of Finance. Part I — General.</t>
  </si>
  <si>
    <t>Post Office Ordinance (Chapter 190)</t>
  </si>
  <si>
    <t>finance</t>
  </si>
  <si>
    <t>Rates revised (e.g., LKR 60→80, LKR 70→90 for stamped envelopes)</t>
  </si>
  <si>
    <t>m1/raw/2473_32.pdf</t>
  </si>
  <si>
    <t>40823f03-9031-48ea-bfd3-9108094f23cb</t>
  </si>
  <si>
    <t>2473_33</t>
  </si>
  <si>
    <t>2473/33</t>
  </si>
  <si>
    <t>General Government Notification (Gazette 2473/33)</t>
  </si>
  <si>
    <t>m1/raw/2473_33.pdf</t>
  </si>
  <si>
    <t>Y%S ,xld m%cd;dka;%sl iudcjd§ ckrcfha .eiÜ m;%h
w;s úfYI
,yq;ifr; rdehaf Nrhryprf; FbauR th;j;jkhdg; gj;jphpif
mjp tpNr\khdJ
wxl 2473$33 - 2026 fmnrjdß ui 01 jeks bßod - 2026'02'01
2473/ 33 Mk; ,yf;fk; - 2026 Mk; Mz;L ngg;GUtup khjk; 01 Me; jpfjp Qhapw;Wf;fpoik
(murhq;fj;jpd; mjpfhuj;Jld; gpuRupf;fg;gl;lJ)
பகுதிி I : ததிொகுதிி (I) - தபொது
அரசொங்க அறிவிதி்தில்கள்
,e;j QR FwpaPl;il
Scan nra;J gjpT
tpguq;fisg;
தேதேதிதிருருநநர்ர் இஇடடொொப்ப்புபு ைைீீளளொொய்ய்வுவு ghh;itapl KbAk;.
my;yJ ec.lk/vrd vkJ
,izaj;jsj;jpw;F
gpuNtrpf;fTk;.
தேதேதிதிருருநநர்ர்ககளைளைளளப்ப் பபதிதிிிவுவு ததசசய்ய்திதில்ல் சசட்ட்டடத்த்திதிிிற்ற்ககளைளைைையய 22002255 ((33)) ஆஆம்ம் குகுளைளைறறநநிிரரப்ப்புபு தேதேதிதிருருநநர்ர் இஇடடொொப்ப்புபு
அஅத்த்திதிொொட்ட்சசிிப்ப்பபடுடுத்த்திதிப்ப்பபட்ட்டுடுள்ள்ளளதிதிொொகக அஅறறிிவவிித்த்திதில்ல்
2021 ஆம் ஆண்டின் 22 ஆம் இலக்க தேதிருநர்களைளப் பதிிவு தசய்தில் (திிருத்திச்) சட்டத்திினாொல் திிருத்திப்பட்ட 1980 ஆம்
ஆண்டின் 44 ஆம் இலக்க தேதிருநர்களைளப் பதிிவு தசய்தில் சட்டத்திிற்களைைய 2025, ஒற்தேறொபர் ைொதிம் 01 ஆம் திிகதிி முதில்
2026, சனாவொி 31 ஆந் திிகதிி வளைரயொனா கொலப்பகுதிியினுள் ஒரு திினாத்திில் 18 வயளைதி பூர்த்திி தசய்யும் பதிிவு தசய்யப்பட்ட
தேதிருநர்களின் தபயர்கள் குறிப்பிடப்பட்டுள்ள ; 2025(3) குளைறநிரப்பு தேதிருநர் இடொப்பு 2026, தபப்புருவொி ைொதிம் 01 ஆந்
திிகதிி அத்திொட்சிப்படுத்திப்பட்டுள்ளதிொகவும்; இங்தேக கீழுள்ள அட்டவளை�யின் I ஆம் நிரலில் குறிப்பிடப்பட்டுள்ள
தேதிர்தில் ைொவட்டத்திிற்கொக II ஆம் நிரலின் தேநதரொத்தி குறிப்பில் தபயர் குறிப்பிடப்பட்டுள்ள உதிவிப் பதிிவு அலுவலரொல்
அத்திொட்சிப்படுத்திப்பட்டுள்ளதிொகவும் ; அதின் III ஆம் நிரலின் தேநதரொத்தி குறிப்பில் குறிப்பிடப்பட்டுள்ள ைொவட்டத் தேதிர்தில்கள்
அலுவலகத்திில்/ அலுவலகங்களில் வழளைையொனா அலுவலக தேநரங்களில் பொீட்சித்துப் பொர்க்க முடியுதைனாவும்; தேதிருநர்களைளப்
பதிிவு தசய்தில் சட்டத்திின் 20அ (10) உப பிொிவின் கீழ் ஒவ்தவொரு தேதிர்தில் ைொவட்டத்திினாதும் பதிிவு அலுவலர் சொர்பொக
அறியத்திரப்படுகின்றது.
ரரசசிிக்க்கக பீபீொொிிஸ்ஸ்,,
தேதிர்தில்கள் ஆளை�யொளர் நொயகம்,
தேதிர்தில் ஆளை�க்குழு.
தேதிர்தில் ஆளை�க்குழு அலுவலகம்,
இரொஜகிொிய,
2026, தபப்புருவொி 01.
1A - G 7503 — 18 (2026/01)
,t; mjptpNrl tu;j;jkhdpia www.documents.gov.lk vDk; ,izaj;jsj;jpypUe;J gjptpwf;fk; nra;a KbAk;.
2A I fldgi ( ^I&amp; fPoh - YS% ,xld m%cd;dka;s%l iudcjd§ ckrcfha w;s úfYI .eiÜ m;%h - 2026'02'01
gFjp I : njhFjp (I) - ,yq;ifr; rdehaf Nrhryprf; FbauR tu;j;jkhdg; gj;;jpupif - mjp tpNr\khdJ - 2026.02.01
அஅட்ட்டடவவளைளை��
I ஆம் நிரல் II ஆம் நிரல் III ஆம் நிரல்
தேதிர்தில் ைொவட்டம் 2025 (3) குளைற நிரப்பு தேதிருநர் ைொவட்டத் தேதிர்தில்கள் அலுவலகம்
இடொப்ளைப அத்திொட்சிப்படுத்திிய
அலுவலர்
01. தகொழும்பு பியூைி ஆட்டிகல தகொழும்பு
02. கம்பஹாொ டப்ளியூ.ஏ.ஆர்.விக்கிரைசிங்க கம்பஹாொ
03. களுத்துளைற கொலிந்திிர ஜயவீர தபர்னாொந்து களுத்துளைற
04. கண்டி எச்.டீ.என். சம்பத் தபர்னாொந்து கண்டி
05. ைொத்திளைள எச்.ஏ.ஈ.புஷ்பகுைொர ைொத்திளைள
06. நுவதரலியொ தேக.ஏ.எல்.எஸ்.கலுகம்பிட்டிய நுவதரலியொ
07. கொலி டப்ளிவ்.எச்.ஆர். விஜய குைொர கொலி
08. ைொத்திளைற பீ.எஸ். பத்திிர� ைொத்திளைற
09. அம்பொந்தேதிொட்ளைட வீ. டீ. தேஜ. லக்ைொல் அம்பொந்தேதிொட்ளைட
10. யொழ்ப்பொ�ம் ஆர். சசீலன் யொழ்ப்பொ�ம், கிளிதநொச்சி
11. வன்னாி தேக. முகுந்தின் ைன்னாொர், வவுனாியொ, முல்ளைலத்திீவு
12. ைட்டக்களப்பு என். தேரகன் ைட்டக்களப்பு
13. திிகொைடுல்ல கசுன் ஸ்ரீநொத் அத்திநொயக்க அம்பொளைற
14. திிருதேகொ�ைளைல எஸ்.தேக. தேதிவ நிரஞ்சன் திிருதேகொ�ைளைல
15. குருநொகல் ஆர்.எம்.எச்.பி. ரத்னாொயக்க குருநொகல்
16. புத்திளம் எஸ்.எல்.ஆர். ஜயநொயக்க புத்திளம்
17. அநுரொதிபுரம் என்.பீ.பீ.ஐ.ஆர்.கு�ரத்னா அநுரொதிபுரம்
18. தபொலன்னாறுளைவ ைதேனாொஜி ொீ. குருசிங்ஹா தபொலன்னாறுளைவ
19. பதுளைள தேக.ஏ.எல்.எஸ்.கலுகம்பிட்டிய பதுளைள
20. தைொனாரொகளைல வீ.டீ.தேஜ. லக்ைொல் தைொனாரொகளைல
21. இரத்திினாபுொி சஜித் பீ. கஸ்துொிசிங்க இரத்திினாபுொி
22. தேககொளைல தேக. ஆர். டப்ளிவ். ஈ. திிசொநொயக்க தேககொளைல
EOG 10 - 0291
,yq;if murhq;f mr;Rj; jpizf;fsj;jpw; gjpg;gpf;fg;ngw;wJ.</t>
  </si>
  <si>
    <t>15da6432-6da4-4f39-9b53-f558a3684a6a</t>
  </si>
  <si>
    <t>2473_34</t>
  </si>
  <si>
    <t>2473/34</t>
  </si>
  <si>
    <t>Ceylon Petroleum Corporation Act No. 28 of 1961, Section 66 — Fuel Price Revision (Gazette 2473/34)</t>
  </si>
  <si>
    <t>1961 අංක 28 දරන ලංකා ඛනිජ තෙල් නීතිගත සංස්ථා පනත, 66 වැනි වගන්තිය - ඉන්ධන මිල සංශෝධනය</t>
  </si>
  <si>
    <t>1961 ஆம் ஆண்டின் 28 ஆம் இலக்க இலங்கை பெற்றோலியக் கூட்டுத்தாபனச் சட்டம், 66 ஆவது பிரிவு - எரிபொருள் விலை திருத்தம்</t>
  </si>
  <si>
    <t>Fuel price revision tariff issued under Section 66 of the Ceylon Petroleum Corporation Act No. 28 of 1961. New per-litre rates around Rs. 279/277/292/294. Part I — General.</t>
  </si>
  <si>
    <t>Any small business using diesel vehicles (delivery van, generator) sees its monthly fuel cost change immediately on the effective date of this tariff.</t>
  </si>
  <si>
    <t>m1/raw/2473_34.pdf</t>
  </si>
  <si>
    <t>Y%S ,xld m%cd;dka;%sl iudcjd§ ckrcfha .eiÜ m;%h
w;s úfYI
,yq;ifr; rdehaf Nrhryprf; FbauR th;j;jkhdg; gj;jphpif
wxl 2473$34 - 2026 fmnrjdß ui 01 jeks bßod - 2026'02'01
2473/ 34 Mk; ,yf;fk; - 2026 Mk; Mz;L ngg;GUtup khjk; 01 Me; jpfjp Qhapw;Wf;fpoik
(murhq;fj;jpd; mjpfhuj;Jld; gpuRupf;fg;gl;lJ)
gFjp I : njhFjp (I) - nghJ
அஅரரசசோோஙங்க்க அஅ��ிிவவிிதாதா்தா்தாலல்க்கைை்்
11996611 ஆஆம்ம் ஆஆண்ண்டிடின்ன் 2288 ஆஆம்ம் இஇலலக்க்கக இஇலலங்ங்கைகைகக பெபெெெற்ற்றற��ோோலிலியயக்க் கூகூட்ட்டுடுத்த்தாதாோோெெனன சசட்ட்டடம்ம்
66 ஆவது ெிோிவின் கீழாோன கட்டகைைகள்
1961 ஆம் ஆண்டின் 28 ஆம் இலக்க இலங்கைக பெெற்ற�ோலியக் கூட்டுத்தாோென சட்டத்தாின் 66 ஆவது ெிோிவின் கீழ் எனக்கு
வழாங்கப்ெட்டுள்ை அதாிகோரங்கைின்ெடி, இலங்கைகச் சனநாோயக றசோசலிசக் குடியரசின் வலுசக்தாி அகைைச்சர் பெெோ�ியியலோைர்
குைோர பெ�யபெகோடி ஆகிய நாோன், கீழ்வரும் ெடி 2026, சனவோி 31 ஆந் தாிகதாி நாள்ைிரவு 12.00 ைணிிமுதால் அமுலுக்கு வரும் வகைகயில்
எோிபெெோருள் விகைலயிகைன தாிருத்தாியகைைக்கின்ற�ன்.
எோிபெெோருள் வகைக தாற்றெோகைதாய விகைல தாிருத்தாியகைைக்கப்ெட்ட விகைல
(லீற்�ர் ஒன்றுக்கு) (லீற்�ர் ஒன்றுக்கு)
லங்கோ ஒட்றடோ டீசல் ரூ. 279.00 ரூ. 277.00
லங்கோ பெெற்ற�ோல் 92 ஒக்றடன் ரூ. 294.00 ரூ. 292.00
பெெோ�ியியலோைர் குகுைைோோரர பெபெ��யயபெபெககோோடிடி,
வலுசக்தாி அகைைச்சர்.
பெகோழும்பு,
2026, சனவோி 31.
EOG 02 - 0056
1A - G 46253 — 04 (2026/02) ,yq;if murhq;f mr;Rj; jpizf;fsj;jpw; gjpg;gpf;fg;ngw;wJ.
,t; mjptpNrl tu;j;jkhdpia www.documents.gov.lk vDk; ,izaj;jsj;jpypUe;J gjptpwf;fk; nra;a KbAk;.</t>
  </si>
  <si>
    <t>768757da-ff21-42ed-8f1f-428ba9289332</t>
  </si>
  <si>
    <t>2474_01</t>
  </si>
  <si>
    <t>2474/01</t>
  </si>
  <si>
    <t>Sri Lanka Standards / Food Act No. 235 — Notice (Gazette 2474/01)</t>
  </si>
  <si>
    <t>Notice under the relevant 17th sub-act (Act No. 235). References Gazette 2026.01.26 amendment and 2473/01. Signed by S.B. Aragoda. Part I — General. Dated 30 January 2026.</t>
  </si>
  <si>
    <t>m1/raw/2474_01.pdf</t>
  </si>
  <si>
    <t>Y%S ,xld m%cd;dka;%sl iudcjd§ ckrcfha .eiÜ m;%h
w;s úfYI
,yq;ifr; rdehaf Nrhryprf; FbauR th;j;jkhdg; gj;jphpif
mjp tpNr\khdJ
wxl 2474/01 - 2026 fmnrjdß ui 02 jeks i÷od - 2026'02'02
2474/01 Mk; ,yf;fk; - 2026 Mk; Mz;L ngg;GU tup khjk; 02 Me; jpfjp jpq;fl;fpoik
(murhq;fj;jpd; mjpfhuj;Jld; gpuRupf;fg;gl;lJ)
gFjp I : njhFjp (I) - nghJ
murhq;f mwptpj;jy;fs;
R. g. eh. V877 /gPvy; 305.
Rq;f mwptpj;jy; (nghJ)
Rq;ff; fl;lisr; rl;lk; (mj;jpahak; 235)
me;epar; nryhtzp tPjk;
Rq;ff; fl;lisr; rl;lj;jpd; (235 Mk; mj;jpahak;) 17 Mk; gpuptpdhy; vdf;F mspf;fg;gl;l jj;Jtq;fis mbg;gilahff;
nfhz;L&gt; v];. gP. mWf;nfhl&gt; Rq;fg; gzpg;ghsu; ehafk; Mfpa ehd;&gt; 2026.02.02 Me; jpfjpapypUe;J mKYf;F tUk;
tifapy;&gt; Rq;ff; fl;lisr; rl;lj;jpd; fPo; (mj;jpahak; 235) mwtplg;gLk; Rq;fj; jPu;itfs;&gt; mguhjq;fs; kw;Wk; gwpKjy;fs;
ahTk; kWgf;f ml;ltizapy; jug;gl;Ls;s nryhtzp tPjq;fspy; nrYj;jg;glYk; ngwg;glYk; Ntz;Lk; vd ,j;jhy;
mwpaj;jUfpd;Nwd;.
2026.01.26 Me; jpfjpa 2473/ 01 Mk; ,yf;f tu;j;jkhdpapy; ntspaplg;gl;l nryhtzp tPjq;fs; njhlu;gpyhd
mwptpj;jy; ,j;jhy; ,uj;Jr; nra;ag;gLfpwJ.
v];. gP. mWf;nfhl&gt;
Rq;fg; gzpg;ghsu; ehafk;.
,yq;ifr; Rq;fk;&gt;
nfhOk;G 11&gt;
2026&gt; rdtup 30.
1A - G 46203 — 09 (2026/01)
,t; mjptpNrl tu;j;jkhdpia www.documents.gov.lk vDk; ,izaj;jsj;jpypUe;J gjptpwf;fk; nra;a KbAk;.
2A I fldgi ( ^I&amp; fPoh - YS% ,xld m%cd;dka;s%l iudcjd§ ckrcfha w;s úfYI .eiÜ m;%h - 2026'02'02
gFjp I : njhFjp (I) - ,yq;ifr; rdehaf Nrhryprf; FbauR tu;j;jkhdg; gj;;jpupif - mjp tpNr\khdJ - 2026.02.02
ml;ltiz
2026.02.02 njhlf;fk; 2026.02.08 Me ; jpfjp tiu mKYfF; tUk ; mee; par;
nryhtzp
njhlu; ehL ehl;Lf; ehzak; ehzaf; nryhtzp
,y. FwpaPL FwpaPL tPjk;
( &amp;gh;)
1. mT];jpNuypah AU mT];jpNuypad; nlhyu; AUD 218.7729
2. g`;Nud; BH g`;Nud; jpdhu; BHD 830.6474
3. gq;fshNj\; BD gq;fshNj\; lhf;fh BDT 2.5620
4. gpNwrpy; BR gpNwrpy; wpay; BRL 60.3499
5. GW}iz BN GW}iz nlhyu; BND 247.0647
6. fdlh CA fNdbad; nlhyu; CAD 231.3688
7. rPdh CN rPdh a{thd; (xg;N\h) CNH 45.0724
8. rPdh CN rPdh a{thd; (nudk; pdg; p) CNY 45.0588
9. nrf;Nfh];rpNyhthf;fpah CZ nrf;Nfh];rpNyhthf;fpah
nfhWdh CZK 15.3317
10. nld;khu;f; DK ldp\; FNuhzu; DKK 49.9464
11. vfpg;J EG vfpg;J gTz; EGP 6.6883
12. A{Nuh tyak; A{Nuh EUR 372.9945
13. fhdh GH fhdh rPb GHS 28.6392
14. n`hq;nfhq ; HK n`hq; nfhq; nlhyu; HKD 40.1183
15. `q;Nfup HU `q;Nfup Nghupd;l; HUF 0.9787
16. ,e;jpah IN ,e;jpa &amp;gh INR 3.4060
17. ,e;NjhNd\pah ID ,e;NjhNd\pad; Wgpah IDR 0.0186
18. &lt;uhd; IR &lt;uhd; wpahy; IRR 0.0000
19. [g;ghd ; JP [g;ghdpa nad; JPY 2.0370
20. N[hu;jhd; JO N[hu;jhd; jpdhu; JOD 442.1286
21. nfhupah KR nfhupad; nthd; KRW 0.2176
22. Fitj; KW Fitj; jpdhu; KWD 1,021.6391
23. kf;fhc MO kf;fhc glhfh MOP 38.9499
24. kNyrpah MY kNyrpah wpd;[pw; MYR 79.4430
25. khiyjPT MV khiyjPT Wg;gpah MVR 20.5649
26. nkhwPrpa]; MU nkhwPrpa]; &amp;gh MUR 6.9014
27. kpad;khu; MM kpad;khu; fpahj; MMK 0.1489
28. Neghsk; NP Neghsk; &amp;gha; NPR 2.1343
29. epA{rpyhe;J NZ epA{rpyhe;J nlhyu; NZD 189.0812
30. ie[Pupah NG ie[Pupah iewh NGN 0.2256
31. Nehu;Nt NO Nehu;Nt FNuhd; NOK 32.5884
32. Xkhd; OM Xkhd; wpahy; OMR 813.5378
33. ghfp];jhd; PK ghfp];jhd; &amp;gha; PKR 1.1191
34. gg;Tth epA{fpdpah PG gg;Tth epA{ fpdpah fpdh PGK 73.2584
35. gpypg;igd;]; PH gpypg;igd;]; ngNrh PHP 5.3089
36. Nghye;J PL Nghye;J ];Nyhl;b PLN 88.6585
37. fl;lhu; QA fl;lhu; wpahy; QAR 85.9152
38. u\;ah RU u\;ah &amp;gpy; RUB 4.1368
I fldgi ( ^I&amp; fPoh - YS% ,xld m%cd;dka;s%l iudcjd§ ckrcfha w;s úfYI .eiÜ m;%h - 2026'02'02 3A
gFjp I : njhFjp (I) - ,yq;ifr; rdehaf Nrhryprf; FbauR tu;j;jkhdg; gj;;jpupif - mjp tpNr\khdJ - 2026.02.02
ml;ltiz (njhlh;r;rp)
njhlu; ehL ehl;Lf; ehzak; ehzaf; nryhtzp
,y. FwpaPL FwpaPL tPjk;
(,yq;if &amp;ghtpy;)
39. rt{jp mNugpah SA rt{jp mNugpah wpahy; SAR 83.5077
40. rPnry;]; SC rPnry;]; &amp;gha; SCR 22.0007
41. rpq;fg;G{u; SG rpq;fg;G{u; nlhyu; SGD 247.0647
42. njd; Mgpupf;fh ZA njd; Mgpupf;fh nud;l; ZAR 19.7340
43. RtPld; SE RtPb\; FNuhzu; SEK 35.3284
44. Rtpw;ru;yhe;J CH Rtp]; gpuhq; CHF 407.2343
45. jha;thd; TW jha;thd; nlhyu; TWD 9.9689
46. jha;yhe;J TH jha;yhe;J ghj; THB 9.9670
47. If;fpa muG ,uhr;rpak; AE If;fpa muG ,uhr;rpak;
jpu;fhk; AED 85.2720
48. If;fpa ,uhr;rpak; GB ];Nuypq; gTz; GBP 430.5614
49. If;fpa mnkupf;fh ehLfs; US mnkupf;fd; nlhyu; USD 313.2039
50. rk;gpah (gioa) ZM rk;gpah f;tr;rh (gioa) ZMK 15.7627
EOG 01 - 0295
,yq;if murhq;f mr;Rj; jpizf;fsj;jpw; gjpg;gpf;fg;ngw;wJ.</t>
  </si>
  <si>
    <t>26d547a3-12f4-4be4-9ae7-9c6d0e00f0cf</t>
  </si>
  <si>
    <t>2474_02</t>
  </si>
  <si>
    <t>2474/02</t>
  </si>
  <si>
    <t>National Environmental Act, No. 47 of 1980 — Environmental Protection Area / regulation (Gazette 2474/02)</t>
  </si>
  <si>
    <t>1980 අංක 47 දරන ජාතික පාරිසරික පනත - පාරිසරික ආරක්ෂිත ප්‍රදේශය ප්‍රකාශයට පත් කිරීම</t>
  </si>
  <si>
    <t>1980 ஆம் ஆண்டின் 47 ஆம் இலக்க தேசிய சுற்றாடல் சட்டம் - சுற்றாடல் பாதுகாப்புப் பகுதி அறிவித்தல்</t>
  </si>
  <si>
    <t>Order under the National Environmental Act, No. 47 of 1980, declaring an Environmental Protection Area or issuing regulations governing land use, EIA requirements, and prohibited activities within the gazetted boundary.</t>
  </si>
  <si>
    <t>National Environmental Act, No. 47 of 1980</t>
  </si>
  <si>
    <t>m1/raw/2474_02.pdf</t>
  </si>
  <si>
    <t>2ce1ee71-276c-4a29-88f6-9ec711057f15</t>
  </si>
  <si>
    <t>2474_03</t>
  </si>
  <si>
    <t>2474/03</t>
  </si>
  <si>
    <t>Title Registration Act, No. 21 of 1998, Section 14 — Commissioner of Title Settlement decision (Gazette 2474/03)</t>
  </si>
  <si>
    <t>Commissioner of Title Settlement's decision under Section 14 of the Title Registration Act No. 21 of 1998. Part III — Lands. Land Parcel No 1: 88 of Block 7 in Cadastral Map No. 2102/19 references Gazette 1: 432, references Gazette 1: 154, 1: 224. Dated 21 February 2026.</t>
  </si>
  <si>
    <t>m1/raw/2474_03.pdf</t>
  </si>
  <si>
    <t>III �ක ස�ටස - ශ්‍රී ��ක ස� ‍රා���්ත්‍රික ස සම�ා�� ජ ාජයා�� ි ව ශෙ��ග ��ස ප ්‍ර� - 2026.02.02 1 A
பகுத� III - இலங்�கச் சனந�யக �ச�சலிசக் குடியரசு வர்த்தம�னப் பத்த����க - அத� வ��சஷம�னது - 2026.02.02
ශ්‍රී ��ක� ප්‍රජ���්ත්‍රික ස��ජ��දී ජනරජ�� ��සට් පත්‍රය
இலங்�கச் சனந�யக �ச�சலிசக் குடியரசு வர்த்தம�னப் பத்த����க
ි ව ශෙ��ග அத� வ��சஷம�னது
ි�ක ස 2474/03 - 2026 �්බය��රි මස 02 ��නි සදු�� - 2026.02.02
2474/03 ஆம் இலக்கம் - 2026 ஆம் ஆண்டு �பப்புருவ�� ம�தம் 02 ஆந் த�கத� த�ங்கட்க�ழ�ம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12 ஆம் ப���வ�ன்
ந�யத�கள�ன்படி 2018.12.17 ஆந் த�கத�ய, 2102/19 ஆம் இலக்க வர்த்தம�ன�ய�ல் உ��ய மு�றய�ல் �வள�ய�டப்பட்டதும், க�ண�க்க�ன
உ���மக் �க���க்�கக�ளக் �க�ருக�ன்றதும�ன 62/0548 ஆம் இலக்க அற�வ�த்தலில் குற�ப்பீடு �சய்யப்பட்ட சப்ப�ரகமுவ ம�க�ணத்த�ல்,
இரத்த�னபு�� ம�வட்டத்த�ல், இரத்த�னபு�� ப�ர�தச �சயல�ளர் ப���வ�ல் இல. 152பீ - �வரலுப க�ர�ம அலுவலர் ப���வ�னுள் �வரலு�ப
க�ர�மத்த�ல் அ�மந்துள்ளதும் 620301 ஆம் இலக்க கடத்த�ரல் அள�வ வ�ரபடத்த�ல் ப���வு இல. 06 இல் அடங்க�யுள்ளதும�ன 1 : 151,
1 : 154 மற்றும் 1 : 224 ஆம் இலக்கங்க�ளக் �க�ண்ட க�ண�த்துண்டுகளுக்க�ன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“ம�ஹ�கத �மதுர”,
இரஜமல்வத்த வீத�,
பத்தரமுல்�ல,
2025 ஆம் ஆண்டு ந�வம்பர் ம�தம் 21 ஆம் த�கத�.
1A - G 46200 - 03 (2026/02)
மு. கு. - இவ் அத�வ��ஷட வர்த்தம�ன��ய www.documents.gov.lk எனும் இ�ணயத்தளத்த�லிருந்து பத�வ�றக்கம் �சய்ய முடியும்.
2 A III �ක ස�ටස - ශ්‍රී ��ක ස� ‍රා���්ත්‍රික ස සම�ා�� ජ ාජයා�� ි ව ශෙ��ග ��ස ප ්‍ර� - 2026.02.02
பகுத� III - இலங்�கச் சனந�யக �ச�சலிசக் குடியரசு வர்த்தம�னப் பத்த����க - அத� வ��சஷம�னது - 2026.02.02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1:151 0.0176 வ��ஜச�ங்ஹ ஆரச்ச��க தர்மப�ல 613385037V முழுவதும் 1வது வகுப்பு க�.து.இல. 140 க�.ம.ஆ
இல. 20/7, சமன்இடம், அணுகுவழ� ந�பந்த�னக்கு
இரத்த�னபு��. �சவக உட்பட்டது.
உ��த்த�ற்கு
உட்பட்டது.
1:154 0.0342 வ��ஜச�ங்ஹ ஆரச்ச��க தர்மப�ல 613385037V முழுவதும் 1வது வகுப்பு _ க�.ம.ஆ
இல. 20/7, சமன்இடம், ந�பந்த�னக்கு
இரத்த�னபு��. உட்பட்டது
1:224 0.0324 வ�க்ரமச�ங்ஹ த���ந�யக�க 200377911600 முழுவதும் 1வது வகுப்பு க�.து.இல. 207 க�.ம.ஆ
அஞ்சலீ �க�ஷல்ய� த���ந�யக மற்றும் ந�பந்த�னக்கு
இல. 14/2, சமன்இடம், 222 உட்பட்டது.
இரத்த�னபு��. அணுகுவழ�
�சவக
உ��த்த�ற்கு
உட்பட்டது
க�ன�ம�ல�க
சந்த�ம� சுவர்ண
கும���
மற்றும்
வ�க்ரமச�ங்ஹ
த���ந�யக�க
சுச�ல் கும�ர
த���ந�யக
ஆக��ய�ரது
ச�வ�ய உ��த்த�ற்கு
உட்பட்டது.
EOG 01 - 0287/1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12 ஆம் ப���வ�ன்
ந�யத�கள�ன்படி 2018.05.11 ஆந் த�கத�ய, 2070/39 ஆம் இலக்க வர்த்தம�ன�ய�ல் உ��ய மு�றய�ல் �வள�ய�டப்பட்டதும், க�ண�க்க�ன
உ���மக் �க���க்�கக�ளக் �க�ருக�ன்றதும�ன 62/0532 ஆம் இலக்க அற�வ�த்தலில் குற�ப்பீடு �சய்யப்பட்ட சப்ப�ரகமுவ ம�க�ணத்த�ல்,
இரத்த�னபு�� ம�வட்டத்த�ல், இரத்த�னபு�� ப�ர�தச �சயல�ளர் ப���வ�ல் இல. 152பீ - �வரலுப க�ர�ம அலுவலர் ப���வ�னுள் �வரலு�ப
க�ர�மத்த�ல் அ�மந்துள்ளதும் 620301 ஆம் இலக்க கடத்த�ரல் அள�வ வ�ரபடத்த�ல் ப���வு இல. 07 இல் அடங்க�யுள்ளதும�ன 1 : 20 ஆம்
III �ක ස�ටස - ශ්‍රී ��ක ස� ‍රා���්ත්‍රික ස සම�ා�� ජ ාජයා�� ි ව ශෙ��ග ��ස ප ්‍ර� - 2026.02.02 3 A
பகுத� III - இலங்�கச் சனந�யக �ச�சலிசக் குடியரசு வர்த்தம�னப் பத்த����க - அத� வ��சஷம�னது - 2026.02.02
இலக்கங்க�ளக் �க�ண்ட க�ண�த்துண்டுகளுக்க�ன உ��த்து �த�டர்ப�க இத�ன�டு இ�ணக்கப்பட்ட அட்டவ�ணய�ல் தரப்பட்டுள்ள
வ�ற�ன எனது த�ர்ம�னத்�த இத்த�ல் �வள�ப்படுத்துக�ன்�றன்.
பீ.ச�.டீ. ச��கர�,
க�ண� உ��த்து ந�ர்ணய ஆ�ணய�ளர் ந�யகம்.
க�ண� உ��த்து ந�ர்ணயத் த��ணக்களம்,
இல. 1200/6, “ம�ஹ�கத �மதுர”,
இரஜமல்வத்த வீத�,
பத்தரமுல்�ல,
2025 ஆம் ஆண்டு ந�வம்பர் ம�தம் 21 ஆம் த�கத�.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1:20 0.0614 பன்ன�ல மஹகமர�ல்ல��க சுரங்க� 197972902656 முழுவதும் 1வது வகுப்பு க�.து.இல. க�.ம.ஆ
வ�சன� வ��ஜ�சகர 620301/06/37 ந�பந்த�னக்கு
இல. 07, சமன்இடம், இரத்த�னபு��. அணுகுவழ� உட்பட்டது
�சவகத்த�ற்கு
உ��த்த�ற்கு
உட்பட்டது.
EOG 01 - 0287/2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12 ஆம் ப���வ�ன்
ந�யத�கள�ன்படி 2020.02.10 ஆந் த�கத�ய, 2162/04 ஆம் இலக்க வர்த்தம�ன�ய�ல் உ��ய மு�றய�ல் �வள�ய�டப்பட்டதும், க�ண�க்க�ன
உ���மக் �க���க்�கக�ளக் �க�ருக�ன்றதும�ன 62/0587 ஆம் இலக்க அற�வ�த்தலில் குற�ப்பீடு �சய்யப்பட்ட சப்ப�ரகமுவ ம�க�ணத்த�ல்,
இரத்த�னபு�� ம�வட்டத்த�ல், இரத்த�னபு�� ப�ர�தச �சயல�ளர் ப���வ�ல் இல. 153பீ - மலங்கம க�ர�ம அலுவலர் ப���வ�னுள் மலங்கம,
�க�ஸ்�க�ட க�ர�மத்த�ல் அ�மந்துள்ளதும் 620334 ஆம் இலக்க கடத்த�ரல் அள�வ வ�ரபடத்த�ல் ப���வு இல. 17 இல் அடங்க�யுள்ளதும�ன
1 : 70 ஆம் இலக்கங்க�ளக் �க�ண்ட க�ண�த்துண்டுகளுக்க�ன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“ம�ஹ�கத �மதுர”,
இரஜமல்வத்த வீத�,
பத்தரமுல்�ல,
2025 ஆம் ஆண்டு ந�வம்பர் ம�தம் 21 ஆம் த�கத�.
4 A III �ක ස�ටස - ශ්‍රී ��ක ස� ‍රා���්ත්‍රික ස සම�ා�� ජ ාජයා�� ි ව ශෙ��ග ��ස ප ්‍ර� - 2026.02.02
பகுத� III - இலங்�கச் சனந�யக �ச�சலிசக் குடியரசு வர்த்தம�னப் பத்த����க - அத� வ��சஷம�னது - 2026.02.02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1:170 0.1009 தந்த்த����க சதுரங்க� ப�ரப�ச�� 200771700621 முழுவதும் 1வது வகுப்பு க�.து.இல. 162 _
பீ��ஸ் அணுகுவழ�
இல. 69/1/ஏ, 1வது ஒழுங்�க, �சவகத்த�ற்கு
படு�ஹன, ஹ��தல்லன, உட்பட்டது.
இரத்த�னபு��. தந்த����க
வீமன் பீ��ஸ்
என்பவரது
ச�வ�ய
உ��த்த�ற்கு
உட்பட்டது.
EOG 01 - 0287/3
இலங்�க அரச�ங்க அச்சுத் த��ணக்களத்த�ல் பத�ப்ப�க்கப்�பற்றது.</t>
  </si>
  <si>
    <t>f165f2f2-22c3-4df2-9a66-08f4c7b882eb</t>
  </si>
  <si>
    <t>2474_04</t>
  </si>
  <si>
    <t>2474/04</t>
  </si>
  <si>
    <t>Title Registration Act, No. 21 of 1998, Section 14 — Commissioner of Title Settlement's decision under Section 14 (Gazette 2474/04)</t>
  </si>
  <si>
    <t>m1/raw/2474_04.pdf</t>
  </si>
  <si>
    <t>ee3ad9f4-43aa-45cb-a613-b79497067dbb</t>
  </si>
  <si>
    <t>2474_05</t>
  </si>
  <si>
    <t>2474/05</t>
  </si>
  <si>
    <t>General Government Notification — Currency / Customs / Tax Department (Gazette 2474/05)</t>
  </si>
  <si>
    <t>රජයේ දැන්වීම — මුදල් නෝට්ටු නිකුත් කිරීමේ දෙපාර්තමේන්තුව / රේගු / දේශීය ආදායම් දෙපාර්තමේන්තුව</t>
  </si>
  <si>
    <t>அரசாங்க அறிவித்தல் — நாணய நோட்டுகள் வெளியீட்டுத் திணைக்களம் / சுங்கம் / உள்நாட்டு வருமான திணைக்களம்</t>
  </si>
  <si>
    <t>General Government Notification jointly issued by the Currency Notes Issue Department, Customs Department, and Inland Revenue Department. Part I — General. Reference EOG 01-0001.</t>
  </si>
  <si>
    <t>m1/raw/2474_05.pdf</t>
  </si>
  <si>
    <t>Y%S ,xld m%cd;dka;%sl iudcjd§ ckrcfha .eiÜ m;%h
w;s úfYI
,yq;ifr; rdehaf Nrhryprf; FbauR th;j;jkhdg; gj;jphpif
mjp tpNr\khdJ
wxl 2474$05 - 2026 fmnrjdß ui 02 jeks i÷od - 2026'02'02
2474/ 05 Mk; ,yf;fk; - 2026 Mk; Mz;L ngg;GUtup khjk; 02 Me; jpfjp jpq;fl;fpoik
(murhq;fj;jpd; mjpfhuj;Jld; gpuRupf;fg;gl;lJ)
gFjp I : njhFjp (I) - nghJ
murhq;f mwptpj;jy;fs;
குகுருருநாநாாாககல்ல் ((வவடடமம��ல்ல்)) ககத்த்மம��ாாலிலிக்க்கக ஆஆயயாாிின்ன் ��ாாவவ��கக�� ககல்ல்வவாாாாிி ஆஆலலயயத்த்��ிில்ல் ��வவக்க்ககாாலலம்ம் ��ற்ற்றுறும்ம் புபுனினிிி�� வவாாரரம்ம்
தத��ாாடடர்ர்பாபாாாகக
குருநாாகல் நாிர்வாக �ாவட்டத்�ில் �ாவ�க� பாிரம�ச தசயலாளர் பாிாிவில் 681 ஆம் இலக்க கிரா� அலுவலகப் பாிாிவில் கல்வாாி
ஆலயத்�ில் வருடாந்�ம் நாடாத்�ப்பாடும் �வக்காலம் இம்முறைையும் பாாரம்பாாிய முறைையில் 2026, தபாப்புருவாி 18 ஆந் �ிக�ி மு�ல்
2026, ஏப்பாிைல் 05 ஆந் �ிக�ி வறைர இடம் தபாறும் என்பாறை� தபாாது �க்களுக்கு இத்�ால் அைியத் �ருகின்மைன்.
யாத்�ிறைர கட்டறைளச் சட்டத்�ின் கீழ் பாிரகடனிப்பாடுத்�ப்பாட்டிருக்கும் சட்ட �ிட்டங்கள் இத்�வக்காலம் இடம்தபாறும்
காலப்பாகு�ிக்கும் தபாாரு ந்தும் .
டீடீ.. எஎம்ம்.. மமகக.. ஸிஸி.. ��ிிஸாஸாாாநாநாாாயயக்க்கக,,
குருநாாகல் �ாவட்ட தசயலாளர்/ அரசாங்க அ�ிபார்,
உள்நாாட்டு அலுவல்கள் ம�ல�ிக தசயலாளர்,
�ாவட்ட தசயலாளர் அலுவலகம்,
குருநாாகல்
2026, சனிவாி 22.
EOG 02 - 0001
1A - G 46205 — 06 (2026/02) ,yq;if murhq;f mr;Rj; jpizf;fsj;jpw; gjpg;gpf;fg;ngw;wJ.
,t; mjptpNrl tu;j;jkhdpia www.documents.gov.lk vDk; ,izaj;jsj;jpypUe;J gjptpwf;fk; nra;a KbAk;.</t>
  </si>
  <si>
    <t>e71412ef-e9d8-4114-9c67-9e56073d2949</t>
  </si>
  <si>
    <t>2474_06</t>
  </si>
  <si>
    <t>2474/06</t>
  </si>
  <si>
    <t>Industrial Disputes Act (Chapter 131), Section 4(1) — Industrial Award (Gazette 2474/06)</t>
  </si>
  <si>
    <t>m1/raw/2474_06.pdf</t>
  </si>
  <si>
    <t>72dc6e32-cfca-42ec-9cf9-d6bb675dd569</t>
  </si>
  <si>
    <t>2474_07</t>
  </si>
  <si>
    <t>2474/07</t>
  </si>
  <si>
    <t>Title Registration Act, No. 21 of 1998, Section 14 — Commissioner of Title Settlement decision (Gazette 2474/07)</t>
  </si>
  <si>
    <t>m1/raw/2474_07.pdf</t>
  </si>
  <si>
    <t>III �ක ස�ටස - ශ්‍රී ��ක ස� ‍රා���්ත්‍රික ස සම�ා�� ජ ාජයා�� ි ව ශෙ��ග ��ස ප ්‍ර� - 2026.02.02 1 A
பகுத� III - இலங்�கச் சனந�யக �ச�சலிசக் குடியரசு வர்த்தம�னப் பத்த����க - அத� வ��சஷம�னது - 2026.02.02
ශ්‍රී ��ක� ප්‍රජ���්ත්‍රික ස��ජ��දී ජනරජ�� ��සට් පත්‍රය
இலங்�கச் சனந�யக �ச�சலிசக் குடியரசு வர்த்தம�னப் பத்த����க
ි ව ශෙ��ග அத� வ��சஷம�னது
ි�ක ස 2474/07 - 2026 �්බය��රි මස 02 ��නි සදු�� - 2026.02.02
2474/07 ஆம் இலக்கம் - 2026 ஆம் ஆண்டு �பப்புருவ�� ம�தம் 02 ஆந் த�கத� த�ங்கட்க�ழ�ம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55 ஆம் ப���வ�ன்
ந�யத�கள�ன்படி 2025.05.03 ஆந் த�கத�ய, க�ண�க்க�ன உ���மக் �க���க்�கக�ளக் �க�ருக�ன்றதும�ன 2434/19 ஆம் இலக்க அற�வ�த்தலில்
குற�ப்பீடு �சய்யப்பட்ட மத்த�ய ம�க�ணத்த�ல், கண்டி ம�வட்டத்த�ல், �த�லுவ ப�ர�தச �சயல�ளர் ப���வ�ல், இல. 1143 - துன்�தண�ய
க�ர�ம அலுவலர் ப���வ�னுள் துன்�தண�ய க�ர�மத்த�ல் அ�மந்துள்ளதும் 320096 ஆம் இலக்க கடத்த�ரல் அள�வ வ�ரபடத்த�ல் ப���வு இல.
03 இல் அடங்க�யுள்ளதும�ன 26 ஆம் இலக்கத்�தக் �க�ண்ட க�ண�த்துண்டிற்க�ன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“ம���கத �மதுர”,
இரஜமல்வத்த வீத�,
பத்தரமுல்�ல,
2025 ஆம் ஆண்டு ந�வம்பர் ம�தம் 24 ஆம் த�கத�.
1A - G 46207 - 03 (2026/02)
மு. கு. - இவ் அத�வ��ஷட வர்த்தம�ன��ய www.documents.gov.lk எனும் இ�ணயத்தளத்த�லிருந்து பத�வ�றக்கம் �சய்ய முடியும்.
2 A III �ක ස�ටස - ශ්‍රී ��ක ස� ‍රා���්ත්‍රික ස සම�ා�� ජ ාජයා�� ි ව ශෙ��ග ��ස ප ්‍ර� - 2026.02.02
பகுத� III - இலங்�கச் சனந�யக �ச�சலிசக் குடியரசு வர்த்தம�னப் பத்த����க - அத� வ��சஷம�னது - 2026.02.02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(��க்டய�ர்) முகவ��யும் அட்�ட வ�ஸ்த�ரணம் இயல்பும் த�க களுள் எவ்
துண்டின் இல. தடுப்புக் வ�கக்கும்
இல. கட்ட�ள அ�மந்த�ருப்
பற்ற�ய ப�ன் வ�பரங்
வ�பரங்கள் கள்
26 0.0301 லீமஸ்கஸ்�தன்�ன �கதர மலிக் 762112728V முழுவதும் 1வது வகுப்பு
ச�ம�ந்த பண்ட�ர நன்தன,
கன்ன��ல,
துன்�தண�ய, கம்ப�ள.
EOG 02 - 0003/1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55 ஆம் ப���வ�ன்
ந�யத�கள�ன்படி 2025.05.03 ஆந் த�கத�ய, க�ண�க்க�ன உ���மக் �க���க்�கக�ளக் �க�ருக�ன்றதும�ன 2434/19 ஆம் இலக்க அற�வ�த்தலில்
குற�ப்பீடு �சய்யப்பட்ட மத்த�ய ம�க�ணத்த�ல், கண்டி ம�வட்டத்த�ல், �த�லுவ ப�ர�தச �சயல�ளர் ப���வ�ல், இல. 1143 - துன்�தண�ய
க�ர�ம அலுவலர் ப���வ�னுள் துன்�தண�ய க�ர�மத்த�ல் அ�மந்துள்ளதும் 320096 ஆம் இலக்க கடத்த�ரல் அள�வ வ�ரபடத்த�ல் ப���வு
இல. 03 இல் அடங்க�யுள்ளதும�ன 20 ஆம் இலக்கத்�தக் �க�ண்ட க�ண�த்துண்டிற்க�ன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“ம���கத �மதுர”,
இரஜமல்வத்த வீத�,
பத்தரமுல்�ல,
2025 ஆம் ஆண்டு ந�வம்பர் ம�தம் 24 ஆம் த�கத�.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(��க்டய�ர்) முகவ��யும் அட்�ட வ�ஸ்த�ரணம் இயல்பும் த�க களுள் எவ்
துண்டின் இல. தடுப்புக் வ�கக்கும்
இல. கட்ட�ள அ�மந்த�ருப்
பற்ற�ய ப�ன் வ�பரங்
வ�பரங்கள் கள்
20 0.0863 லீமகஸ்�தன்�ன �கதர புஷ்பக 883393635V முழுவதும் 1வது வகுப்பு
அநுருத்த பண்ட�ர நன்தன,
கன்த��ல
துன்�தண�ய, கம்ப�ள.
EOG 02 - 0003/2
இலங்�க அரச�ங்க அச்சுத் த��ணக்களத்த�ல் பத�ப்ப�க்கப்�பற்றது.</t>
  </si>
  <si>
    <t>97ded660-d7a6-4c76-8781-8b6b3725f728</t>
  </si>
  <si>
    <t>2474_08</t>
  </si>
  <si>
    <t>2474/08</t>
  </si>
  <si>
    <t>Title Registration Act, No. 21 of 1998, Section 14 — Commissioner of Title Settlement decision (Gazette 2474/08)</t>
  </si>
  <si>
    <t>m1/raw/2474_08.pdf</t>
  </si>
  <si>
    <t>III ෙක(cid:675)ටස – (cid:636) ලංකා (cid:541)ජාතා(cid:486)(cid:437)ක සමාජවා(cid:463) ජනරජෙ(cid:591) අ(cid:431) (cid:618)ෙශෂ ගැස(cid:376) ප(cid:436)ය – 2026.02.02 1 A
ப(cid:8065)தி III – இல(cid:8113)ைக(cid:8114) சனநாயக ேசாச(cid:8098)ச(cid:8112) (cid:8065)(cid:8074)யர(cid:8070) வ(cid:8125)(cid:8119)தமான(cid:8122) ப(cid:8119)திாிைக - அதி விேசஷமான(cid:8080) – 2026.02.02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2474/08 - 2026 ෙපබරවා(cid:604) මස 02 වැ(cid:487) ස(cid:511)දා - 2025.02.02
2474/08 ஆ(cid:8123) இல(cid:8112)க(cid:8123) - 2026 ஆ(cid:8123) ஆ(cid:8118)(cid:8076) ெப(cid:8122)(cid:8087)(cid:8094)வாி மாத(cid:8123) 02 ஆ(cid:8120) திகதி தி(cid:8113)க(cid:8117)கிழைம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2025.07.01 ஆ(cid:8120) திகதிய காணி(cid:8112)கான உாிைம(cid:8112) ேகாாி(cid:8112)ைககைள(cid:8112) ேகா(cid:8094)கி(cid:8121)ற(cid:8080)மான 2443/24 ஆ(cid:8123) இல(cid:8112)க அறிவி(cid:8119)த(cid:8098)(cid:8127)
(cid:8065)றி(cid:8122)(cid:8086)(cid:8076) ெச(cid:8124)ய(cid:8122)ப(cid:8117)ட ெத(cid:8121) மாகாண(cid:8119)தி(cid:8121), மா(cid:8119)தைற மாவ(cid:8117)ட(cid:8119)தி(cid:8127), மா(cid:8119)தைற பிரேதச ெசயலாள(cid:8125) பிாிவி(cid:8127), இல. 417(cid:8075) - உய(cid:8121)வ(cid:8119)த
வட(cid:8112)(cid:8065) கிராம அ(cid:8100)வல(cid:8125) பிாிவி(cid:8084)(cid:8128) உய(cid:8121)வ(cid:8119)த வட(cid:8112)(cid:8065) கிராம(cid:8119)தி(cid:8127) அைம(cid:8120)(cid:8080)(cid:8128)ள(cid:8080)(cid:8123) 820021 ஆ(cid:8123) இல(cid:8112)க கட(cid:8119)திர(cid:8127) அளைவ
வைரபட(cid:8119)தி(cid:8127) பிாி(cid:8107) இல. 02 இ(cid:8127) அட(cid:8113)கி(cid:8092)(cid:8128)ள(cid:8080)மான 1:261 ஆ(cid:8123) இல(cid:8112)க(cid:8119)ைத(cid:8112) ெகா(cid:8118)ட காணி(cid:8119)(cid:8080)(cid:8118)(cid:8074)(cid:8126)கான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நெவ(cid:8123)ப(cid:8125) மாத(cid:8123) 27 ஆ(cid:8120) திகதி.
1A - G 46208 - 03 (2026 / 02)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2026.02.02
ப(cid:8065)தி III – இல(cid:8113)ைக(cid:8114) சனநாயக ேசாச(cid:8098)ச(cid:8112) (cid:8065)(cid:8074)யர(cid:8070) வ(cid:8125)(cid:8119)தமான(cid:8122) ப(cid:8119)திாிைக - அதி விேசஷமான(cid:8080) – 2026.02.02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1:261 0.0186 ேஹவா பா(cid:8107)லேக அமில நிேராஷ(cid:8121) 197710703557 (cid:8089)(cid:8104)வ(cid:8080)(cid:8123) 1ஆவ(cid:8080) வ(cid:8065)(cid:8122)(cid:8087) கா.(cid:8080).இல. 1979 இல.17
இல. 42, திஸாெகவ(cid:8119)த, 820021/02/ எ(cid:8121)ற
உய(cid:8121)வ(cid:8119)த, மா(cid:8119)தைற. 01/258, 262 ேதசிய
அ(cid:8078)(cid:8065)வழி (cid:8106)(cid:8076)
ேசவக அபிவி(cid:8094)(cid:8119)தி
உாி(cid:8119)தி(cid:8126)(cid:8065) அதிகார
உ(cid:8117)ப(cid:8117)ட(cid:8080). சைப
நிப(cid:8120)த
ைன(cid:8112)(cid:8065)
உ(cid:8117)ப(cid:8117)ட(cid:8080).
EOG 02 - 0004
இல(cid:8113)ைக அரசா(cid:8113)க அ(cid:8114)(cid:8070)(cid:8119) திைண(cid:8112)கள(cid:8119)தி(cid:8127) பதி(cid:8122)பி(cid:8112)க(cid:8122)ெப(cid:8126)ற(cid:8080).</t>
  </si>
  <si>
    <t>3c680ce3-27eb-45b2-834f-4df4d9c04632</t>
  </si>
  <si>
    <t>2474_09</t>
  </si>
  <si>
    <t>2474/09</t>
  </si>
  <si>
    <t>Title Registration Act, No. 21 of 1998, Section 14 — Commissioner of Title Settlement decision (Gazette 2474/09)</t>
  </si>
  <si>
    <t>m1/raw/2474_09.pdf</t>
  </si>
  <si>
    <t>III ක ොටස – ශ්‍රී කා ප ‍රජාපාප්ත්‍රි සජපජාදප ජ ජාජයජාකඅ ි ව ශෙක ග සටස ප ්‍රය – 2012.10.25 1 A
஧குதழ III – இ஬ங்கைச் ச஦஥ளனை சசளசலிசக் குடினபசு யர்த்தநள஦ப் ஧த்தழளழகை - அதழ யழசசரநள஦து – 2012.10.25
ශ්‍රී ඼ංකා ප්‍රජාාාා්ත්‍රික සමාජාලාදී ජානරජායේ ගැසට් පත්‍රය
இ஬ங்கைச் ச஦஥ளனை சசளசலிசக் குடினபசு யர்த்தநள஦ப் ஧த்தழளழகை
ි ව ශෙක ග அதழ யழசசரநள஦து
ිා 2474/09 - 2026 ක්බයදපරි ජස 02 දටනි සඳුදප - 2026.02.02
(அபசளங்ைத்தழன் அதழைளபத்துடன் ஧ழபசுளழக்ைப்஧ட்டது)
஧குதழ III - ைளணழைள்
உளழத்துப் ஧தழவு சசய்தல்
1998 ஆம் ஆண்டின் 21 ஆம் இ஬க்ை உளழத்துப் ஧தழவுச் சட்டம்
14 ஆம் ஧ழளழயழன் ைவழ் உளழத்து ஥ழர்ணன ஆகணனள஭ளழன் தவர்நள஦த்கத சய஭ழப்஧டுத்தல்
1998 ஆம் ஆண்டின் 21 ஆம் இ஬க்ை உளழத்துப் ஧தழவுச் சட்டத்தழன் 14 ஆம் ஧ழளழயழன் ைவழ் எ஦க்குளழத்தளக்ைப்஧ட்டுள்஭ தத்துயங்ை஭ழன்
஧னக஦க்சைளண்டு, ைவசம ஒப்஧நழட்டுள்஭ ஥ளன், 1998 ஆம் ஆண்டின் 21 ஆம் இ஬க்ை உளழத்துப் ஧தழவுச் சட்டத்தழன் 55 ஆம் ஧ழளழயழன்
஥ழனதழை஭ழன்஧டி 2025.05.15 ஆம் தழைதழன, ைளணழக்ைள஦ உளழகநக் சைளளழக்கைைக஭க் சைளருைழன்஫துநள஦ 2436/06 ஆம் இ஬க்ை அ஫ழயழத்தலில்
கு஫ழப்பீடு சசய்னப்஧ட்ட சதன் நளைளணத்தழல், அம்஧ளந்சதளட்கட நளயட்டத்தழல், ச஧லிஅத்த ஧ழபசதச சசன஬ள஭ர் ஧ழளழயழல், இ஬. 346 -
ைம்புஸ்றளய஬ ைழமக்கு ைழபளந அலுய஬ர் ஧ழளழயழனுள் ைம்புஸ்றளய஬ ைழபளநத்தழல் அகநந்துள்஭தும் 830156 ஆம் இ஬க்ை ைடத்தழபல் அ஭கய
யகப஧டத்தழல் ஧ழளழவு இ஬. 03 இல் அடங்ைழயுள்஭துநள஦ 1:121 ஆம் இ஬க்ைத்கதக் சைளண்ட ைளணழத்துண்டிற்ைள஦ உளழத்து சதளடர்஧ளை
இதச஦ளடு இகணக்ைப்஧ட்ட அட்டயகணனழல் தபப்஧ட்டுள்஭யள஫ள஦ எ஦து தவர்நள஦த்கத இத்தளல் சய஭ழப்஧டுத்துைழன்ச஫ன்.
பீ.சவ.டீ. சழசைபள,
ைளணழ உளழத்து ஥ழர்ணன ஆகணனள஭ர் ஥ளனைம்.
ைளணழ உளழத்து ஥ழர்ணனத் தழகணக்ை஭ம்,
இ஬. 1200/6, “நழலழைத சநதுப”,
இபஜநல்யத்த வீதழ,
஧த்தபமுல்க஬,
2026 ஆம் ஆண்டு தழசசம்஧ர் நளதம் 01 ஆம் தழைதழ.
1A - G 46209 - 03 (2026 / 02)
மு. கு. - இவ் அதழயழசரட யர்த்தநள஦ழகன www.documents.gov.lk எனும் இகணனத்த஭த்தழலிருந்து ஧தழயழ஫க்ைம் சசய்ன முடியும்.
2 A III ක ොටස – ශ්‍රී කා ප ‍රජාපාප්ත්‍රි සජපජාදප ජ ජාජයජාකඅ ි ව ශෙක ග සටස ප ්‍රය – 2026.02.02
஧குதழ III – இ஬ங்கைச் ச஦஥ளனை சசளசலிசக் குடினபசு யர்த்தநள஦ப் ஧த்தழளழகை - அதழ யழசசரநள஦து – 2026.02.02
அட்டயகண
ைளணழ யழசசட
தளள் யமக்ைழற்கு அல்஬து
நற்றும் யழஸ்தவபணம் சசளந்தக்ைளபர்/ சசளந்தக் சதசழன உளழத்துக்குளழன உளழத்தழ஦து உட்஧ட்ட த஦ழனளருக்
ைளணழத் ைளபர்ை஭ழன் முழுப் ச஧னர்ைளும் அகடனள஭ இடத்தழன் யகுப்பும் ஈடு, குத் குளழன சட்டங்
துண்டின் (சலக்டனளர்) முையளழயும் அட்கட யழஸ்தவபணம் இனல்பும் தகை ைளுள் எவ்
இ஬. இ஬. தடுப்புக் யகைக்கும்
ைட்டக஭ அகநந்தழருப்
஧ற்஫ழன ஧ழன் யழ஧பங்
யழ஧பங்ைள் ைள்
1:121 0.0415 வீபசழங்ல குணசச஦ 196213101107 முழுயதும் 1யது யகுப்பு
இ஬. 256, சயதசைதப,
ஜனநளயத்கத , ைம்புஸ்றளய஬,
ச஧லிஅத்த.
EOG 02 - 0005
இ஬ங்கை அபசளங்ை அச்சுத் தழகணக்ை஭த்தழல் ஧தழப்஧ழக்ைப்ச஧ற்஫து.</t>
  </si>
  <si>
    <t>5cf3e573-3da3-4841-9394-de8f6805bb93</t>
  </si>
  <si>
    <t>2474_10</t>
  </si>
  <si>
    <t>2474/10</t>
  </si>
  <si>
    <t>Title Registration Act, No. 21 of 1998, Section 14 — Commissioner of Title Settlement decision (Gazette 2474/10)</t>
  </si>
  <si>
    <t>m1/raw/2474_10.pdf</t>
  </si>
  <si>
    <t>III ෙකොටස – ශී ලංකා පජාතාන්තික සමාජවාදී ජනරජෙය් අති විෙශෂ ගැසට් පතය – 2012.10.25 1 A
பகுதி III – இலங்ைகச் சனநாயக ேசாச(cid:8098)சக் கு(cid:8074)யரசு வர்த்தமானப் பத்திாிைக - அதி விேசஷமான(cid:8080) – 2012.10.25
ශී ලංකා පජාතාන්තික සමාජවාදී ජනරජෙය් ගැසට් පතය
இலங்ைகச் சனநாயக ேசாச(cid:8098)சக் கு(cid:8074)யரசு வர்த்தமானப் பத்திாிைக
අති විෙශෂ அதி விேசஷமான(cid:8080)
අංක 2474/10 - 2026 ෙපබරවාරි මස 02 වැනි සඳුදා - 2026.02.02
2474/10 ஆம் இலக்கம் - 2026 ஆம் ஆண்(cid:8076) ெபப்(cid:8087)(cid:8094)வாி மாதம் 02 ஆந் திகதி திங்கட்கிழைம
(அரசாங்கத்தின் அதிகாரத்(cid:8080)டன் பிரசுாிக்கப்பட்ட(cid:8080))
பகுதி III - காணிகள்
உாித்(cid:8080)ப் பதி(cid:8107) ெசய்தல்
1998 ஆம் ஆண்(cid:8074)ன் 21 ஆம் இலக்க உாித்(cid:8080)ப் பதி(cid:8107)ச் சட்டம்
14 ஆம் பிாிவின் கீழ் உாித்(cid:8080) நிர்ணய ஆைணயாளாின் தீர்மானத்ைத ெவளிப்ப(cid:8076)த்தல்
1998 ஆம் ஆண்(cid:8074)ன் 21 ஆம் இலக்க உாித்(cid:8080)ப் பதி(cid:8107)ச் சட்டத்தின் 14 ஆம் பிாிவின் கீழ் எனக்குாித்தாக்கப்பட்(cid:8076)ள்ள தத்(cid:8080)வங்களின்
பயைனக்ெகாண்(cid:8076), கீேழ ஒப்பமிட்(cid:8076)ள்ள நான், 1998 ஆம் ஆண்(cid:8074)ன் 21 ஆம் இலக்க உாித்(cid:8080)ப் பதி(cid:8107)ச் சட்டத்தின் 55 ஆம் பிாிவின்
நியதிகளின்ப(cid:8074) 2025.02.07 ஆம் திகதிய, காணிக்கான உாிைமக் ேகாாிக்ைககைளக் ேகா(cid:8094)கின்ற(cid:8080)மான 2422/53 ஆம் இலக்க அறிவித்த(cid:8098)ல்
குறிப்பீ(cid:8076) ெசய்யப்பட்ட மத்திய மாகாணத்தில், மாத்தைள மாவட்டத்தில், தம்(cid:8087)ள்ள பிரேதச ெசயலாளர் பிாிவில், இல. ஈ/455பீ -
ெபால்அத்தாவ கிராம அ(cid:8100)வலர் பிாிவி(cid:8084)ள் அலெகாலெவவ கிராமத்தில் அைமந்(cid:8080)ள்ள(cid:8080)ம் 310057 ஆம் இலக்க கடத்திரல் அளைவ
வைரபடத்தில் பிாி(cid:8107) இல. 06 இல் அடங்கி(cid:8092)ள்ள(cid:8080)மான 1:50, 1:55 மற்(cid:8096)ம் 1:159 ஆம் இலக்கங்கைளக் ெகாண்ட காணித்(cid:8080)ண்(cid:8076)க(cid:8102)க்கான
உாித்(cid:8080) ெதாடர்பாக இதேனா(cid:8076) இைணக்கப்பட்ட அட்டவைணயில் தரப்பட்(cid:8076)ள்ளவாறான என(cid:8080) தீர்மானத்ைத இத்தால்
ெவளிப்ப(cid:8076)த்(cid:8080)கின்ேறன்.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02 ஆம் திகதி.
1A - G 46210 - 03 (2026 / 02)
(cid:8089). கு. - இவ் அதிவிேஷட வர்த்தமானிைய www.documents.gov.lk எ(cid:8084)ம் இைணயத்தளத்தி(cid:8098)(cid:8094)ந்(cid:8080) பதிவிறக்கம் ெசய்ய (cid:8089)(cid:8074)(cid:8092)ம்.
2 A III ෙකොටස – ශී ලංකා පජාතාන්තික සමාජවාදී ජනරජෙය් අති විෙශෂ ගැසට් පතය – 2026.02.02
பகுதி III – இலங்ைகச் சனநாயக ேசாச(cid:8098)சக் கு(cid:8074)யரசு வர்த்தமானப் பத்திாிைக - அதி விேசஷமான(cid:8080) – 2026.02.02
அட்டவைண
காணி விேசட
தாள் வழக்கிற்கு அல்ல(cid:8080)
மற்(cid:8096)ம் விஸ்தீரணம் ெசாந்தக்காரர்/ ெசாந்தக் ேதசிய உாித்(cid:8080)க்குாிய உாித்தின(cid:8080) உட்பட்ட தனியா(cid:8094)க்
காணித் காரர்களின் (cid:8089)(cid:8104)ப் ெபயர்க(cid:8102)ம் அைடயாள இடத்தின் வகுப்(cid:8087)ம் ஈ(cid:8076), குத் குாிய சட்டங்
(cid:8080)ண்(cid:8074)ன் (ெஹக்டயார்) (cid:8089)கவாி(cid:8092)ம் அட்ைட விஸ்தீரணம் இயல்(cid:8087)ம் தைக க(cid:8102)ள் எவ்
இல. இல. த(cid:8076)ப்(cid:8087)க் வைகக்கும்
கட்டைள அைமந்தி(cid:8094)ப்
பற்றிய பின் விபரங்
விபரங்கள் கள்
1:50 0.1881 ரத்நாயக (cid:8089)தியன்ேசலாேக (cid:8080)ஷ்மந்த 921071523v (cid:8089)(cid:8104)வ(cid:8080)ம் 1வ(cid:8080) வகுப்(cid:8087) – –
(cid:8087)ஷ்ப குமார (cid:8080)ஷ்மந்த
உந்(cid:8080)வல வடக்கு, கல்கிாியாகம.
1:55 0.1521 ரத்நாயக (cid:8089)தியன்ேசலாேக (cid:8080)ஷ்மந்த 921071523v (cid:8089)(cid:8104)வ(cid:8080)ம் 1வ(cid:8080) வகுப்(cid:8087) – –
(cid:8087)ஷ்ப குமார (cid:8080)ஷ்மந்த
உந்(cid:8080)வல வடக்கு, கல்கிாியாகம.
1:159 0.1113 ரத்நாயக (cid:8089)தியன்ேசலாேக (cid:8080)ஷ்மந்த 921071523v (cid:8089)(cid:8104)வ(cid:8080)ம் 1வ(cid:8080) வகுப்(cid:8087) – –
(cid:8087)ஷ்ப குமார (cid:8080)ஷ்மந்த
உந்(cid:8080)வல வடக்கு, கல்கிாியாகம.
EOG 02 - 0006
இலங்ைக அரசாங்க அச்சுத் திைணக்களத்தில் பதிப்பிக்கப்ெபற்ற(cid:8080).</t>
  </si>
  <si>
    <t>fd29b746-d01c-4885-a8a6-6eadf02b2f92</t>
  </si>
  <si>
    <t>2474_11</t>
  </si>
  <si>
    <t>2474/11</t>
  </si>
  <si>
    <t>Title Registration Act, No. 21 of 1998, Section 14 — Commissioner of Title Settlement's decision under Section 14 (Gazette 2474/11)</t>
  </si>
  <si>
    <t>m1/raw/2474_11.pdf</t>
  </si>
  <si>
    <t>7bba7eec-c158-4804-b977-67bf53fb841a</t>
  </si>
  <si>
    <t>2474_12</t>
  </si>
  <si>
    <t>2474/12</t>
  </si>
  <si>
    <t>Title Registration Act, No. 21 of 1998, Section 14 — Commissioner of Title Settlement's decision under Section 14 (Gazette 2474/12)</t>
  </si>
  <si>
    <t>m1/raw/2474_12.pdf</t>
  </si>
  <si>
    <t>cb5faa5a-cf6c-4e60-bdfe-d7113eab8bc1</t>
  </si>
  <si>
    <t>2474_13</t>
  </si>
  <si>
    <t>2474/13</t>
  </si>
  <si>
    <t>Title Registration Act, No. 21 of 1998, Section 14 — Commissioner of Title Settlement's decision under Section 14 (Gazette 2474/13)</t>
  </si>
  <si>
    <t>m1/raw/2474_13.pdf</t>
  </si>
  <si>
    <t>27134b70-643b-4c58-b53f-037ab2f1ad9e</t>
  </si>
  <si>
    <t>2474_14</t>
  </si>
  <si>
    <t>2474/14</t>
  </si>
  <si>
    <t>Title Registration Act, No. 21 of 1998, Section 14 — Commissioner of Title Settlement's decision under Section 14 (Gazette 2474/14)</t>
  </si>
  <si>
    <t>m1/raw/2474_14.pdf</t>
  </si>
  <si>
    <t>172f1143-92cd-4cd8-865c-131c2a0071f8</t>
  </si>
  <si>
    <t>2474_15</t>
  </si>
  <si>
    <t>2474/15</t>
  </si>
  <si>
    <t>Title Registration Act, No. 21 of 1998, Section 14 — Commissioner of Title Settlement's decision under Section 14 (Gazette 2474/15)</t>
  </si>
  <si>
    <t>m1/raw/2474_15.pdf</t>
  </si>
  <si>
    <t>1fa410a3-debc-4dfe-a951-947d88796a4e</t>
  </si>
  <si>
    <t>2474_16</t>
  </si>
  <si>
    <t>2474/16</t>
  </si>
  <si>
    <t>Provincial Councils Act, No. 42 of 1987 — Appointment under Section 32(1) (Gazette 2474/16)</t>
  </si>
  <si>
    <t>m1/raw/2474_16.pdf</t>
  </si>
  <si>
    <t>Y%S ,xld m%cd;dka;%sl iudcjd§ ckrcfha .eiÜ m;%h
w;s úfYI
,yq;ifr; rdehaf Nrhryprf; FbauR th;j;jkhdg; gj;jphpif
mjp tpNr\khdJ
wxl 2474$16 - 2026 fmnrjdß ui 02 jeks i÷od - 2026'02'02
2474/ 16 Mk; ,yf;fk; - 2026 Mk; Mz;L ngg;GUtup khjk; 02 Me; jpfjp jpq;fl;fpoik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அஅத்த்திதிிியாயாாாயாயாமாமாாானன)) உஉள்ள்ளூளூர்ர் அஅதிதிிிகாகாாாரர சசபைபைைைகாகாள்ள் தேதேதிதிர்ர்திதில்ல்காகாள்ள் காகாட்ட்டடபைபைைைச்ச் சசட்ட்டடத்த்திதிிின்ன் 6666அஅ((11)) ஆஆம்ம்
ைைிிாாிிவிவிிின்ன் காகாீீழ்ழ் வவவிவிலிலிகாகாந்ந்திதி ைைிிரரதேதேதிதிசச சசபைபைைையாயாிின்ன் உஉறுறுப்ப்ைைிினனர்ர் ஒஒருருவிவிாாிின்ன் ைைதிதிவிவிிியாயாிிலாலாாானன வவவிவிற்ற்றிறிிிடடத்த்பைபைதிதி நிநிிிரரப்ப்புபுதிதில்ல்
வவவிவிலிலிகாகாந்ந்திதி ைைிிரரதேதேதிதிசச சசபைபைைைக்க்குகு வவதிதிாாிிந்ந்வவதிதிடுடுத்த்துது அஅனுனுப்ப்ைைப்ப்ைைட்ட்டட உஉறுறுப்ப்ைைிினனர்ர் ஒஒருருவிவிாாிின்ன் ைைதிதிவிவிிி இஇறிறிப்ப்வவைைய்ய்திதிிியாயாபைபைமாமா காகாாாரரணணமாமாாாகாகா வவவிவிற்ற்
றிறிிிடடமாமாாாகாகாிியாயாிிருருக்க்காகாிின்ன்றிறிதிதிாாதிதிலாலாாாலுலும்ம்;;
தேதேமாமாற்ற்குகுறிறிிித்த்திதி காகாட்ட்டடபைபைைைச்ச் சசட்ட்டடத்த்திதிிின்ன் 6666அஅ((11)) ஆஆம்ம் ைைிிாாிிவிவிிின்ன் காகாீீழ்ழ்,, வவவிவிலிலிகாகாந்ந்திதி ைைிிரரதேதேதிதிசச சசபைபைைையாயாிினனாால்ல் வவதிதிாாிிந்ந்வவதிதிடுடுத்த்துது
அஅனுனுப்ப்ைைப்ப்ைைட்ட்டுடுள்ள்ைை உஉறுறுப்ப்ைைிினனரராாகாகா வவதிதிாாிிவுவு வவசசய்ய்யாயாப்ப்ைைட்ட்டட மாமாகுகுல்ல்ஒஒலுலுதேதேவிவி வவகாகாதிதிரர துதுலீலீகாகாாா குகுமாமாாாாாிி அஅத்த்திதிநிநிாாயாயாக்க்காகா எஎன்ன்ைைவிவிர்ர் அஅங்ங்காகாம்ம்
விவிகாகாிிக்க்காகாிின்ன்றிறி ஐஐக்க்காகாிியாயா மாமாக்க்காகாள்ள் சசக்க்திதிிி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தேதேசசர்ர்ந்ந்திதிவிவிருருமாமாாானன வவவிவிலிலிகாகாந்ந்திதி ைைிிரரதேதேதிதிசச சசபைபைைைக்க்குகு வவதிதிாாிிந்ந்வவதிதிடுடுத்த்துது அஅனுனுப்ப்ைைப்ப்ைைட்ட்டுடுள்ள்ைை உஉறுறுப்ப்ைைிினனர்ர் வவதிதிாாடடர்ர்ைைாாகாகா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அஅரரசசிியாயால்ல் காகாட்ட்சசிியாயாிின்ன் வவசசயாயாலாலாாாைைாாிினனாால்ல் அஅவ்வ்வவவிவிற்ற்றிறிிிடடத்த்பைபைதிதி நிநிிிரரப்ப்புபுவிவிதிதிற்ற்காகாாாகாகா ரராாஜஜைைக்க்ஷஷ
தேதேதிதிவிவிதேதேகாகா நிநிிிதேதேமாமாாாத்த்யாயாாா சசத்த்சசரரணணிி ரராாஜஜைைக்க்ஷஷ எஎன்ன்ைைவிவிபைபைரரப்ப் வவைையாயார்ர் குகுறிறிிித்த்துது நிநிிியாயாமாமாிிக்க்குகும்ம் திதிமாமாதுது முமுடிடிவிவிிிபைபைனன அஅறிறிிிவிவிிித்த்துதுள்ள்ைைாாரராாதிதிலாலாாாலுலும்ம்;;
வவவிவிலிலிகாகாந்ந்திதி ைைிிரரதேதேதிதிசச சசபைபைைையாயாிின்ன் வவதிதிாாிிவிவித்த்திதிாாட்ட்சசிி அஅலுலுவிவிலாலாரராானன மாமாதேதேனனாாஜஜிி டீடீ குகுருருசசிிங்ங்ஹஹ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வவசசயாயாற்ற்ைைட்ட்டுடு ரராாஜஜைைக்க்ஷஷ
தேதேதிதிவிவிதேதேகாகா நிநிிிதேதேமாமாாாத்த்யாயாாா சசத்த்சசரரணணிி ரராாஜஜைைக்க்ஷஷ எஎன்ன்ைைவிவிர்ர் வவவிவிலிலிகாகாந்ந்திதி ைைிிரரதேதேதிதிசச சசபைபைைைக்க்குகு வவதிதிாாிிந்ந்வவதிதிடுடுத்த்துது அஅனுனுப்ப்ைைப்ப்ைைட்ட்டுடுள்ள்ைை உஉறுறுப்ப்ைைிினனர்ர்
ஒஒருருவிவிரராாகாகாத்த் தேதேதிதிர்ர்ந்ந்வவதிதிடுடுக்க்காகாப்ப்ைைட்ட்டுடுள்ள்ைைதிதிாாகாகா இஇத்த்திதிாால்ல் வவவிவிைைிிப்ப்ைைடுடுத்த்துதுகாகாிின்ன்தேதேறிறின்ன்..
மாமாதேதேனனாாஜஜிி டீடீ குகுருருசசிிங்ங்ஹஹ,,
வவதிதிாாிிவிவித்த்திதிாாட்ட்சசிி அஅலுலுவிவிலாலார்ர்,,
வவவிவிலிலிகாகாந்ந்திதி ைைிிரரதேதேதிதிசச சசபைபைைை..
மாமாாாவிவிட்ட்டடத்த் தேதேதிதிர்ர்திதில்ல்காகாள்ள் அஅலுலுவிவிலாலாகாகாம்ம்,,
வவைைாாலாலான்ன்னனறுறுபைபைவிவி,,
22002266,, வவைைப்ப்புபுருருவிவிாாிி 0022..
EEOOGG 0022 -- 0000001133
1A - PG 7509 — 08 (2026/02) ,yq;if murhq;f mr;Rj; jpizf;fsj;jpw; gjpg;gpf;fg;ngw;wJ.
,t; mjptpNrl tu;j;jkhdpia www.documents.gov.lk vDk; ,izaj;jsj;jpypUe;J gjptpwf;fk; nra;a KbAk;.</t>
  </si>
  <si>
    <t>d2735737-1d09-4d22-967f-cd7e05c44dba</t>
  </si>
  <si>
    <t>2474_17</t>
  </si>
  <si>
    <t>2474/17</t>
  </si>
  <si>
    <t>Public Utilities Commission of Sri Lanka Act, No. 35 of 2002 — Notice (Gazette 2474/17)</t>
  </si>
  <si>
    <t>ශ්‍රී ලංකා මහජන උපයෝගිතා කොමිෂන් සභා පනත, 2002 අංක 35 - දැන්වීම</t>
  </si>
  <si>
    <t>இலங்கை பொது பயன்பாட்டு ஆணைக்குழுச் சட்டம், 2002 ஆம் ஆண்டின் 35 ஆம் இலக்கம் - அறிவித்தல்</t>
  </si>
  <si>
    <t>Notice issued by the Public Utilities Commission of Sri Lanka under the relevant section of the PUCSL Act No. 35 of 2002 concerning regulatory affairs. Part I:I — General/Government Notifications. Dated 2 February 2026.</t>
  </si>
  <si>
    <t>Public Utilities Commission of Sri Lanka Act, No. 35 of 2002</t>
  </si>
  <si>
    <t>utilities</t>
  </si>
  <si>
    <t>m1/raw/2474_17.pdf</t>
  </si>
  <si>
    <t>ශ්‍රී ලංංකාා ප්‍රජාාතාාන්ත්‍රිකා සමාාජාවාාදී ජානරජායේ� ගැැසට් පත්‍රය
අති වියේ�ෂ
The Gazette of the Democratic Socialist Republic of Sri Lanka
EXTRAORDINARY
අංකා 2474$17 - 2026 යේපබරවාාරි මාස 02 වාැනි සඳුදාා - 2026'02'02
No. 2474/17 - MONDAY, FEBRUARY 02, 2026
(Published by Authority)
PART I : SECTION (I) — GENERAL
Government Notifications
PUBLIC UTILITIES COMMISSION OF SRI LANKA
Direction issued under Section 18 (9) (a) of Public Utilities Commission of Sri Lanka Act, No. 35 of 2002 for
Implementation of the recommendations of the report of the Public Hearing held in regard to the Total System
Failure occurred in the Transmission Licensee’s (Ceylon Electricity Board) Network on 09th February 2025.
THE Public Utilities Commission of Sri Lanka hereby issue a direction to the Electricity Generation Licensee of Ceylon
Electricity Board operating under Licence No. EL/GB/25/01, the Transmission and Bulk Supply Licensee of Ceylon
Electricity Board operating under Licence No. EL/T/25/02, Electricity Distribution and Supply Licensees of Ceylon
Electricity Board operating under Licence Nos. EL/D/25/03, EL/D/25/04, EL/D/25/05, EL/D/25/06 and the Electricity
Distribution and Supply Licensee of Lanka Electricity Company (Pvt) Ltd operating under Licence No. EL/D/16-004, to
implement the following recommendations made in the report of the Public Hearing held on 05th August 2025 at BMICH,
in regard to the Total System Failure occurred in the Transmission Licensee’s (Ceylon Electricity Board) network on 09th
February 2025.
1. Rooftop Solar Inverter Compliance and Grid Support – Applicable for Distribution Licensees
a) Implement a routine inspection and verification mechanism by Distribution Licensees to ensure rooftop solar
inverters are configured with prescribed technical and regulatory standards including Low Voltage Ride Through
(LVRT), High Voltage Ride Through (HVRT) and frequency ride-through settings.
b) Establish a structured replacement and upgrade policy to ensure that newly replaced or upgraded inverter models
comply with the updated technical requirements, including LVRT, HVRT, frequency ride-through, and reactive
power support capabilities.
1A - PG 7510 - 04 (02/2026)
This Gazette Extraordinary can be downloaded from www.documents.gov.lk
2A I fldgi ( ^I&amp; fPoh - YS% ,xld m%cd;dka;s%l iudcjd§ ckrcfha w;s úfYI .eiÜ m;%h - 2026'02'02
Part I : Sec. (I) - GAZETTE EXTRAORDINARY OF THE DEMOCRATIC SOCIALIST REPUBLIC OF SRI LANKA - 02.02.2026
c) Periodically assess grid stability requirements against the actual capabilities of installed inverters.
d) Develop and maintain a centralized, updated digital database of inverter types, firmware versions, ride-through
capabilities, and certification status, accessible for planning, system studies, and post event analysis.
2. Enhancement of Primary Frequency Response and System Stability - Applicable for Generation Licensee
a) Undertake Proportional Integral Derivative (PID) controller tuning of governors at Victoria Power Station and
other frequency-controlling machines to achieve faster primary frequency response.
b) Further investigate and implement improvements to frequency response characteristics of other synchronous
generators, particularly those mostly scheduled to operate during low load and high renewable penetration periods.
c) Review and optimize spinning reserve policies, considering actual system inertia and renewable penetration levels.
3. Improving Auxiliary Power and Communication Reliability at Lakvijaya Power Station - Applicable for
Generation Licensee
a) Implement a reliable and independent auxiliary power supply arrangement at Lakvijaya Power Station to enable
safe and timely shutdown of generating units without reliance on restoration process.
b) Implement fast and reliable communication mechanisms between Lakvijaya Power Station and the System Control
Centre to ensure that system operators are immediately informed regarding the auxiliary power requirement for
the safe shutdown of LVPS generation units, thereby avoiding delays and operational uncertainty during system
restoration processes.
4. Adaptive Load Shedding and Improved Under Frequency Load Shedding (UFLS) Performance - Applicable for
Transmission Licensee
a) Develop and implement an Adaptive Load Shedding (ALS) scheme, capable of responding dynamically to system
conditions considering the embedded generation and unseen demand.
b) Update UFLS relays to detect power flow direction to ensure correct operation under high embedded generation
scenarios.
5. Deployment of Digital Disturbance Recorders - Applicable for Transmission Licensee
a) Install Digital Disturbance Recorders (DDRs) at critical power stations, especially those designated as frequency-
controlling units.
b) Revisit the criteria for selection of the location for Installation of DDRs.
6. Protection Relay Testing and Asset Planning - Applicable for Transmission Licensee
a) Review and standardize relay testing procedures and testing intervals for protection relays at Grid Substations
(GSS).
b) Ensure all protection relays are identified and included under the GSS rehabilitation and replacement plans.
7. Power System Restoration Readiness - Applicable for Transmission Licensee
a) Update the Restoration Manual incorporating the lessons learned, successful procedures, and effective actions
observed during the February 2025 restoration.
I fldgi ( ^I&amp; fPoh - YS% ,xld m%cd;dka;s%l iudcjd§ ckrcfha w;s úfYI .eiÜ m;%h - 2026'02'02 3A
Part I : Sec. (I) - GAZETTE EXTRAORDINARY OF THE DEMOCRATIC SOCIALIST REPUBLIC OF SRI LANKA - 02.02.2026
b) Review the requirement of revising the Restoration Manual periodically without waiting for two- year cycle, or
immediately following a total failure.
c) Establish real-time monitoring, communication, and control capabilities to enhance the visibility and controllability
of large rooftop (RT) solar PV schemes, with specific focus on their readiness to support power system restoration.
d) Provide a training for Control Room Operators (CROs) at grid substations on the standing instructions to be
followed during a total failure.
e) Simplify the Standing Instructions for CROs by extracting the relevant instructions from the “Sri Lankan Power
System Restoration Procedure After a Total Failure”, presenting them in a concise and easy-to-understand Format
in all three languages, and distribute them to all Grid Substations (GSSs) to improve the awareness in order to
ensure the compliance during system restoration in total failure events.
By Order of the Commission,
Prof. Lalith Chandralal
Chairman,
Public Utilities Commission of Sri Lanka.
EOG 02 - 0014
PRINTED AT THE DEPARTMENT OF GOVERNMENT PRINTING, SRI LANKA.</t>
  </si>
  <si>
    <t>6e90e897-5f3d-4539-bb20-88b6fe6774a8</t>
  </si>
  <si>
    <t>2474_18</t>
  </si>
  <si>
    <t>2474/18</t>
  </si>
  <si>
    <t>Ministry of Education — Sri Lanka Teachers Service competitive examination notice (Gazette 2474/18)</t>
  </si>
  <si>
    <t>අධ්‍යාපන, උසස් අධ්‍යාපන සහ වෘත්තීය අධ්‍යාපන අමාත්‍යාංශය - ශ්‍රී ලංකා ගුරු සේවයට බඳවා ගැනීමේ තරග විභාගය</t>
  </si>
  <si>
    <t>கல்வி, உயர்கல்வி மற்றும் தொழிற்கல்வி அமைச்சு - இலங்கை ஆசிரியர் சேவை போட்டிப் பரீட்சை</t>
  </si>
  <si>
    <t>Notice from the Ministry of Education, Higher Education and Vocational Education regarding the Sri Lanka Teachers Service competitive recruitment examination — vacancies in Sinhala / Tamil / English medium teaching posts in national and provincial schools. Part I — General.</t>
  </si>
  <si>
    <t>m1/raw/2474_18.pdf</t>
  </si>
  <si>
    <t>7978010f-9271-4d9f-8c98-f12a3345ca31</t>
  </si>
  <si>
    <t>2474_19</t>
  </si>
  <si>
    <t>2474/19</t>
  </si>
  <si>
    <t>Ministry of Education — Sri Lanka Teachers Service competitive examination notice (Gazette 2474/19)</t>
  </si>
  <si>
    <t>m1/raw/2474_19.pdf</t>
  </si>
  <si>
    <t>3fcc1870-0e06-489d-9b02-6056ff4dc835</t>
  </si>
  <si>
    <t>2474_20</t>
  </si>
  <si>
    <t>2474/20</t>
  </si>
  <si>
    <t>Land Acquisition Act (Chapter 460), Section 5 — Notice of Intended Acquisition (Gazette 2474/20)</t>
  </si>
  <si>
    <t>m1/raw/2474_20.pdf</t>
  </si>
  <si>
    <t>III ෙකාටස - (cid:636) ලංකා (cid:541)ජාතා(cid:486)(cid:437)ක සමාජවා(cid:463) ජනරජෙ(cid:591) අ(cid:431) (cid:618)ෙශෂ ගැස(cid:376) ප(cid:436)ය - 2025.06.18 1A
பகுதி III - இலங்ைகச் சனநாயக ேசாச(cid:8098)சக் கு(cid:8074)யரசு வர்த்தமானப் பத்திாிைக - அதி விேசஷமான(cid:8080) - 2025.06.18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22447744// 2200 -- 22002266 ෙෙපපබබරරවවාා(cid:604)(cid:604) මමසස 0033 වවැැ(cid:487)(cid:487) අඅඟඟහහ(cid:606)(cid:606)වවාාදදාා -- 22002266..0022..0033
2474/20 ஆம் இலக்கம் - 2026 ஆம் ஆண்(cid:8076) ெபப்(cid:8087)(cid:8094)வாி மாதம் 03 ஆந் திகதி ெசவ்வாய்க்கிழைம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தில்(cid:8094)க் ஷி ெபேரரா மற்(cid:8096)ம் பலர் உாிைம ேகா(cid:8094)ம் தவட
கஹகனத்த அல்ல(cid:8080) தவல்கஹகனத்த மற்(cid:8096)ம் ஏ. ேக.
5 ஆம் பிாிவின் ப(cid:8074)யான பிரகடனம்
ரத்னாயக்க உாிைம ேகா(cid:8094)ம் தவடகஹகனத்த ; ேமற்கு : ஏ.
ேக. ரத்னாயக்க மற்(cid:8096)ம் பண்டாரகைம பிரேதச சைப உாிைம
கீழ்க்கா(cid:8078)ம் காணி ஒ(cid:8094) பகிரங்கத் ேதைவக்கு ேவண்(cid:8074)யதாய்
ேகா(cid:8094)ம் தவடகஹகனத்த மற்(cid:8096)ம் உாிைம ேகா(cid:8094)பவைரக்
இ(cid:8094)க்கின்றெதன்(cid:8096)ம் காணி எ(cid:8076)த்தற் சட்டத்தின் ஏற்பா(cid:8076)
கண்(cid:8076)பி(cid:8074)க்க (cid:8089)(cid:8074)யாத ேபால்ெகாட ெநல் வயல்.
களின் பிரகாரம் அ(cid:8080) எ(cid:8076)த்(cid:8080)க் ெகாள்ளப்ப(cid:8076)ெமன்(cid:8096)ம் காணி
எ(cid:8076)த்தற் சட்டத்தின் 5 ஆம் பிாிவின் (1) ஆம் உபபிாிவின்
ேக. (cid:8074). லால் காந்த,
பிரகாரம் கமத்ெதாழில், கால்நைட வளங்கள், காணி மற்(cid:8096)ம்
கமத்ெதாழில், கால்நைட வளங்கள்,
நீர்ப்பாசன அைமச்சர் குரகமேக ெதான் லால் காந்த ஆகிய
காணி மற்(cid:8096)ம் நீர்ப்பாசன அைமச்சர்.
நான், இத்தால் பிரகடனம் ெசய்கின்ேறன்.
ே மல் மாகாணத்தில் க(cid:8102)த்(cid:8080)ைற மாவட்டத்தில் என(cid:8080) இல. : 4-3/18/2021/WS/41.
பண்டாரகைம பிரேதச ெசயலாளர் பிாிவில் அதிகாாிப் கமத்ெதாழில், கால்நைட வளங்கள், காணி மற்(cid:8096)ம்
பற்(cid:8096) சி(cid:8096)பிாிவின் 663 பீ - பண்டாரகைம கிராம நீர்ப்பாசன அைமச்சு,
அ(cid:8100)வலர் பிாிவில் மஸ்வில கிராமத்தில் அைமந்(cid:8080)ள்ள, “மிஹிகத ெம(cid:8080)ர”, காணிச் ெசயலகம்,
நில அளைவயாளர் நாயகத்தினால் தயாாிக்கப்பட்ட 1200/6, இரஜமல்வத்ைத (cid:8106)தி,
Ka/BAN/2021/399 மற்(cid:8096)ம் 2021.12.10 ஆந் திகதி பத்தர(cid:8089)ல்ைல,
வைரயப்பட்ட கீழ்க்கா(cid:8078)ம் ெபயர் மற்(cid:8096)ம் விஸ்தீரணத்ைதக் 2025, திெசம்பர் 19.
ெகாண்ட காணித்(cid:8080)ண்(cid:8074)ன் எல்ைலகள் :
EOG 02 - 0017
01.(cid:8080)(cid:8080)ண்ண்(cid:8076)(cid:8076) ‘‘AA’’ -- ததவவடடககஹஹககனனத்த்தத அஅல்ல்லல(cid:8080)(cid:8080) ததவவல்ல்ககஹஹககனனத்த்தத --
வவிிஸ்ஸ்ததீீரரணணம்ம் :: சுசுமமாார்ர் 00..11889988 ெெஹஹக்க்டடயயாார்ர்
வடக்கு: உாிைம ேகா(cid:8094)பவைரக் கண்(cid:8076)பி(cid:8074)க்க
ககாாணணிி எஎ(cid:8076)(cid:8076)த்த்ததற்ற் சசட்ட்டடம்ம் ((அஅத்த்ததிியயாாயயம்ம் 446600))
(cid:8089)(cid:8074)யாத ேபால்ெகாட ெநல் வயல் ; கிழக்கு : ேக.
அமரதாச மற்(cid:8096)ம் பீ. டீ. சீ. ெபேரரா உாிைம ேகா(cid:8094)ம் 5 ஆம் பிாிவின் ப(cid:8074)யான பிரகடனம்
தவடகஹகனத்த அல்ல(cid:8080) தவல்கஹகனத்த மற்(cid:8096)ம்
தில்(cid:8094)க் ஷி ெபேரரா மற்(cid:8096)ம் பலர் உாிைம ேகா(cid:8094)ம் தவட கீழ்க்கா(cid:8078)ம் காணி ஒ(cid:8094) பகிரங்கத் ேதைவக்கு ேவண்(cid:8074)யதாய்
கஹகனத்த அல்ல(cid:8080) தவல்கஹகனத்த ; ெதற்கு : இ(cid:8094)க்கின்றெதன்(cid:8096)ம் காணி எ(cid:8076)த்தற் சட்டத்தின் ஏற்பா(cid:8076)
1A - G46218 - 43(2026/02)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- 2026.02.03
பகுதி III - இலங்ைகச் சனநாயக ேசாச(cid:8098)சக் கு(cid:8074)யரசு வர்த்தமானப் பத்திாிைக - அதி விேசஷமான(cid:8080) - 2026.02.03
களின் பிரகாரம் அ(cid:8080) எ(cid:8076)த்(cid:8080)க் ெகாள்ளப்ப(cid:8076)ெமன்(cid:8096)ம் காணி 05. (cid:8080)(cid:8080)ண்ண்(cid:8076)(cid:8076) ‘‘EE’’ -- எஎரரன்ன்(cid:8098)(cid:8098)யயத்த்தத குகும்ம்(cid:8087)(cid:8087)ரர -- வவிிஸ்ஸ்ததீீரரணணம்ம் :: 11..77886633
எ(cid:8076)த்தற் சட்டத்தின் 5 ஆம் பிாிவின் (1) ஆம் உபபிாிவின் ெெஹஹக்க்டடயயாார்ர்
பிரகாரம் கமத்ெதாழில், கால்நைட வளங்கள், காணி மற்(cid:8096)ம் வடக்கு : (cid:8080)ண்(cid:8076)கள் B மற்(cid:8096)ம் C ; கிழக்கு : (cid:8080)ண்(cid:8076) C ; ெதற்கு :
நீர்ப்பாசன அைமச்சர் குரகமேக ெதான் லால் காந்த ஆகிய (cid:8080)ண்(cid:8076) C மற்(cid:8096)ம் எஸ்.(cid:8074).எஸ்.(cid:8074). ெவன்தேபானா உாிைம
நான், இத்தால் பிரகடனம் ெசய்கின்ேறன். ேகா(cid:8094)ம் மில்லகஹ(cid:8089)லவத்த ; ேமற்கு : எஸ்.(cid:8074).எஸ்.(cid:8074).
ெவன்தேபானா உாிைம ேகா(cid:8094)ம் மில்லகஹ(cid:8089)லவத்த மற்(cid:8096)ம்
வடேமல் மாகாணத்தில் கு(cid:8094)நாகல் மாவட்டத்தில் (cid:8080)ண்(cid:8076) F.
குளியாப்பிட்(cid:8074)ய கிழக்கு பிரேதச ெசயலாளர் பிாிவில், 1140
ஆம் இலக்க(cid:8089)ைடய ேகா(cid:8080)(cid:8094)வாெபால கிராம அ(cid:8100)வலர் 06. (cid:8080)(cid:8080)ண்ண்(cid:8076)(cid:8076) ‘‘FF’’ -- வவிிஸ்ஸ்ததீீரரணணம்ம் :: 00..00330099 ெெஹஹக்க்டடயயாார்ர்
பிாிவில் ெமதவ (இ. கி. வ. 2454) கிராமத்தில் அைமந்(cid:8080)ள்ள, வடக்கு : கால்வாய், எஸ்.(cid:8074).எஸ்.(cid:8074). ெவன்தேபானா உாிைம
நில அளைவயாளர் நாயகத்தினால் தயாாிக்கப்பட்ட ேகா(cid:8094)ம் மில்லகஹ(cid:8089)லவத்த, பாைத மற்(cid:8096)ம் அேபேகான்
KU/KPE/2018/208 ஆம் இலக்கத்ைத(cid:8092)ம் 2018.07.09 ஆந் (cid:8089)தியன்ேசலாேக சரத் உாிைம ேகா(cid:8094)ம் மாதன்கஹ(cid:8089)ேலவத்த
திகதிைய(cid:8092)(cid:8089)ைடய சுவட்(cid:8076) வைரபடத்தில் விபாித்(cid:8080)க் மற்(cid:8096)ம் (cid:8080)ண்(cid:8076) B ; கிழக்கு : (cid:8080)ண்(cid:8076)கள் B மற்(cid:8096)ம் E ; ெதற்கு :
காட்டப்பட்(cid:8076)ள்ள கீழ்க்கா(cid:8078)ம் ெபயர்கள் மற்(cid:8096)ம் விஸ்தீரணங் எஸ்.(cid:8074).எஸ்.(cid:8074). ெவன்தேபானா உாிைம ேகா(cid:8094)ம் மில்லகஹ
கைளக் ெகாண்ட காணித்(cid:8080)ண்(cid:8076)களின் எல்ைலகள் : (cid:8089)லவத்த ; ேமற்கு : (cid:8080)ண்(cid:8076) G.
01. (cid:8080)(cid:8080)ண்ண்(cid:8076)(cid:8076) ‘‘AA’’ -- எஎரரன்ன்(cid:8098)(cid:8098)யயத்த்தத குகும்ம்(cid:8087)(cid:8087)ரர -- வவிிஸ்ஸ்ததீீரரணணம்ம் :: 00..00445555 07. (cid:8080)(cid:8080)ண்ண்(cid:8076)(cid:8076) ‘‘GG’’ -- எஎரரன்ன்(cid:8098)(cid:8098)யயத்த்தத குகும்ம்(cid:8087)(cid:8087)ரர -- வவிிஸ்ஸ்ததீீரரணணம்ம் :: 00..11555577
ெெஹஹக்க்டடயயாார்ர் ெெஹஹக்க்டடயயாார்ர்
வடக்கு : அமரசிங்ஹ ஆரச்சிலாேக சிாிேசன உாிைம வடக்கு : கால்வாய் மற்(cid:8096)ம் (cid:8080)ண்(cid:8076) F ; கிழக்கு : (cid:8080)ண்(cid:8076) F
; ெதற்கு : எஸ்.(cid:8074).எஸ்.(cid:8074). ெவன்தேபானா உாிைம ேகா(cid:8094)ம்
ேகா(cid:8094)ம் மாதன்கஹ(cid:8089)ேலவத்த மற்(cid:8096)ம் ரத்னாயக்க
மில்லகஹ(cid:8089)லவத்த ; ேமற்கு : எஸ்.(cid:8074).எஸ்.(cid:8074). ெவன்தேபானா
(cid:8089)தியன்ேசலாேக லீலாவதி உாிைம ேகா(cid:8094)ம் ெகடலெகால்ல ;
உாிைம ேகா(cid:8094)ம் மில்லகஹ(cid:8089)லவத்த மற்(cid:8096)ம் (cid:8080)ண்(cid:8076) H.
கிழக்கு : ரத்னாயக்க (cid:8089)தியன்ேசலாேக லீலாவதி உாிைம
ேகா(cid:8094)ம் ெகடலெகால்ல, கால்வாய் மற்(cid:8096)ம் (cid:8080)ண்(cid:8076) B ; ெதற்கு :
08. (cid:8080)(cid:8080)ண்ண்(cid:8076)(cid:8076) ‘‘HH’’ -- எஎரரன்ன்(cid:8098)(cid:8098)யயத்த்தத குகும்ம்(cid:8087)(cid:8087)ரர -- வவிிஸ்ஸ்ததீீரரணணம்ம் :: 00..33117766
(cid:8080)ண்(cid:8076) B மற்(cid:8096)ம் அமரசிங்ஹ ஆரச்சிலாேக சிாிேசன உாிைம
ெெஹஹக்க்டடயயாார்ர்
ேகா(cid:8094)ம் மாதன்கஹ(cid:8089)ேலவத்த ; ேமற்கு : அமரசிங்ஹ
வடக்கு : கால்வாய் மற்(cid:8096)ம் (cid:8080)ண்(cid:8076) G ; கிழக்கு : (cid:8080)ண்(cid:8076)
ஆரச்சிலாேக சிாிேசன உாிைம ேகா(cid:8094)ம் மாதன்கஹ(cid:8089)ேலவத்த.
G மற்(cid:8096)ம் எஸ்.(cid:8074).எஸ்.(cid:8074). ெவன்தேபானா உாிைம ேகா(cid:8094)ம்
மில்லகஹ (cid:8089)லவத்த; ெதற்கு : எஸ்.(cid:8074).எஸ்.(cid:8074). ெவன்தேபானா
02. (cid:8080)(cid:8080)ண்ண்(cid:8076)(cid:8076) ‘‘BB’’ -- ____ -- வவிிஸ்ஸ்ததீீரரணணம்ம் :: 00..00885599 ெெஹஹக்க்டடயயாார்ர் உாிைம ேகா(cid:8094)ம் மில்லகஹ(cid:8089)லவத்த ; ேமற்கு : (cid:8080)ண்(cid:8076) J
வடக்கு : அேபேகான் (cid:8089)தியன்ேசலாேக சரத் உாிைம மற்(cid:8096)ம் கால்வாய்.
ேகா(cid:8094)ம் மாதன்கஹ(cid:8089)ேலவத்த, அமரசிங்ஹ ஆரச்சிலாேக
சிாிேசன உாிைம ேகா(cid:8094)ம் மாதன்கஹ(cid:8089)ேலவத்த, (cid:8080)ண்(cid:8076) 09. (cid:8080)(cid:8080)ண்ண்(cid:8076)(cid:8076) ‘‘JJ’’ -- எஎரரன்ன்(cid:8098)(cid:8098)யயத்த்தத குகும்ம்(cid:8087)(cid:8087)ரர -- வவிிஸ்ஸ்ததீீரரணணம்ம் :: 00..11997799
A, ரத்னாயக்க (cid:8089)தியன்ேசலாேக லீலாவதி உாிைம ெெஹஹக்க்டடயயாார்ர்
ேகா(cid:8094)ம் ெகடலெகால்ல மற்(cid:8096)ம் கால்வாய் ; கிழக்கு: வடக்கு : கால்வாய் ; கிழக்கு : (cid:8080)ண்(cid:8076) H மற்(cid:8096)ம் எஸ்.(cid:8074).எஸ்.
அைணக்கட்(cid:8076), (cid:8080)ண்(cid:8076)கள் C மற்(cid:8096)ம் E ; ெதற்கு : (cid:8074). ெவன்தேபானா உாிைம ேகா(cid:8094)ம் மில்லகஹ(cid:8089)லவத்த;
(cid:8080)ண்(cid:8076)கள் E மற்(cid:8096)ம் F ; ேமற்கு : (cid:8080)ண்(cid:8076) F, பாைத, எஸ். (cid:8074). ெதற்கு : எஸ்.(cid:8074).எஸ்.(cid:8074). ெவன்தேபானா உாிைம ேகா(cid:8094)ம்
எஸ். (cid:8074). ெவன்தேபானா உாிைம ேகா(cid:8094)ம் மில்லகஹ(cid:8089)லவத்த மில்லகஹ(cid:8089)லவத்த ; ேமற்கு : (cid:8080)ண்(cid:8076) K மற்(cid:8096)ம் கால்வாய்.
மற்(cid:8096)ம் அேபேகான் (cid:8089)தியன்ேசலாேக சரத் உாிைம ேகா(cid:8094)ம்
மாதன்கஹ(cid:8089)ேலவத்த. 10. (cid:8080)(cid:8080)ண்ண்(cid:8076)(cid:8076) ‘‘KK’’ -- எஎரரன்ன்(cid:8098)(cid:8098)யயத்த்தத குகும்ம்(cid:8087)(cid:8087)ரர -- வவிிஸ்ஸ்ததீீரரணணம்ம் :: 00..22007777
ெெஹஹக்க்டடயயாார்ர்
வடக்கு : கால்வாய் ; கிழக்கு : (cid:8080)ண்(cid:8076) J ; ெதற்கு : எஸ்.(cid:8074).எஸ்.
03. (cid:8080)(cid:8080)ண்ண்(cid:8076)(cid:8076) ‘‘CC’’ -- ____ -- வவிிஸ்ஸ்ததீீரரணணம்ம் :: 00..00773366 ெெஹஹக்க்டடயயாார்ர்
(cid:8074). ெவன்தேபானா உாிைம ேகா(cid:8094)ம் மில்லகஹ(cid:8089)லவத்த ;
வடக்கு : (cid:8080)ண்(cid:8076) B, கால்வாய், அைணக்கட்(cid:8076) மற்(cid:8096)ம்
ேமற்கு : எஸ்.(cid:8074).எஸ்.(cid:8074). ெவன்தேபானா உாிைம ேகா(cid:8094)ம்
(cid:8080)ண்(cid:8076) D; கிழக்கு: (cid:8080)ண்(cid:8076) D, மாபா (cid:8089)தியன்ேசலாேக தயானன்த
மில்லகஹ(cid:8089)லவத்த.
உாிைம ேகா(cid:8094)ம் அ(cid:8102)த்வத்ெதேஹன மற்(cid:8096)ம் எஸ்.(cid:8074).எஸ்.(cid:8074).
ெவன்தேபானா உாிைம ேகா(cid:8094)ம் அ(cid:8102)த்வத்ேதேஹன ; ெதற்கு : ேக. (cid:8074). லால் காந்த,
எஸ்.(cid:8074).எஸ்.(cid:8074). ெவன்தேபானா உாிைம ேகா(cid:8094)ம் அ(cid:8102)த் கமத்ெதாழில், கால்நைட வளங்கள்,
வத்ேதேஹன மற்(cid:8096)ம் (cid:8080)ண்(cid:8076) E ; ேமற்கு : (cid:8080)ண்(cid:8076)கள் E மற்(cid:8096)ம் காணி மற்(cid:8096)ம் நீர்ப்பாசன அைமச்சர்.
B.
என(cid:8080) இல. : 4-3/2/2018/A/46.
கமத்ெதாழில், கால்நைட வளங்கள், காணி மற்(cid:8096)ம்
04. (cid:8080)(cid:8080)ண்ண்(cid:8076)(cid:8076) ‘‘DD’’ -- எஎரரன்ன்(cid:8098)(cid:8098)யயத்த்தத குகும்ம்(cid:8087)(cid:8087)ரர -- வவிிஸ்ஸ்ததீீரரணணம்ம் :: 00..00334499
நீர்ப்பாசன அைமச்சு,
ெெஹஹக்க்டடயயாார்ர்
“மிஹிகத ெம(cid:8080)ர”, காணிச் ெசயலகம்,
வடக்கு : (cid:8080)ண்(cid:8076) C மற்(cid:8096)ம் அைணக்கட்(cid:8076) ; கிழக்கு:
இரஜமல்வத்ைத (cid:8106)தி,
அைணக்கட்(cid:8076) மற்(cid:8096)ம் மாபா (cid:8089)தியன்ேசலாேக தயானன்த
பத்தர(cid:8089)ல்ைல,
உாிைம ேகா(cid:8094)ம் அ(cid:8102)த்வத்ெதேஹன ; ெதற்கு :
2025, திெசம்பர் 19.
மாபா (cid:8089)தியன்ேசலாேக தயானன்த உாிைம ேகா(cid:8094)ம்
அ(cid:8102)த்வத்ெதேஹன மற்(cid:8096)ம் (cid:8080)ண்(cid:8076) C ; ேமற்கு : (cid:8080)ண்(cid:8076) C. EOG 02 - 0018
இலங்ைக அரசாங்க அச்சுத் திைணக்களத்தில் அச்சிடப்பட்ட(cid:8080).</t>
  </si>
  <si>
    <t>3cc41a48-03a7-4e83-812d-ec85fe6d13d0</t>
  </si>
  <si>
    <t>2474_22</t>
  </si>
  <si>
    <t>2474/22</t>
  </si>
  <si>
    <t>Coast Conservation and Coastal Resources Management Act No. 57 of 1981 (as amended) — Notice (Gazette 2474/22)</t>
  </si>
  <si>
    <t>Notice under the Coast Conservation and Coastal Resources Management Act No. 57 of 1981 (as amended). Part I — General.</t>
  </si>
  <si>
    <t>m1/raw/2474_22.pdf</t>
  </si>
  <si>
    <t>Y%S ,xld m%cd;dka;%sl iudcjd§ ckrcfha .eiÜ m;%h
w;s úfYI
,yq;ifr; rdehaf Nrhryprf; FbauR th;j;jkhdg; gj;jphpif
mjp tpNr\khdJ
wxl 2474$22 - 2026 fmnrjdß ui 03 jeks w`.yrejdod - 2026'02'03
2474/ 22 Mk; ,yf;fk; - 2026 Mk; Mz;L ngg;GUtup khjk; 03 Me; jpfjp nrt;tha;f;fpoik
(murhq;fj;jpd; mjpfhuj;Jld; gpuRupf;fg;gl;lJ)
gFjp I : njhFjp (I) - nghJ
murhq;f mwptpj;jy;fs;
11998811 ஆஆம்ம் ஆஆண்ண்டிடின்ன் 5577 ஆஆம்ம் இஇலலக்க்கக ககரைரைைையய��ோோைைம்ம் யய��ணணல்ல் மமற்ற்றுறும்ம் ககரைரைைையய��ோோைை மூமூலலவவளள முமுககோோரைரைமமத்த்துதுவவ சசட்ட்டடத்த்திதிிின்ன்
1166((22ஈஈ)) ��ிிோோிிவவிின்ன் ககீீழ்ழ் வவிிடுடுக்க்ககப்ப்��டுடும்ம் அஅறிறிிிவவிித்த்திதில்ல்
உஉத்த்யயதிதிசச யயசசற்ற்றுறு நநண்ண்டுடு வவளளர்ர்ப்ப்புபுத்த் திதிிிட்ட்டடம்ம் -- ககோோரைரைைைநநககர்ர் திதிீீவுவு,, ��ோோழ்ழ்ப்ப்��ோோணண மமோோவவட்ட்டடம்ம்
சுசுற்ற்றிறிோோடடல்ல் திதிோோக்க்கக மமதிதிிிப்ப்பீபீட்ட்டுடு அஅறிறிிிக்க்ரைரைகக ((EEIIAARR))
1988 ஆம் ஆண்டின் 64 ஆம் இலக்க மற்றும் 2011 ஆம் ஆண்டின் 49 ஆம் இலக்கச் சட்டங்களினாோல் திிருத்திப்�ட்ட 1981 ஆம்
ஆண்டின் 57 ஆம் இலக்க கரைைய�ோைம் ய�ணல் மற்றும் கரைைய�ோை மூலவள முகோரைமத்துவ சட்டத்திின் 16(1) ஆம் �ிோிவின்
விதிிகளுக்கு இணங்க, �ோழ்ப்�ோணம், தினாங்கிளப்பு, மன்னாோர் அதிியவக வீதிி, நோவற்குழிி�ில் அரைமந்துள்ள பெ�னாின்சுலோ பெகோயகோ
தினாி�ோர் நிறுவனாத்திினாோல் சமர்ப்�ிக்கப்�ட்ட, �ோழ்ப்�ோண மோவட்டத்திின் கோரைைநகர் திீவில் உத்யதிச யசற்று நண்டு வளர்ப்புத்
திிட்டத்திிற்கோனா சுசுற்ற்றிறிோோடடல்ல் திதிோோக்க்கக மமதிதிிிப்ப்பீபீட்ட்டுடு அஅறிறிிிக்க்ரைரைகக ((EEIIAARR)),, பெ�ோதுமக்களின் �ோிசீலரைனாக்கோக �ின்வரும் இடங்களில் திினாமும்
மு. �. 8.30 மணி முதில் �ி. �. 4.15 மணி வரைை 2026 .02.03 ஆம் திிகதிி முதில் 30 நோட்களுக்கு ரைவக்கப்�ட்டுள்ளது. (வோை இறுதிி
நோட்கள் மற்றும் அைச விடுமுரைறி திினாங்கள் நீங்கலோக),
இதிற்கு யமலதிிகமோக, கரைைய�ோைம் ய�ணல் மற்றும் கரைைய�ோை மூலவள முகோரைமத்துவத் திிரைணக்களத்திின்
உத்திிய�ோகபூர்வ இரைண�த்திளமோனா www.coastal.gov.lk ஊடோக அந்தி அறிிக்ரைக�ிரைனா மூன்று பெமோழிிகளிலும் �ோர்ரைவ�ிடுவதிற்கு
வசதிி பெசய்�ப்�ட்டுள்ளது.
1. கரைைய�ோைம் ய�ணல் மற்றும் கரைைய�ோை மூலவள முகோரைமத்துவத் திிரைணக்களம், 4 ஆம் மோடி, புதிி� பெச�லகம்,
மோளிகோவத்ரைதி, பெகோழும்பு 10.
2. மத்திி� சுற்றிோடல் அதிிகோை சரை�, இல. 104, ''�ோிசை �ி�ச", பெடன்சில் பெகோப்ய�கடுவ மோவத்ரைதி, �த்திைமுல்ல.
3. யதிசி� நீர்வோழ் உ�ிோினா வளர்ப்பு அ�ிவிருத்திி அதிிகோைசரை�, �த்திைமுல்ல.
1A - G 46220— 23 (2026/02)
,t; mjptpNrl tu;j;jkhdpia www.documents.gov.lk vDk; ,izaj;jsj;jpypUe;J gjptpwf;fk; nra;a KbAk;.
2A I fldgi ( ^I&amp; fPoh - YS% ,xld m%cd;dka;s%l iudcjd§ ckrcfha w;s úfYI .eiÜ m;%h - 2026'02'03
gFjp I : njhFjp (I) - ,yq;ifr; rdehaf Nrhryprf; FbauR tu;j;jkhdg; gj;;jpupif - mjp tpNr\khdJ - 2026.02.03
4. �ிையதிச பெச�லகம், கோரைைநகர்.
5. �ிையதிச சரை�, கோரைைநகர்.
6. மத்திி� சுற்றிோடல் அதிிகோை சரை�, மோவட்ட அலுவலகம், �ோழ்ப்�ோணம்.
7. கடற்பெறிோழிில் மற்றும் நீோி�ல் வளங்கள் திிரைணக்களம், மோவட்ட அலுவலகம், �ோழ்ப்�ோணம்.
8. மோகோண நீர்ப்�ோசனாத்திிரைணக்களம் ( வட மோகோண அலுவலகம்),�ோழ்ப்�ோணம்.
9. கரைைய�ோைம் ய�ணல் மற்றும் கரைைய�ோை மூலவள முகோரைமத்துவத் திிரைணக்களம், �ிையதிச அலுவலகம், கச்யசோி,
�ோழ்ப்�ோணம்.
இந்தி உத்யதிச திிட்டத்திினாோல் சூழிலுக்கு ஏற்�டும் திோக்கங்கள் �ற்றிி� சுற்றிோடல் திோக்க மதிிப்பீட்டு அறிிக்ரைக பெதிோடர்�ோனா
பெ�ோதுமக்களின் கருத்துக்கரைள 2026.02.03 ஆந் திிகதிி முதில் 30 நோட்களுக்குள் (வோை இறுதிி மற்றும் அைச விடுமுரைறி திினாங்கள்
நீங்கலோக) கரைைய�ோைம் ய�ணல் மற்றும் கரைைய�ோை மூலவள முகோரைமத்துவத் திிரைணக்களத்திின் �ணிப்�ோளர் நோ�கத்திிற்கு
எழுத்து மூலம் சமர்ப்�ிக்குமோறு அறிி�த்திருகின்யறின்.
யய��ைைோோசசிிோோிி��ர்ர் பீபீ.. ��ிி.. டடர்ர்னானாிி ��ிிைைதிதிீீப்ப் குகுமமோோைை,,
�ணிப்�ோளர் நோ�கம்,
கரைைய�ோைம் ய�ணல் மற்றும் கரைைய�ோை
மூலவள முகோரைமத்துவம்.
கரைைய�ோைம் ய�ணல் மற்றும் கரைைய�ோை மூலவள முகோரைமத்துவத் திிரைணக்களம்,
4 ஆம் மோடி, புதிி� பெச�லகம், மோளிகோவத்ரைதி, பெகோழும்பு 10.
பெதிோரைலய�சி இலக்கம் : 011-2449754, 011-2387922, 011-2449197
பெ�க்ஸ் இலக்கம் : 011-2438005, 011-2472623
ஈ-பெம�ில் : dg.ccd.lk@gmail.com
EOG 02-0020
,yq;if murhq;f mr;Rj; jpizf;fsj;jpw; gjpg;gpf;fg;ngw;wJ.</t>
  </si>
  <si>
    <t>d6061d54-782b-4d9e-8155-bbb348dab034</t>
  </si>
  <si>
    <t>2474_23</t>
  </si>
  <si>
    <t>2474/23</t>
  </si>
  <si>
    <t>Provincial Councils Act, No. 42 of 1987 — Appointment under Section 32(1) (Gazette 2474/23)</t>
  </si>
  <si>
    <t>m1/raw/2474_23.pdf</t>
  </si>
  <si>
    <t>Y%S ,xld m%cd;dka;%sl iudcjd§ ckrcfha .eiÜ m;%h
w;s úfYI
,yq;ifr; rdehaf Nrhryprf; FbauR th;j;jkhdg; gj;jphpif
mjp tpNr\khdJ
wxl 2474$23 - 2026 fmnrjdß ui 03 jeks w`.yrejdod - 2026'02'03
2474/ 23 Mk; ,yf;fk; - 2026 Mk; Mz;L ngg;GUtup khjk; 03 Me; jpfjp nrt;tha;f;fpoik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 ஆஆம்ம்
ைைிிாாிிவிவிிின்ன் காகாீீழ்ழ் ை ைிியாயாகாகாமம ைைிிரரதேதேதிதிசச சசபைபைைையாயாிின்ன் உஉறுறுப்ப்ைைிினனர்ர் ஒஒருருவிவிாாிின்ன் ைைதிதிவிவிிியாயாிிலாலாாானன வவவிவிற்ற்றிறிிிடடத்த்பைபைதிதி நிநிிிரரப்ப்புபுதிதில்ல்
ைைிியாயாகாகாமம ைைிிரரதேதேதிதிசச சசபைபைைையாயாிின்ன் வவதிதிாாிிந்ந்வவதிதிடுடுத்த்துது அஅனுனுப்ப்ைைப்ப்ைைட்ட்டட உஉறுறுப்ப்ைைிினனர்ர் ஒஒருருவிவிாாிின்ன் ைைதிதிவிவிிி தேதேகாகாட்ட்டுடு விவிிிலாலாகாகாிியாயாபைபைமம காகாாாரரணணமமாாகாகா
வவவிவிற்ற்றிறிிிடடமமாாயாயாிிருருக்க்காகாிின்ன்றிறிதிதிாாதிதிலாலாாாலுலும்ம்;;
தேதேமமற்ற்குகுறிறிிித்த்திதி காகாட்ட்டடபைபைைைச்ச் சசட்ட்டடத்த்திதிிின்ன் 6666அஅ((11))ஆஆம்ம் ைைிிாாிிவிவிிின்ன் காகாீீழ்ழ்,, ைை ிியாயாகாகாமம ைைிிரரதேதேதிதிசச சசபைபைைையாயாிின்ன் வவதிதிாாிிந்ந்வவதிதிடுடுத்த்துது அஅனுனுப்ப்ைைப்ப்ைைட்ட்டுடுள்ள்ைை
உஉறுறுப்ப்ைைிினனரராாகாகா வவதிதிாாிிவுவு வவசசய்ய்யாயாப்ப்ைைட்ட்டட காகாதேதேனனவவைைாாலாலா ஆஆரரச்ச்சசிிதேதேகாகா ஆஆனனந்ந்திதிசசிிறிறிிி சசந்ந்திதிிிரரைைந்ந்துது காகாதேதேனனவவைைாாலாலா எஎன்ன்ைைவிவிர்ர் அஅங்ங்காகாம்ம் விவிகாகாிிக்க்காகாிின்ன்றிறி
ஸ்ரீஸ்ரீலாலாங்ங்காகாாா வவைைாாதுதுஜஜனன வவைைரரமுமுனன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தேதேசசர்ர்ந்ந்திதிவிவிருருமமாானன ைை ிியாயாகாகாமம ைைிிரரதேதேதிதிசச சசபைபைைைக்க்குகு வவதிதிாாிிந்ந்வவதிதிடுடுத்த்துது அஅனுனுப்ப்ைைப்ப்ைைட்ட்டுடுள்ள்ைை உஉறுறுப்ப்ைைிினனர்ர் வவதிதிாாடடர்ர்ைைாாகாகா திதிீீர்ர்மமாானனிிக்க்குகுமமாாறுறு எஎன்ன்னனாால்ல்
ைைணணிிக்க்காகாப்ப்ைைட்ட்டுடுள்ள்ைைாாரராாதிதிலாலாாாலுலும்ம்,,
தேதேமமதேதேலாலா கூகூறிறிப்ப்ைைட்ட்டட அஅங்ங்காகாீீகாகாாாிிக்க்காகாப்ப்ைைட்ட்டட அஅரரசசிியாயால்ல் காகாட்ட்சசிியாயாிின்ன் வவசசயாயாலாலாாாைைாாிினனாால்ல் அஅவ்வ்வவவிவிற்ற்றிறிிிடடத்த்பைபைதிதி நிநிிிரரப்ப்புபுவிவிதிதிற்ற்காகாாாகாகா
வவ��ட்ட்டிடிதேதேகாகா வவதிதிாான்ன் சுசுனனந்ந்திதி குகுணணதேதேசசகாகாரர எஎன்ன்ைைவிவிபைபைரரப்ப் வவைையாயார்ர் குகுறிறிிித்த்துது நிநிிியாயாமமிிக்க்குகும்ம் திதிமமதுது முமுடிடிவிவிிிபைபைனன அஅறிறிிிவிவிிித்த்துதுள்ள்ைைாாரராாதிதிலாலாாாலுலும்ம்,,
ைைிியாயாகாகாமம ைைிிரரதேதேதிதிசச சசபைபைைையாயாிின்ன் வவதிதிாாிிவிவித்த்திதிாாட்ட்சசிி அஅலுலுவிவிலாலாரராானன விவிிிதிதிாானன அஅப்ப்புபு��ாாமமிில்ல்லாலாாாதேதேகாகா ரரவீவீன்ன்திதிிிரர விவிிிக்க்ரரமமசசிிங்ங்ஂ�ஂ�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வவசசயாயாற்ற்ைைட்ட்டுடு வவ��ட்ட்டிடிதேதேகாகா வவதிதிாான்ன் சுசுனனந்ந்திதி குகுணணதேதேசசகாகாரர எஎன்ன்ைைவிவிர்ர் ைைிியாயாகாகாமம ைைிிரரதேதேதிதிசச சசபைபைைைக்க்குகு வவதிதிாாிிந்ந்வவதிதிடுடுத்த்துது அஅனுனுப்ப்ைைப்ப்ைைட்ட்டுடுள்ள்ைை
உஉறுறுப்ப்ைைிினனர்ர் ஒஒருருவிவிரராாகாகாத்த் தேதேதிதிர்ர்ந்ந்வவதிதிடுடுக்க்காகாப்ப்ைைட்ட்டுடுள்ள்ைைதிதிாாகாகா இஇத்த்திதிாால்ல் வவவிவிைைிிப்ப்ைைடுடுத்த்துதுகாகாிின்ன்தேதேறிறின்ன்..
டடப்ப்ைைிியூயூ.. ஏஏ.. ரரவீவீன்ன்திதிிிரர விவிிிக்க்ரரமமசசிிங்ங்��,,
வவதிதிாாிிவிவித்த்திதிாாட்ட்சசிி அஅலுலுவிவிலாலார்ர் ,,
ைைிியாயாகாகாமம ைைிிரரதேதேதிதிசச சசபைபைைை..
மமாாவிவிட்ட்டடத்த் தேதேதிதிர்ர்திதில்ல்காகாள்ள் அஅலுலுவிவிலாலாகாகாம்ம்,,
காகாம்ம்ைை��ாா மமாாவிவிட்ட்டடம்ம்,,
22002266,, வவைைப்ப்புபுருருவிவிாாிி 0022..
EEOOGG 0022 -- 00002211
1A - PG 7511 — 09 (2026/02) ,yq;if murhq;f mr;Rj; jpizf;fsj;jpw; gjpg;gpf;fg;ngw;wJ.
,t; mjptpNrl tu;j;jkhdpia www.documents.gov.lk vDk; ,izaj;jsj;jpypUe;J gjptpwf;fk; nra;a KbAk;.</t>
  </si>
  <si>
    <t>d8cfdc11-ede9-476a-9984-3fd829bf8df7</t>
  </si>
  <si>
    <t>2474_24</t>
  </si>
  <si>
    <t>2474/24</t>
  </si>
  <si>
    <t>Provincial Councils Act, No. 42 of 1987 — Appointment under Section 32(1) (Gazette 2474/24)</t>
  </si>
  <si>
    <t>m1/raw/2474_24.pdf</t>
  </si>
  <si>
    <t>III ෙකාටස - (cid:636) ලංකා (cid:541)ජාතා(cid:486)(cid:437)ක සමාජවා(cid:463) ජනරජෙ(cid:591) අ(cid:431) (cid:618)ෙශෂ ගැස(cid:376) ප(cid:436)ය - 2026.01.12 1A
பகுதி III - இலங்ைகச் சனநாயக ேசாச(cid:8098)சக் கு(cid:8074)யரசு வர்த்தமானப் பத்திாிைக - அதி விேசஷமான(cid:8080) - 2026.01.12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22447744//2244 -- 22002266 ෙෙපපබබරරවවාා(cid:604)(cid:604) මමසස 0033 වවැැ(cid:487)(cid:487) අඅඟඟහහ(cid:606)(cid:606)වවාාදදාා -- 22002266..0022..0033
22447744//2244 ஆஆம்ம் இஇலலக்க்ககம்ம் -- 22002266 ஆஆம்ம் ஆஆண்ண்(cid:8076)(cid:8076) ெ ெ பபப்ப்(cid:8087)(cid:8087)(cid:8094)(cid:8094)வவாாிி மமாாததம்ம் 0033 ஆஆந்ந் ததிிககததிி ெெசசவ்வ்வவாாய்ய்க்க்ககிிழழைைமம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காப்(cid:8087)வாசகம் (அ) வின் கீழான கட்டைள I. ககாாணணிி எஎ(cid:8076)(cid:8076)த்த்ததல்ல் உஉத்த்ததிிேேயயாாககத்த்ததர்ர் :: பபிிரரேேததசச ெெசசயயலலாாளளர்ர்,,
ரரம்ம்(cid:8087)(cid:8087)க்க்ககைைனன..
22002266 ஆஆம்ம் ஆஆண்ண்(cid:8074)(cid:8074)ன்ன் 0022 ஆஆம்ம் இஇலலக்க்ககக்க் ககட்ட்டடைைளள
II. ககாாணணிியயிின்ன் வவிிபபரரம்ம் :: சப்பிரக(cid:8089)வ மாகாணத்தில்,
என(cid:8080) குறிப்(cid:8087) இல.: 4-3/12/2025/HW/53.
ேககாைல மாவட்டத்தில், ரம்(cid:8087)க்கைன பிரேதச ெசயலாளர்
பிரேதச ெசயலாளர் குறிப்(cid:8087) இல.: KEG/RBK/LLA/AQURE/
பிாிவில், இல. 03 நத்தம்(cid:8087)ர கிராம அ(cid:8100)வலர் பிாிவில்
D58/157.
அைமந்(cid:8080)ள்ள காடவட்(cid:8074)ய கிராமத்தில் அைமந்(cid:8080)ள்ள நில
அளைவயாளர் நாயகத்தினால் 2025.10.03 ஆம் திகதி
காணி எ(cid:8076)த்தற் சட்டத்தின் (அத்தியாயம் 460) 38 ஆம் பிாிவின்
தயாாிக்கப்பட்ட (cid:8089)தற் சுவட்(cid:8076) இல. KE/RMB/2025/246 இல்
காப்(cid:8087)வாசகம் (அ) வினால் எனக்களிக்கப்பட்ட தத்(cid:8080)வங்களின்
பிரகாரம் கமத்ெதாழில், கால்நைட வளங்கள், காணி மற்(cid:8096)ம் விபாிக்கப்பட்(cid:8076)ள்ள 0.0920 ெஹக்டயார் விஸ்தீரண(cid:8089)ைடய
நீர்ப்பாசன அைமச்சர் குரகமேக ெதான் லால் காந்த ஆகிய (cid:8080)ண்(cid:8076) 'ஏ' ெதாடக்கம் 'பி' வைரயான காணித் (cid:8080)ண்(cid:8076)களின்
நான், இங்கு கீழ் விபாிக்கப்பட்(cid:8076)ள்ள அட்டவைணயின் I ஆம் எல்ைலகள் பின்வ(cid:8094)மா(cid:8096) :
பந்தியில் குறிப்பிடப்பட்ட காணி எ(cid:8076)த்தல் உத்திேயாகத்த(cid:8094)க்கு
அல்ல(cid:8080) அவரால் அதிகாரமளிக்கப்பட்ட எவேர(cid:8084)ம் உத்தி 01. (cid:8080)(cid:8080)ண்ண்(cid:8076)(cid:8076) ''''ஏஏ"" –– பப(cid:8089)(cid:8089)(cid:8084)(cid:8084)(cid:8089)(cid:8089)ல்ல்ேேலலவவத்த்தத -- வவிிஸ்ஸ்ததீீரரணணம்ம் ::
ேயாகத்தெரா(cid:8094)வ(cid:8094)க்கு அவ் அட்டவைணயின் ேநெராத்த 00..00112299 ெெஹஹக்க்டடயயாார்ர்
IIஆம் பந்தியில் விபாிக்கப்பட்ட காணியின் உைடைமைய
வடக்கு: (cid:8074).என். விக்ரமசிங்க உாிைம ேகா(cid:8094)ம் ஊரா
ெபா(cid:8096)ப்ேபற்பதற்கு இத்தால் கட்டைளயி(cid:8076)கின்ேறன்.
ெகாட்ேடகாவ வத்ைத டபிள்(cid:8092). ஏ.ேசாமாவதி உாிைம
ேகா(cid:8094)ம் ப(cid:8089)(cid:8084)(cid:8089)ல்ேலவத்த மற்(cid:8096)ம் (cid:8106)தி; கிழக்கு: (cid:8080)ண்(cid:8076) பீ
ேக.(cid:8074) லால் காந்த,
((cid:8106)தி); ெதற்கு: இ. கி. வ. 141 இல் (cid:8080)ண்(cid:8076) இல. 130 மற்(cid:8096)ம்
கமத்ெதாழில், கால்நைட வளங்கள்,
113; ேமற்கு : இ. கி. வ.141 இல் (cid:8080)ண்(cid:8076) இல. 113 மற்(cid:8096)ம்
காணி மற்(cid:8096)ம் நீர்ப்பாசன அைமச்சர்.
(cid:8106)தி மற்(cid:8096)ம் (cid:8074).என். விக்ரமசிங்க மற்(cid:8096)ம் உாிைம ேகா(cid:8094)ம்
கமத்ெதாழில், கால்நைட வளங்கள், காணி ஊராெகாட்ேடகாவ வத்ைத
மற்(cid:8096)ம் நீர்ப்பாசன அைமச்சு,
“மிஹிகத ெம(cid:8080)ர”,
காணிச் ெசயலகம்,
இல. 1200/6, இரஜமல்வத்ைத (cid:8106)தி,
பத்தர(cid:8089)ல்ைல,
2025, சனவாி 27.
1A - G46221 - 08 (2026/02)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- 2026.02.03
பகுதி III - இலங்ைகச் சனநாயக ேசாச(cid:8098)சக் கு(cid:8074)யரசு வர்த்தமானப் பத்திாிைக - அதி விேசஷமான(cid:8080) - 2026.02.03
02. (cid:8080)(cid:8080)ண்ண்(cid:8076)(cid:8076) ''''பீபீ"" -- வவிிஸ்ஸ்ததீீரரணணம்ம் :: 00..00001177 ெெஹஹக்க்டடயயாார்ர் மற்(cid:8096)ம் (cid:8106)தி ((cid:8106)தி அபிவி(cid:8094)த்தி அதிகார சைப; ேமற்கு :
வடக்கு: (cid:8080)ண்(cid:8076) ஏ, (cid:8074).என். விக்ரமசிங்க உாிைம ேகா(cid:8094)ம் (cid:8106)தி ((cid:8106)தி அபிவி(cid:8094)த்தி அதிகார சைப மற்(cid:8096)ம் ஜீ. ஆர்.
ஊராெகாட்ேடகாவ வத்ைத (cid:8106)தி மற்(cid:8096)ம் டபிள்(cid:8092). ஏ. டீ.குமாாி மற்(cid:8096)ம் உாிைம ேகா(cid:8094)ம் கிாிவானாேஹன அல்ல(cid:8080)
ேசாமாவதி உாிைம ேகா(cid:8094)ம் ப(cid:8089)(cid:8084)(cid:8089)ல்ேலவத்த; கிழக்கு: ஊராெகாட்ேடகாவ வத்ைத.
டபிள்(cid:8092). ஏ.ேசாமாவதி உாிைம ேகா(cid:8094)ம் ப(cid:8089)(cid:8084)(cid:8089)ல்ேலவத்த
(cid:8080)ண்(cid:8076) சீ; ெதற்கு: இ. கி. வ. 141 இல் (cid:8080)ண்(cid:8076) இல. 131, 130 09. (cid:8080)(cid:8080)ண்ண்(cid:8076)(cid:8076) ''''ேேஜஜ"" -- ஊஊரராாெெககாாட்ட்ேேடடககாாவவ வவத்த்ைைதத --
வவிிஸ்ஸ்ததீீரரணணம்ம்:: 00..00002222 ெெஹஹக்க்டடயயாார்ர்
மற்(cid:8096)ம் 113; ேமற்கு: இ. கி. வ.141 இல் (cid:8080)ண்(cid:8076) இல. 113
வடக்கு: (cid:8106)தி(பிரேதச), (cid:8080)ண்(cid:8076) ேக மற்(cid:8096)ம் டபிள்(cid:8092).ஏ.எஸ்.
மற்(cid:8096)ம் (cid:8080)ண்(cid:8076) ஏ.
வனசிங்க உாிைம ேகா(cid:8094)ம் ஊராெகாட்ேடகாவ வத்ைத;
கிழக்கு: டபிள்(cid:8092).ஏ.எஸ். வனசிங்க மற்(cid:8096)ம் உாிைம
03. (cid:8080)(cid:8080)ண்ண்(cid:8076)(cid:8076) ''''சசீீ"" -- பப(cid:8089)(cid:8089)(cid:8084)(cid:8084)(cid:8089)(cid:8089)ல்ல்ேேலலவவத்த்தத --வவிிஸ்ஸ்ததீீரரணணம்ம் :: 00..00005577
ேகா(cid:8094)ம் ஊராெகாட்ேடகாவ வத்ைத; ெதற்கு: (cid:8106)தி ((cid:8106)தி
ெெஹஹக்க்டடயயாார்ர்
அபிவி(cid:8094)த்தி அதிகார சைப) ; ேமற்கு : (cid:8106)தி ((cid:8106)தி அபிவி(cid:8094)த்தி
வடக்கு: (cid:8106)தி மற்(cid:8096)ம் டபிள்(cid:8092) ஏ.ேசாமாவதி உாிைம
அதிகார சைப) மற்(cid:8096)ம் (cid:8106)தி(பிரேதச).
ேகா(cid:8094)ம் ப(cid:8089)(cid:8084)(cid:8089)ல்ேலவத்த; கிழக்கு: டபிள்(cid:8092) ஏ.ேசாமாவதி
உாிைம ேகா(cid:8094)ம் ப(cid:8089)(cid:8084)(cid:8089)ல்ேலவத்த; ெதற்கு: இ. கி. வ. 141 10. (cid:8080)(cid:8080)ண்ண்(cid:8076)(cid:8076) ''''ேேகக"" -- ஊஊரராாெெககாாட்ட்ேேடடககாாவவ வவத்த்ைைதத --
இல் (cid:8080)ண்(cid:8076) இல. 131 மற்(cid:8096)ம் 130; ேமற்கு : இ. கி. வ.141 இல் வவிிஸ்ஸ்ததீீரரணணம்ம்:: 00..00000099 ெெஹஹக்க்டடயயாார்ர்
(cid:8080)ண்(cid:8076) இல. 131, 130 மற்(cid:8096)ம் (cid:8080)ண்(cid:8076) பீ. வடக்கு: (cid:8106)தி(பிரேதச), (cid:8080)ண்(cid:8076) ேக; கிழக்கு: டபிள்(cid:8092). ஏ.
ஜயதிஸ்ஸ மற்(cid:8096)ம் மாெனல் வனசிங்க உாிைம ேகா(cid:8094)ம்
04. (cid:8080)(cid:8080)ண்ண்(cid:8076)(cid:8076) ''''டீடீ"" –– ஊஊரராாெெககாாட்ட்ேேடடககாாவவ வவத்த்ைைதத -- வவிிஸ்ஸ்ததீீரரணணம்ம்:: ஊராெகாட்ேடகாவ வத்ைத மற்(cid:8096)ம் ஜீ. ஆர். டீ. குமாாி
00..00111133 ெெஹஹக்க்டடயயாார்ர் உாிைம ேகா(cid:8094)ம் ஊராெகாட்ேடகாவ வத்ைத; ெதற்கு: ஜீ.
வடக்கு: (cid:8074).என். விக்ரமசிங்க மற்(cid:8096)ம் உாிைம ேகா(cid:8094)ம் ஆர். டீ.குமாாி உாிைம ேகா(cid:8094)ம் ஊராெகாட்ேடகாவ வத்ைத
ஊராெகாட்ேடகாவ வத்ைத, இ. கி. வ. 141 இல் (cid:8080)ண்(cid:8076) இல. வனசிங்க மற்(cid:8096)ம் உாிைம ேகா(cid:8094)ம் ஊராெகாட்ேடகாவ
129,130 மற்(cid:8096)ம் 135; கிழக்கு: இ. கி. வ. 141 இல் (cid:8080)ண்(cid:8076) இல. வத்ைத (cid:8080)ண்(cid:8076) ேஜ; ேமற்கு: (cid:8106)தி(பிரேதச).
148 (cid:8106)தி(பிரேதச); ெதற்கு: (cid:8106)தி(பிரேதச); ேமற்கு: (cid:8080)ண்(cid:8076)
11. (cid:8080)(cid:8080)ண்ண்(cid:8076)(cid:8076) ''''எஎம்ம்"" -- ஊஊரராாெெககாாட்ட்ேேடடககாாவவ வவத்த்ைைதத --
ஈ ((cid:8106)தி) மற்(cid:8096)ம் (cid:8074).என். விக்ரமசிங்க மற்(cid:8096)ம் உாிைம
வவிிஸ்ஸ்ததீீரரணணம்ம் :: 00..00006644 ெெஹஹக்க்டடயயாார்ர்
ேகா(cid:8094)ம் ஊராெகாட்ேடகாவ வத்ைத.
வடக்கு: (cid:8106)தி(பிரேதச); கிழக்கு: (cid:8080)ண்(cid:8076) என். (cid:8074).என்.
விக்ரமசிங்க உாிைம ேகா(cid:8094)ம் ஊராெகாட்ேடகாவ வத்ைத
05. (cid:8080)(cid:8080)ண்ண்(cid:8076)(cid:8076) ''''ஈஈ"" -- வவிிஸ்ஸ்ததீீரரணணம்ம் :: 00..00000099 ெெஹஹக்க்டடயயாார்ர்
டபிள்(cid:8092). ஏ. ஜயதிஸ்ஸ மற்(cid:8096)ம் மாெனல் வனசிங்க உாிைம
வடக்கு: (cid:8106)தி மற்(cid:8096)ம் (cid:8074).என். விக்ரமசிங்க உாிைம ேகா(cid:8094)ம்
ேகா(cid:8094)ம் ஊராெகாட்ேடகாவ வத்ைத; ெதற்கு: டபிள்(cid:8092). ஏ.
ஊராெகாட்ேடகாவ வத்ைத; கிழக்கு: (cid:8080)ண்(cid:8076) டீ மற்(cid:8096)ம்
ஜயதிஸ்ஸ மற்(cid:8096)ம் மாெனல் வனசிங்க உாிைம ேகா(cid:8094)ம்
(cid:8106)தி(பிரேதச) ; ெதற்கு: (cid:8106)தி(பிரேதச) மற்(cid:8096)ம் (cid:8080)ண்(cid:8076) எப் ; ஊராெகாட்ேடகாவ வத்ைத; ேமற்கு: ஜீ.ஆர்.டீ.குமாாி
ேமற்கு : (cid:8080)ண்(cid:8076) எப் மற்(cid:8096)ம் டபிள்(cid:8092). ஏ. ஜயதிஸ்ஸ மற்(cid:8096)ம் உாிைம ேகா(cid:8094)ம் ஊராெகாட்ேடகாவ வத்ைத (cid:8080)ண்(cid:8076) ேக
மாெனல் வனசிங்க உாிைம ேகா(cid:8094)ம் ஊராெகாட்ேடகாவ மற்(cid:8096)ம் (cid:8106)தி(பிரேதச).
வத்ைத.
12. (cid:8080)(cid:8080)ண்ண்(cid:8076)(cid:8076) ''''எஎன்ன்"" -- ஊஊரராாெெககாாட்ட்ேேடடககாாவவ வவத்த்ைைதத --
06. (cid:8080)(cid:8080)ண்ண்(cid:8076)(cid:8076) ''''எஎப்ப்"" -- ஊஊரராாெெககாாட்ட்ேேடடககாாவவ வவத்த்ைைதத -- வவிிஸ்ஸ்ததீீரரணணம்ம் :: 00..00006677 ெெஹஹக்க்டடயயாார்ர்
வவிிஸ்ஸ்ததீீரரணணம்ம் :: 00..00009922 ெெஹஹக்க்டடயயாார்ர் வடக்கு: (cid:8106)தி(பிரேதச); கிழக்கு: (cid:8080)ண்(cid:8076) பீ, மாெனல்
வடக்கு: டபிள்(cid:8092). ஏ. ஜயதிஸ்ஸ மற்(cid:8096)ம் மாெனல் வனசிங்க வனசிங்க உாிைம ேகா(cid:8094)ம் ெகாரக்கயாவத்த மற்(cid:8096)ம் (cid:8074).என்.
உாிைம ேகா(cid:8094)ம் ஊராெகாட்ேடகாவ வத்ைத மற்(cid:8096)ம் (cid:8106)தி; விக்ரமசிங்க உாிைம ேகா(cid:8094)ம் ஊராெகாட்ேடகாவ வத்ைத,
கிழக்கு: (cid:8080)ண்(cid:8076) ஈ மற்(cid:8096)ம் (cid:8106)தி (பிரேதச) ;ெதற்கு: (cid:8106)தி(பிரேதச) டபிள்(cid:8092). ஏ. ஜயதிஸ்ஸ மற்(cid:8096)ம் மாெனல் வனசிங்க
உாிைம ேகா(cid:8094)ம் ஊராெகாட்ேடகாவ வத்ைத; ெதற்கு: (cid:8074).
(cid:8080)ண்(cid:8076) ஜீ; ேமற்கு : (cid:8080)ண்(cid:8076) ஜீ (cid:8106)தி(பிரேதச) டபிள்(cid:8092). ஏ.
என். விக்ரமசிங்க உாிைம ேகா(cid:8094)ம் ஊராெகாட்ேடகாவ
ஜயதிஸ்ஸ மற்(cid:8096)ம் மாெனல் வனசிங்க உாிைம ேகா(cid:8094)ம்
வத்ைத; ேமற்கு: டபிள்(cid:8092). ஏ. ஜயதிஸ்ஸ மற்(cid:8096)ம் மாெனல்
ஊராெகாட்ேடகாவ வத்ைத.
வனசிங்க உாிைம ேகா(cid:8094)ம் ஊராெகாட்ேடகாவ வத்ைத
(cid:8080)ண்(cid:8076) எம் மற்(cid:8096)ம் (cid:8106)தி(பிரேதச).
07. (cid:8080)(cid:8080)ண்ண்(cid:8076)(cid:8076) ''''ஜஜீீ"" -- வவிிஸ்ஸ்ததீீரரணணம்ம் :: 00..00001144 ெெஹஹக்க்டடயயாார்ர்
வடக்கு: (cid:8106)தி மற்(cid:8096)ம் டபிள்(cid:8092). ஏ. ஜயதிஸ்ஸ மற்(cid:8096)ம்
13. (cid:8080)(cid:8080)ண்ண்(cid:8076)(cid:8076) ''''பபிி"" -- ெெககாாரரக்க்ககயயாாவவத்த்தத --வவிிஸ்ஸ்ததீீரரணணம்ம் :: 00..00006655
மாெனல் வனசிங்க உாிைம ேகா(cid:8094)ம் ஊராெகாட்ேடகாவ
ெெஹஹக்க்டடயயாார்ர்
வத்ைத மற்(cid:8096)ம் (cid:8106)தி; கிழக்கு: (cid:8080)ண்(cid:8076) எப் ;ெதற்கு:
வடக்கு: (cid:8106)தி(பிரேதச), இ. கி. வ 141 இல் (cid:8080)ண்(cid:8076) இல. 148
(cid:8106)தி(பிரேதச) (cid:8080)ண்(cid:8076) எச்; ேமற்கு : (cid:8080)ண்(cid:8076) எச் மற்(cid:8096)ம் மற்(cid:8096)ம் 149; கிழக்கு: இ. கி. வ 141 இல் (cid:8080)ண்(cid:8076) இல. 149
ஜீ.ஆர்.டீ.குமாாி உாிைம ேகா(cid:8094)ம் கிாிவானாேஹன அல்ல(cid:8080) மற்(cid:8096)ம் மாெனல் வனசிங்க மற்(cid:8096)ம் இன்(cid:8084)ம் சிலா் உாிைம
ஊராெகாட்ேடகாவ வத்ைத. ேகா(cid:8094)ம் ெகாரக்கயாவத்த; ெதற்கு: மாெனல் வனசிங்க மற்(cid:8096)ம்
இன்(cid:8084)ம் சிலா் உாிைம ேகா(cid:8094)ம் ெகாரக்கயாவத்த; ேமற்கு:
08. (cid:8080)(cid:8080)ண்ண்(cid:8076)(cid:8076) ''''எஎச்ச்"" -- ககிிாாிிவவாானனாாேேஹஹனன அஅல்ல்லல(cid:8080)(cid:8080) ஊஊரராா (cid:8074).என்.விக்ரமசிங்க உாிைம ேகா(cid:8094)ம் ஊராெகாட்ேடகாவ
ெெககாாட்ட்ேேடடககாாவவ வவத்த்ைைதத -- வவிிஸ்ஸ்ததீீரரணணம்ம் :: 00..00226622 ெெஹஹக்க்டடயயாார்ர் வத்ைத (cid:8080)ண்(cid:8076) என் மற்(cid:8096)ம் (cid:8106)தி(பிரேதச).
வடக்கு: ஜீ.ஆர்.டீ.குமாாி உாிைம ேகா(cid:8094)ம் கிாிவானா
ேஹன அல்ல(cid:8080) ஊராெகாட்ேடகாவ வத்ைத; கிழக்கு: (cid:8106)தி EOG 02 - 0022
(cid:8080)ண்(cid:8076) ஜீ ((cid:8106)தி) மற்(cid:8096)ம் (cid:8106)தி(பிரேதச); ெதற்கு: (cid:8106)தி (பிரேதச)
இலங்ைக அரசாங்க அச்சுத் திைணக்களத்தில் அச்சிடப்பட்ட(cid:8080).</t>
  </si>
  <si>
    <t>aada71db-b08f-4f4f-8c58-ecf32796671a</t>
  </si>
  <si>
    <t>2474_25</t>
  </si>
  <si>
    <t>2474/25</t>
  </si>
  <si>
    <t>Provincial Councils Act, No. 42 of 1987 — Appointment under Section 32(1) (Gazette 2474/25)</t>
  </si>
  <si>
    <t>m1/raw/2474_25.pdf</t>
  </si>
  <si>
    <t>Y%S ,xld m%cd;dka;%sl iudcjd§ ckrcfha .eiÜ m;%h
w;s úfYI
,yq;ifr; rdehaf Nrhryprf; FbauR th;j;jkhdg; gj;jphpif
mjp tpNr\khdJ
wxl 2474$25 - 2026 fmnrjdß ui 03 jeks w`.yrejdod - 2026'02'03
2474/ 25 Mk; ,yf;fk; - 2026 Mk; Mz;L ngg;GUtup khjk; 03 Me; jpfjp nrt;tha;f;fpoik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22001177 ஆஆம்ம் ஆஆண்ண்டிடின்ன் 1166 ஆஆம்ம் இஇலலக்க்காகா உஉள்ள்ளூளூர்ர் அஅதிதிிிகாகாாாரர சசபைபைைைகாகாள்ள் ((திதிிிருருத்த்திதிச்ச்)) சசட்ட்டடத்த்திதிிினானாாால்ல் திதிிிருருத்த்திதிிியயபைபைைைக்க்காகாப்ப்ைைட்ட்டட
((226622 ஆஆம்ம் அஅத்த்திதிிியயாாயயம்ம்)) உஉள்ள்ளூளூர்ர் அஅதிதிிிகாகாாாரர சசபைபைைைகாகாள்ள் தேதேதிதிர்ர்திதில்ல்காகாள்ள் காகாட்ட்டடபைபைைைச்ச் சசட்ட்டடத்த்திதிிின்ன் 6666ஆஆ((22)) ஆஆம்ம்
ைைிிாாிிவிவிிின்ன் காகாீீழ்ழ் ைை ிினுனுவிவிங்ங்கககாகாாாபைபைடட நநகாகாரர சசபைபைைை திதிவிவிிிசசாாைைர்ர் ஒஒருருவிவிாாிின்ன் ைைதிதிவிவிிியயிிலலாானானா ககவிவிற்ற்றிறிிிடடத்த்பைபைதிதி நநிிரரப்ப்புபுதிதில்ல்
தேதேகாகாட்ட்டுடு விவிிிலலகாகாிியயபைபைைை காகாாாரரணணைைாாகாகா ைைிினுனுவிவிங்ங்கககாகாாாபைபைடட நநகாகாரர சசபைபைைையயிின்ன் திதிவிவிிிசசாாைைர்ர் ைைதிதிவிவிிி ககவிவிற்ற்றிறிிிடடைைாாகாகாிியுயுள்ள்ைைதிதிாாதிதிலலாாலுலும்ம்;;
தேதேைைற்ற்கூகூறிறிப்ப்ைைட்ட்டட காகாட்ட்டடபைபைைைச்ச் சசட்ட்டடத்த்திதிிின்ன் 6666ஆஆ((22)) எஎன்ன்னுனும்ம் ைைிிாாிிவிவிிின்ன் காகாீீழ்ழ்,, ை ைிினுனுவிவிங்ங்கககாகாாாபைபைடட நநகாகாரர சசபைபைைையயிின்ன் திதிவிவிிிசசாாைைர்ர் ைைதிதிவிவிிி
விவிகாகாிித்த்திதி விவிிிக்க்ரரைை ஆஆரரச்ச்சசிிதேதேகாகா அஅதேதேசசலல விவிிிக்க்ரரைைாாரரச்ச்சசிி எஎன்ன்ைைவிவிர்ர் அஅங்ங்காகாம்ம் விவிகாகாிிக்க்காகாிின்ன்றிறி தேதேதிதிசசிியய ைைக்க்காகாள்ள் சசக்க்திதிிி எஎன்ன்றிறி அஅங்ங்காகாீீகாகாாாிிக்க்காகாப்ப்ைைட்ட்டட அஅரரசசிியயல்ல்
காகாட்ட்சசிியயிின்ன் ககசசயயலலாாைைர்ர் முமுப்ப்ைைதுது ((3300)) நநாாட்ட் காகாாாலலக்க்கககாகாடுடுவுவுக்க்குகுள்ள் திதிவிவிிிசசாாைைர்ர் ஒஒருருவிவிரராாகாகா ககதிதிாாிிந்ந்ககதிதிடுடுக்க்காகாப்ப்ைைட்ட்டடவிவிககரரனானா ககவிவிிிிிப்ப்ைைடுடுத்த்திதி
தேதேவிவிண்ண்டிடியயவிவிருரும்ம் அஅக்க்காகாட்ட்சசிிபைபையயச்ச் தேதேசசர்ர்ந்ந்திதிவிவிருரும்ம் ைைிினுனுவிவிங்ங்கககாகாாாபைபைடட நநகாகாரர சசபைபைைைக்க்குகு ககதிதிாாிிந்ந்ககதிதிடுடுத்த்துது அஅனுனுப்ப்ைைப்ப்ைைட்ட்டுடுள்ள்ைைவிவிருருைைாானானா
திதிவிவிிிசசாாைைர்ர் ககதிதிாாடடர்ர்ைைாாகாகா திதிீீர்ர்ைைாானானாிிக்க்குகுைைாாறுறு எஎன்ன்னானாாால்ல் ைைணணிிக்க்காகாப்ப்ைைட்ட்டுடுள்ள்ைைாாரராாதிதிலலாாலுலும்ம் ;;
தேதேைைதேதேலல கூகூறிறிப்ப்ைைட்ட்டட அஅங்ங்காகாீீகாகாாாிிக்க்காகாப்ப்ைைட்ட்டட அஅரரசசிியயல்ல் காகாட்ட்சசிியயிின்ன் ககசசயயலலாாைைர்ர் அஅத்த்திதிபைபைகாகாயய ககவிவிற்ற்றிறிிிடடத்த்பைபைதிதி நநிிரரப்ப்புபுவிவிதிதிற்ற்குகு ஆஆரரச்ச்சசிி
அஅப்ப்புபுஹாஹாாாைைிிலலாாதேதேகாகா ஜாஜாாானானாகாகா ககசசனானாவிவிிிரரத்த்னானா எஎன்ன்ைைவிவிபைபைரரப்ப் ககைையயர்ர் குகுறிறிிிக்க்குகும்ம் திதிீீர்ர்ைைாானானாத்த்பைபைதிதி அஅறிறிிிவிவிிித்த்துதுள்ள்ைைாாரராாதிதிலலாாலுலும்ம் ;;
ைை ிினுனுவிவிங்ங்கககாகாாாபைபைடட நநகாகாரர சசபைபைைையயிின்ன் ககதிதிாாிிவிவித்த்திதிாாட்ட்சசிி அஅலுலுவிவிலலர்ர் விவிிிதிதிாானானா அஅப்ப்புபுஹாஹாாாைைிில்ல்லலாாதேதேகாகா ரரவீவீன்ன்திதிிிரர விவிிிக்க்ரரைைசசிிங்ங்ஂஹாஂஹா ஆஆகாகாிியய நநாான்ன்,,
22001177 ஆஆம்ம் ஆஆண்ண்டிடின்ன் 1166 ஆஆம்ம் இஇலலக்க்காகா உஉள்ள்ளூளூர்ர் அஅதிதிிிகாகாாாரர சசபைபைைைகாகாள்ள் ((திதிிிருருத்த்திதிச்ச்)) சசட்ட்டடத்த்திதிிினானாாால்ல் திதிிிருருத்த்திதிிியயபைபைைைக்க்காகாப்ப்ைைட்ட்டட உஉள்ள்ளூளூர்ர் அஅதிதிிிகாகாாாரர
சசபைபைைைகாகாள்ள் தேதேதிதிர்ர்திதில்ல்காகாள்ள் காகாட்ட்டடபைபைைைச்ச் சசட்ட்டடத்த்திதிிின்ன் ((226622 ஆஆம்ம் அஅத்த்திதிிியயாாயயைைாானானா)) 6666ஆஆ((22)) எஎன்ன்னுனும்ம் ைைிிாாிிவிவிிின்ன் நநிியயதிதிிிகாகாைைிின்ன்ைைடிடி ககசசயயற்ற்ைைட்ட்டுடு
ஆஆரரச்ச்சசிி அஅப்ப்புபுஹாஹாாாைைிிலலாாதேதேகாகா ஜாஜாாானானாகாகா ககசசனானாவிவிிிரரத்த்னானா எஎன்ன்ைைவிவிர்ர் ைை ிினுனுவிவிங்ங்கககாகாாாபைபைடட நநகாகாரர சசபைபைைையயிின்ன் திதிவிவிிிசசாாைைர்ர் தேதேதிதிர்ர்ந்ந்ககதிதிடுடுக்க்காகாப்ப்ைைட்ட்டுடுள்ள்ைைாாககரரனானா
இஇத்த்திதிாால்ல் ககவிவிைைிிப்ப்ைைடுடுத்த்துதுகாகாிின்ன்தேதேறிறின்ன்..
டடப்ப்ைைிியூயூ.. ஏஏ.. ரரவீவீன்ன்திதிிிரர விவிிிக்க்ரரைைசசிிங்ங்ஹாஹா,,
ககதிதிாாிிவிவித்த்திதிாாட்ட்சசிி அஅலுலுவிவிலலர்ர் ,,
ைைிினுனுவிவிங்ங்கககாகாாாபைபைடட நநகாகாரர சசபைபைைை..
ைைாாவிவிட்ட்டடத்த் தேதேதிதிர்ர்திதில்ல்காகாள்ள் அஅலுலுவிவிலலகாகாம்ம்,,
காகாம்ம்ைைஹாஹாாா,,
22002266,, ககைைப்ப்புபுருருவிவிாாிி 0022 ஆஆம்ம் திதிிிகாகாதிதிிி..
EEOOGG 0022 -- 00002244
1A - PG 7513 — 09 (2026/02) ,yq;if murhq;f mr;Rj; jpizf;fsj;jpw; gjpg;gpf;fg;ngw;wJ.
,t; mjptpNrl tu;j;jkhdpia www.documents.gov.lk vDk; ,izaj;jsj;jpypUe;J gjptpwf;fk; nra;a KbAk;.</t>
  </si>
  <si>
    <t>9d114f79-ee86-41ba-b9cc-0b783963a59a</t>
  </si>
  <si>
    <t>2474_26</t>
  </si>
  <si>
    <t>2474/26</t>
  </si>
  <si>
    <t>Title Registration Act, No. 21 of 1998, Section 14 — Commissioner of Title Settlement decision (Gazette 2474/26)</t>
  </si>
  <si>
    <t>Commissioner of Title Settlement's decision under Section 14 of the Title Registration Act No. 21 of 1998. Part III — Lands. Land parcel No.71 in Goluwagoda; references Gazette 830856 of 16 December 2024 and Gazette 2415/66 of 21 June 2025.</t>
  </si>
  <si>
    <t>m1/raw/2474_26.pdf</t>
  </si>
  <si>
    <t>ශ්‍රී ලංකා ප්‍රජාාාා්ත්‍රික සමාජාවාදී ජානරජායේ ගැසට් පත්‍රය
අති විශෙෂ
අංක 2474/26 - 2026 ශෙබරවාරි මස 03 වැනි අඟහරුවාදා - 2026.02.03
(රජායේ බලයපිට ප්‍රසිද්ධ කරන ලදී)
III වැනි ශකොටස - ඉඩම්
හිමිකම් ලියාෙදංචි කිරීම
1998 අංක 21 දරන හිමිකම් ලියාෙදංචි කිරීශම් ෙනත
14 වැනි වග්තතිය යටයේ හිමිකම් නිරවුල් කිරීයම් යකොමසාරිස්යේ තීරණ ප්‍රකායය
දකුණු පළායේ, හම්බ්තයාොට දිස්්‍රික්කයකයේ, ණුණුගම්යවයහර ප්‍රාය්ධය ය යල්කම් යකොට්සාසයේ, කංක 1 - දුටුගැමුණුපුර ග්‍රාම නිල ාරි යකොට්සාසය
තුළ දුටුගැමුණුපුර නමැති ගයම් පිහිටියා වූ ද කංක 830056 දරන කැඩැසා් ර සිදතියයම් කලාප කංක 3 හි කැබලි කංක 1:46 දරන ඉඩම් යකොටස යලස
යප්තනුම් යකොට ඇේාා වූ ද, හිමිකම් පෑම් ඉදිරිපේ කරන යලස දැනුම් යදමි්ත 1998 කංක 21 දරන හිමිකම් ලියාපදිංචි කිරීයම් පනයේ 12 වැනි
වග්තතිය ප්‍රකාර 2024112116 වැනි දින කංක 2415006 දරන ගැසට් පත්‍රයේ යථා පරිදි පළකරන ලද කංක 83004 1 දරන දැ්තවීයම් සඳහ්ත යකොට
ඇේාා වූ ද, ඉඩම් යකොටස්වල කයිතිය සම්බ්ත යය්ත යමහි උපයල්ඛනයේ දැක්කයයවන මායේ තීරණ 1998 කංක 21 දරන හිමිකම් ලියාපදිංචි කිරීයම්
පනයේ 14 වැනි වග්තතියය්ත පහා කේස්ත කරන මා යවා පවරා ඇති බලාල ප්‍රකාර, මම යමයි්ත ප්‍රකාය කරමි1
පී. සී. ඩී. සිශේරා,
ඉඩම් හිමිකම් නිරවුල් කිරීයම් යකොමසාරිස් ජානරාල්1
2025 ජූලි මස 02 වැනි දින,
බේාරමුල්ල,
රජාමල්වේා පාර,
"මිහිකා මැදුර", කංක 120006,
ඉඩම් හිමිකම් නිරවුල් කිරීයම් යදපාර්ායම්්තතුයේ දී ය1
1A - G G 46223 - 03 (2026 / 02)
සැ1යු1- යමම කති වියයෂ ගැසට් පත්‍රය www.documents.gov.lk යවබ් කඩවියය්ත බාගා කළ හැක1
2 A III ශකොටස - ශ්‍රී කංකා ‍රජාාතා්ත්‍රික සමාජාවා ජ ජානරජාශඅ අති විශෙෂ සැස ප ෙ‍රය - 2026.02.03
උෙශේඛනය
———————————————————————————————–--———————————————————————————————————————————————————
විනිය්චය්ත සහ යම් වියයේෂ යහෝ
පත්‍ර කංකය ඉ්තයජා්තෂ්ත ාහනම් යපෞ්ධගලික
සහ ඉඩම් වියාලේවය කයිතිකරුයේ0කයිතිකරුව්තයේ ජාාතික කයිති කයිතියේ කයේක්කයෂායව්ත ඇති නීතියකට යටේ
යකොටයස ේ සම්පූර්ණ නම0නම් සහ ලිපිනය හැඳුනුම්පේ ඉඩයම් ප්තතිය සහ උකස් සහ බැඳීම් නම් ඒ පිළිබඳ
කංකය කංකය ප්‍රමාණය ස්වභාවය පිළිබඳ විස්ාර විස්ාර
———————————————————————————————————————————————————————————————————————————————————-
(යහක්කයටයාර්)
1 : 46 010353 රජාය _ සම්පූර්ණ ප්‍රථම ප්තතිය _ _
EOG 02 - 0026
ශ්‍රී ලංකා රජායේ මු‍රණ යදපාර්ායම්්තතුයේ මු‍රණය කරන ලදී1</t>
  </si>
  <si>
    <t>08874967-f909-4830-85e1-b36b664a507b</t>
  </si>
  <si>
    <t>2474_27</t>
  </si>
  <si>
    <t>2474/27</t>
  </si>
  <si>
    <t>Title Registration Act, No. 21 of 1998, Section 14 — Commissioner of Title Settlement's decision under Section 14 (Gazette 2474/27)</t>
  </si>
  <si>
    <t>m1/raw/2474_27.pdf</t>
  </si>
  <si>
    <t>00f84135-c485-401c-a6c0-248f6f883037</t>
  </si>
  <si>
    <t>2474_28</t>
  </si>
  <si>
    <t>2474/28</t>
  </si>
  <si>
    <t>Title Registration Act, No. 21 of 1998, Section 14 — Commissioner of Title Settlement's decision under Section 14 (Gazette 2474/28)</t>
  </si>
  <si>
    <t>m1/raw/2474_28.pdf</t>
  </si>
  <si>
    <t>c500f46d-801f-44c9-95e2-7793fe1520fb</t>
  </si>
  <si>
    <t>2474_29</t>
  </si>
  <si>
    <t>2474/29</t>
  </si>
  <si>
    <t>Title Registration Act, No. 21 of 1998, Section 14 — Commissioner of Title Settlement decision (Gazette 2474/29)</t>
  </si>
  <si>
    <t>m1/raw/2474_29.pdf</t>
  </si>
  <si>
    <t>III �ක ස�ටස - ශ්‍රී ��ක ස� ‍රා���්ත්‍රික ස සම�ා�� ජ ාජයා�� ි ව ශෙ��ග ��ස ප ්‍ර� - 2026.02.03 1 A
பகுத� III - இலங்�கச் சன��யக �ச�சலிசக் குடியரசு வர்த்தம�னப் பத்த����க - அத� வ��சஷம�னது - 2026.02.03
ශ්‍රී ��ක� ප්‍රජ���්ත්‍රික ස��ජ��දී ජනරජ�� ��සට් පත්‍රය
இலங்�கச் சன��யக �ச�சலிசக் குடியரசு வர்த்தம�னப் பத்த����க
ි ව ශෙ��ග அத� வ��சஷம�னது
ි�ක ස 2474/29 - 2026 �්බය��රි මස 03 ��නි ිඟහරු���� - 2026.02.03
2474/29 ஆம் இலக்கம் - 2026 ஆம் ஆண்டு �பப்புருவ�� ம�தம் 03 ஆந் த�கத� �சவ்வ�ய்க்க�ழ�ம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��ன், 1998 ஆம் ஆண்டின் 21 ஆம் இலக்க உ��த்துப் பத�வுச் சட்டத்த�ன் 12 ஆம் ப���வ�ன்
��யத�கள�ன்படி 2024.10.24 ஆந் த�கத�ய, 2407/32 ஆம் இலக்க வர்த்தம�ன�ய�ல் உ��ய மு�றய�ல் �வள�ய�டப்பட்டதும், க�ண�க்க�ன
உ���மக் �க���க்�கக�ளக் �க�ருக�ன்றதும�ன 11/0580 ஆம் இலக்க அற�வ�த்தலில் குற�ப்பீடு �சய்யப்பட்ட வட மத்த�ய ம�க�ணத்த�ல்,
அநுர�தபுரம் ம�வட்டத்த�ல், மஹவ�லச்ச�ய ப�ர�தச �சயல�ளர் ப���வ�ல், இல. 366 - தந்த���ம�ல க�ர�ம அலுவலர் ப���வ�னுள் ��ரங்வ�ல
க�ர�மத்த�ல் அ�மந்துள்ளதும் 110219 ஆம் இலக்க கடத்த�ரல் அள�வ வ�ரபடத்த�ல் ப���வு இல. 01 இல் அடங்க�யுள்ளதும�ன 1:99, 1:100,
1:101, 1:102, 1:103, 1:104, 1:105, 1:106, 1:107, 1:108, 1:109, மற்றும் 1:110 ஆம் இலக்கங்க�ளக் �க�ண்ட க�ண�த்துண்டுகளுக்க�ன
உ��த்து �த�டர்ப�க இத�ன�டு இ�ணக்கப்பட்ட அட்டவ�ணய�ல் தரப்பட்டுள்ளவ�ற�ன எனது த�ர்ம�னத்�த இத்த�ல் �வள�ப்படுத்து
க�ன்�றன்.
பீ.ச�.டீ. ச��கர�,
க�ண� உ��த்து ��ர்ணய ஆ�ணய�ளர் ��யகம்.
க�ண� உ��த்து ��ர்ணயத் த��ணக்களம்,
இல. 1200/6, “ம�ஹ�கத �மதுர”,
இரஜமல்வத்த வீத�,
பத்தரமுல்�ல,
2025 ஆம் ஆண்டு த��சம்பர் ம�தம் 08 ஆம் த�கத�.
1A - G 46226 - 03 (2026/02)
மு. கு. - இவ் அத�வ��ஷட வர்த்தம�ன��ய www.documents.gov.lk எனும் இ�ணயத்தளத்த�லிருந்து பத�வ�றக்கம் �சய்ய முடியும்.
2 A III �ක ස�ටස - ශ්‍රී ��ක ස� ‍රා���්ත්‍රික ස සම�ා�� ජ ාජයා�� ි ව ශෙ��ග ��ස ප ්‍ර� - 2026.02.03
பகுத� III - இலங்�கச் சன��யக �ச�சலிசக் குடியரசு வர்த்தம�னப் பத்த����க - அத� வ��சஷம�னது - 2026.02.03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 : 99 0.0506 அரசு _ முழுவதும் 1வது வகுப்பு _
1 : 100 0.0506 அரசு _ முழுவதும் 1வது வகுப்பு _
1 : 101 0.0506 அரசு _ முழுவதும் 1வது வகுப்பு _
1 : 102 0.0506 அரசு _ முழுவதும் 1வது வகுப்பு _
1 : 103 0.0505 அரசு _ முழுவதும் 1வது வகுப்பு _
1 : 104 0.0506 அரசு _ முழுவதும் 1வது வகுப்பு _
1 : 105 0.0506 அரசு _ முழுவதும் 1வது வகுப்பு _
1 : 106 0.0506 அரசு _ முழுவதும் 1வது வகுப்பு _
1 : 107 0.0506 அரசு _ முழுவதும் 1வது வகுப்பு _
1 : 108 0.0506 அரசு _ முழுவதும் 1வது வகுப்பு _
1 : 109 0.0506 அரசு _ முழுவதும் 1வது வகுப்பு _
1 : 110 0.0506 அரசு _ முழுவதும் 1வது வகுப்பு _
EOG 02 - 0029
இலங்�க அரச�ங்க அச்சுத் த��ணக்களத்த�ல் பத�ப்ப�க்கப்�பற்றது.</t>
  </si>
  <si>
    <t>dd77fbab-976f-41c2-b4d1-2595ec2f8fa1</t>
  </si>
  <si>
    <t>2474_30</t>
  </si>
  <si>
    <t>2474/30</t>
  </si>
  <si>
    <t>Title Registration Act, No. 21 of 1998, Section 14 — Commissioner of Title Settlement's decision under Section 14 (Gazette 2474/30)</t>
  </si>
  <si>
    <t>m1/raw/2474_30.pdf</t>
  </si>
  <si>
    <t>4f6f4ede-b967-486a-a2f3-fe4afb45f410</t>
  </si>
  <si>
    <t>2474_31</t>
  </si>
  <si>
    <t>2474/31</t>
  </si>
  <si>
    <t>Land Acquisition Act (Chapter 460), Section 7 — Notice DIK/LAN/02/49 (Gazette 2474/31)</t>
  </si>
  <si>
    <t>ඉඩම් අත්පත් කරගැනීමේ පනත (460 අධිකාරය), 7 වැනි වගන්තිය යටතේ දැන්වීම - DIK/LAN/02/49</t>
  </si>
  <si>
    <t>காணி எடுத்தற் சட்டம் (460 ஆம் அத்தியாயம்), 7 ஆம் பிரிவின் கீழ் அறிவித்தல் - DIK/LAN/02/49</t>
  </si>
  <si>
    <t>Notice under Section 7 of the Land Acquisition Act (Chapter 460), Notice DIK/LAN/02/49. Acquisition of land in Dingiriya village, Niladhari Division for irrigation purposes. Reference 1964 Act No. 28 (Land Acquisition (Amendment) Act). Part III — Lands.</t>
  </si>
  <si>
    <t>m1/raw/2474_31.pdf</t>
  </si>
  <si>
    <t>ශ්‍රී ��ක� ප්‍රජ���්ත්‍රික ස��ජ��දී ජනරජ�� ��සට් පත්‍රය
අති වි��ෂ
இலங்�கச் சனந�யக �ச�சலிசக் குடியரசு வர்த்தம�னப் பத்த����க
அத� வ��சஷம�னது
අ�ක 2474/31 - 2026 �තබර��රි මස 05 ��නි බ්‍රහසසත� ති්ද�� - 2026.02.05
2474/31 ஆம் இலக்கம் - 2026 ஆம் ஆண்டு �பப்புருவ�� ம�தம் 05 ஆந் த�கத� வ�ய�ழக்க�ழ�ம
(அரச�ங்கத்த�ன் அத�க�ரத்துடன் ப�ரசு��க்கப்பட்டது)
பகுத� III - க�ண�கள்
க�ண� �க�ள்வனவு பற்ற�ய அற�வ�த்தல்கள்
க�ண� எடுத்தற் சட்டம் (அத்த�ய�யம் 460) ச��ரஷ்ட ந�ல அள�வய�ளர் ந�யகத்த�ன் கடஸ்த�ரல்
வ�ரபடம் 820370 ஆம் இலக்க 03 ஆந் �த�குத�
7 ஆம் ப���வ�ன் க�ழ் அற�வ�த்தல் 01 ஆம் பத்த�ர இலக்க ந�ல அள�வப்படத்த�ல்
க�ட்டப்பட்டுள்ள க�ழ்க் குற�ப்ப�டப்பட்டுள்ள க�ண�த்
குற�ப்பு இல.: DIK/LAN/02/49.
துண்டு.
ஒரு பக�ரங்கத் �த�வக்கு �வண்டியத�ன க�ழ்க்க�ணும்
1. துண்டு இல. 1
க�ண��ய எடுத்துக்�க�ள்ள அரச�ட்ச�ய�ர் எண்ண�
க�ண�ய�ன் �பயர்: �க��பய்கஹ �க�ரட்டுவ;
ய�ருக்க�ற�ர்கள் என்ப�த 1964 ஆம் ஆண்டின் 28 ஆம்
வ�பரம்: வீட்டுத்�த�ட்டம், ந�ரந்தரக் கட்டிடம் ஒன்று
இலக்க க�ண� எடுத்தற் (த�ருத்தம்) சட்டத்த�ன�ல்
மற்றும் ந�ர் த�ங்க� ஒன்று உள்ளது; உ���ம
த�ருத்தப்பட்டவ�ற�ன க�ண� எடுத்தற் சட்டத்த�ன்
�க�ரு�வ�ர்: எப். எச். �ஹமப்ப�ல, டப�ள்யூ. �க.
(அத்த�ய�யம் 460) 7 ஆம் ப���வ�ன் (1) ஆம் உட்
ச���மத்த� மங்கலிக்க� மற்றும் ஏ�னய நபர்கள்;
ப���வ�ன் க�ழ், ந�ன் இத்த�ல் அற�வ�க்க�ன்�றன்.
வ�ஸ்த�ரணம்: 0.0417 �ஹக்டய�ர்.
எடுத்துக்�க�ள்ளவ�ருக்கும் க�ண�ய�ன் வ�பரம்:
ம�த்த�ற ம�வட்டம், த�க்�வல்ல ப�ர�தச �சயல�ளர் �மற்குற�த்த க�ண�க்கு உ��த்துப் �பசுக�ன்ற
ப���வ�ல் 440C, �க�டஉட க�ர�ம அலுவலர் ப���வ�ன் சகலரும் த�ம�க அல்லது மு�றப்படி எழுத்த�ல்
�க�டஉட க�ர�மத்த�ல் அ�மந்துள்ள, ம�த்த�ற அத�க�ரம் அள�க்கப்பட்ட க���யக்க�ரர் மூலம�க
1A - G 46229 - 13 (2026/02)
இவ் அத�வ��சட வர்த்தம�ன��ய www.documents.gov.lk எனும் இ�ணயத்தளத்த�லிருந்து பத�வ�றக்கம் �சய்ய முடியும்.
2A III �ක�ටස - ශ්‍රී ��ක� ‍රා���්ද්‍රික සම�ා�� ජ ාජරා�� අති වි��ෂ ��ස ප ත‍ර� - 2026.02.05
பகுத� III - இலங்�கச் சனந�யக �ச�சலிசக் குடியரசு வர்த்தம�னப் பத்த����க - அத� வ��சஷம�னது - 2026.02.05
2026 ஆம் ஆண்டு ம�ச்சு ம�தம் 06 ஆந் த�கத� எழுத்த�ல் இரு ப�ரத�கள�க எனக்கு அற�வ�க்கும்படியும்
மு.ப. 10.00 மண�க்கு த�க்�வல்ல ப�ர�தச இத்த�ல் �கட்டுக்�க�ள்ளப்படுக�ன்றனர்.
�சயலகத்த�ல் என் முன்ப�க �வள�ப்படுத்தும்படியும்,
மதுமத்த� எம். ரத்ந�யக்க,
ப�ர�தச �சயல�ளர்,
அக்க�ண�ய�ல் அவர்களுக்குள்ள உடந்�தகள�ன்
த�க்�வல்ல.
தன்�ம�யயும் குற�த்த க�ண��ய எடுத்தற்க�ன
நஷ்டஈடு பற்ற�ய அவர்கள�ன் �க���க்�ககள�ன் ப�ர�தச �சயலகம்,
வ�பரங்க�ளயும், நஷ்ட ஈட்டுத் �த��க�யயும் த�க்�வல்ல,
அத்�த��க கண�க்கப்பட்ட வ�தத்�தயும் 2026 ஆம் 2026, சனவ�� 26.
ஆண்டு �பப்புருவ�� ம�தம் 26 ஆந் த�கத�க்கு முன்னர் EOG 02 - 0032
இலங்�க அரச�ங்க அச்சுத் த��ணக்களத்த�ல் அச்ச�டப்பட்டது.</t>
  </si>
  <si>
    <t>e5d04042-a2dc-4bba-9e77-9bcbf25032d4</t>
  </si>
  <si>
    <t>2474_32</t>
  </si>
  <si>
    <t>2474/32</t>
  </si>
  <si>
    <t>General Government Notification — Public Administration (Gazette 2474/32)</t>
  </si>
  <si>
    <t>රජයේ දැන්වීම — රාජ්‍ය පාලන</t>
  </si>
  <si>
    <t>அரசாங்க அறிவித்தல் — பொது நிர்வாகம்</t>
  </si>
  <si>
    <t>General Government Notification issued under Section 4(3) by the relevant Minister. Includes schedule items 1-10. Part I — General. Dated 5 February 2026.</t>
  </si>
  <si>
    <t>m1/raw/2474_32.pdf</t>
  </si>
  <si>
    <t>Y%S ,xld m%cd;dka;%sl iudcjd§ ckrcfha .eiÜ m;%h
w;s úfYI
,yq;ifr; rdehaf Nrhryprf; FbauR th;j;jkhdg; gj;jphpif
mjp tpNr\khdJ
wxl 2474$32 - 2026 fmnrjdß ui 05 jeks n%yiam;skaod - 2026'02'05
2474/ 32 Mk; ,yf;fk; - 2026 Mk; Mz;L ngg;GUtup khjk; 05 Me; jpfjp tpahof;fpoik
(murhq;fj;jpd; mjpfhuj;Jld; gpuRupf;fg;gl;lJ)
gFjp I : njhFjp (I) - nghJ
murhq;f mwptpj;jy;fs;
எஎனனதுது இஇலல.. ;; HHAA//0055//2200//0011//0011//3344
அஅறிறிிிவிவிிித்த்ததல்ல்
நந��ொொத்த்ததொொொொிிசுசு ககட்ட்டடளைளைைைச்ச் சசட்ட்டடத்த்ததிின்ன் ககீீழ்ழ் ��ிியயமமனனம்ம் விவிழழங்ங்ககல்ல்
ந�ொத்தொொிசுக் கட்டளைைச் சட்டத்தின் (107 ஆம் அதிகொரம்) 03 ஆவிது சரத்தின் கீழ் நகௌரவி ந�ொது �ிர்விொக, மொகொண
சளை�கள் மற்றும் உள்ளூரொட்சி அளைமச்சொினொல் 2025, திநசம்�ர் மொதம் 29 ஆந் திகதியிலிருந்து �ளைடமுளைறியில் விரும்
விளைகயில் கீழழ குறிிப்�ிடப்�ட்டுள்ை �ியமனங்கள் விழங்கப்�ட்டுள்ைநதன இத்தொல் அறிிவிிக்கப்�டுகிறிது.
1. நகொஸ்வித்த, ஹுுந்திரொந�ொல, இல. 336 இல் விதியும் திருமதி நகொடவித்தழக சமிலொ தில்ருக் ஷிி அவிர்கள், சிலொ�ம்
�ீதொசன விலயத்தினுள் சிங்கை நமொழியில் �ணியொற்றும் ந�ொத்தொொிசு ஒருவிரொக,
2. �டந�ொல, கிொிநமடிய வித்த, இல. 1/361 இல் விதியும் திரு. ரழனபுர ழஹுவிொ மழஹுஷ் சுரங்க அவிர்கள், �லப்�ிட்டிய
�ீதொசன விலயத்தினுள் சிங்கை நமொழியில் �ணியொற்றும் ந�ொத்தொொிசு ஒருவிரொக,
3. நகொழும்பு 15, ழமொதளைர, அளுத்மொவித்ளைத வீதி, புனித யொகப்�ர் நதரு, புனித யொகப்�ர் நதொடர்மொடி, இல. சி/ஜிி/8
இல் விதியும் திரு. மொியொம்�ிள்ளைை மதுர�ொயகம் அவிர்கள், நகொழும்பு �ீதொசன விலயத்தினுள் ஆங்கில நமொழியில்
�ணியொற்றும் ந�ொத்தொொிசு ஒருவிரொக,
4. ஏறிொவூர் 2ஏ, கொயர் வீதி, இல. 407 இல் விதியும், திரு. அப்துல் கொதர் முஹும்மது அம்ஜிித் அவிர்கள், மட்டக்கைப்பு
�ீதொசன விலயத்தினுள் ஆங்கில நமொழியில் �ணியொற்றும் ந�ொத்தொொிசு ஒருவிரொக,
5. சம்மொந்துளைறி, ப்நைொக் ‘ழஜி’, ழமற்கு - 01, மல் 15ம் வீதி, இல. 91/ஏ இல் விதியும், திருமதி அப்துல் கபூர் �ொத்திமொ
மிப்றிொ அவிர்கள், கல்முளைன �ீதொசன விலயத்தினுள் ஆங்கில நமொழியில் �ணியொற்றும் ந�ொத்தொொிசு ஒருவிரொக.,
6. யொழப்�ொணம், �ல்லூர், �ொயன்மொர் வீதி, இல. 40 இல் விதியும், திரு. கண�ொத�ிள்ளைை ஏகொந்தன் அவிர்கள்,
யொழ்ப்�ொணம் �ீதொசன விலயத்தினுள் தமிழ் நமொழியில் �ணியொற்றும் ந�ொத்தொொிசு ஒருவிரொக,
,
1A
t
-
; m
G
j
4
pt
62
pN
28
r l
—
t
0
u
4
;j
(2
;j
0
k
26
h
/
d
02
pi
)
a www.documents.gov.lk vDk; ,izaj;jsj;jpypUe;J gjptpwf;fk; nra;a KbAk;.
2A I fldgi ( ^I&amp; fPoh - YS% ,xld m%cd;dka;s%l iudcjd§ ckrcfha w;s úfYI .eiÜ m;%h - 2026'02'05
gFjp I : njhFjp (I) - ,yq;ifr; rdehaf Nrhryprf; FbauR tu;j;jkhdg; gj;;jpupif - mjp tpNr\khdJ - 2026.02.05
7. நகொழும்பு 05, திம்�ிொிகஸ்யொய, இல. 17/5 இல் விதியும், நசல்விி விிழஜிழகொன் முதியன்ழசலொழக திலினி �ொக்யொ
குமொொி விிழஜிழகொன் அவிர்கள், நகொழும்பு �ீதொசன விலயத்தினுள் ஆங்கில நமொழியில் �ணியொற்றும் ந�ொத்தொொிசு
ஒருவிரொக
8. நதஹுிவில, �ிழரசர் ஒழுங்ளைக, இல. 26-7/2 இல் விதியும், திருமதி ழறிச்சல் நசொினொ சகொயசீலன் அவிர்கள், நகொழும்பு
�ீதொசன விலயத்தினுள் தமிழ் நமொழியில் �ணியொற்றும் ந�ொத்தொொிசு ஒருவிரொக,
9. ந�ொரலஸ்கமுவி, 10 ஆம் கட்ளைட வீதி, 546/1 இல் விதியும், நசல்விி �டுவிிடழக சுலக்ஷி ி ழ�த்ரொ �டுவிிட அவிர்கள்,
நகொழும்பு �ீதொசன விலயத்தினுள் சிங்கை நமொழியில் �ணியொற்றும் ந�ொத்தொொிசு ஒருவிரொக,
10. ந�ொல்�ிதிகம,, ழகொருவிொவி இல் விதியும், திரு. தீகல்ழல முதியன்ழசலொழக சுழரஷ் லக்மொல் தீகல்ல அவிர்கள், குரு�ொகல்
�ீதொசன விலயத்தினுள் சிங்கை நமொழியில் �ணியொற்றும் ந�ொத்தொொிசு ஒருவிரொக,
11. ��ிலியவில, அநுரொநகொட, ‘சிங்ஹுவிிலொ’ இல் விதியும், திரு. முனசிங்ஹு அப்புஹுொமிலொழக கவிிந்து பூர்ண சங்கலன
முனசிங்ஹு அவிர்கள், கம்�ஹுொ �ீதொசன விலயத்தினுள் சிங்கை நமொழியில் �ணியொற்றும் ந�ொத்தொொிசு ஒருவிரொக,
12, மட்டக்கைப்பு, வின்டிங்ஸ் ஒழுங்ளைக, இல. 05 இல் விதியும், நசல்விி நசல்விரொஜிொ �விதொரனி அவிர்கள், மட்டக்கைப்பு
�ீதொசன விலயத்தினுள் தமிழ் நமொழியில் �ணியொற்றும் ந�ொத்தொொிசு ஒருவிரொக,
13. நதஹுிவில, கவுடொன வீதி, ஸ்ரீ சுதர்மொ மொவித்ளைத, இல. 127/2ஏ(24) இல் விதியும், திரு. ஏசொன் அந்தனீ ளைமக்கல்
த சில்விொ அவிர்கள், நகொழும்பு �ீதொசன விலயத்தினுள் ஆங்கில நமொழியில் �ணியொற்றும் ந�ொத்தொொிசு ஒருவிரொக,
14. மினுவின்நகொட, ழவிலிய நதற்கு, இல. 124/5 இல் விதியும், திருமதி இழலநகய் சுஜிீவிொ அவிர்கள், �ீர்நகொழும்பு
�ீதொசன விலயத்தினுள் சிங்கை நமொழியில் �ணியொற்றும் ந�ொத்தொொிசு ஒருவிரொக,
15. அட�ொழக, �ிடகந்த வித்த இல் விதியும், நசல்விி விிழஜிரத்னம் ழசொமஸ்கந்த துவிந்திகொ அவிர்கள், கண்டி �ீதொசன
விலயத்தினுள் ஆங்கில நமொழியில் �ணியொற்றும் ந�ொத்தொொிசு ஒருவிரொக,
16. கைனிய, ஈொியவிடிய, விிஹுொரமகொழதவிி மொவித்ளைத, இல. 549/டி/1 இல் விதியும், திரு. இந்திக சனத் ழகொவிின்னழக
அவிர்கள், கம்�ஹுொ �ீதொசன விலயத்தினுள் சிங்கை நமொழியில் �ணியொற்றும் ந�ொத்தொொிசு ஒருவிரொக,
17. எஹுலியநகொட, சமன் �ிரழதசம், ‘ரத்னவிிலொ’ இல் விதியும், திருமதி மல்லவி ஆரச்சிழக சந்தனி தனஞ்ஜினொ மல்லவிஆரச்சி
அவிர்கள், அவிிசொவிளைை �ீதொசன விலயத்தினுள் சிங்கை நமொழியில் �ணியொற்றும் ந�ொத்தொொிசு ஒருவிரொக,
18. மொரவிில, �ொத்தொண்டிய வீதி, ஜிய மொவித்ளைத, இல. 32 இல் விதியும், திரு. கருணொரத்ன ரொஜி�க்ஷி முதியன்ழசலொழக
டஷ்மின் விிமுக்தி ரொஜி�க்ஷி அவிர்கள், சிலொ�ம் �ீதொசன விலயத்தினுள் சிங்கை நமொழியில் �ணியொற்றும் ந�ொத்தொொிசு
ஒருவிரொக,
19. கடுழ�ொிய, �ங்கட சந்தி, இல. 424/ஏ/1 இல் விதியும், திரு. தலங்கமழக சயொன் அத்லந்திக் ந�ழரரொ அவிர்கள்,
சிலொ�ம் �ீதொசன விலயத்தினுள் சிங்கை நமொழியில் �ணியொற்றும் ந�ொத்தொொிசு ஒருவிரொக,
20. நமொரட்டுவி, கல்ழதமுல்ல, தஹும் மொவித்ளைத, இல. 16�ி இல் விதியும், நசல்விி சொமலீ �ிழமஷிொ �தீஷிொனி �லிஹுவிடன
அவிர்கள், �ொணந்துளைறி �ீதொசன விலயத்தினுள் சிங்கை நமொழியில் �ணியொற்றும் ந�ொத்தொொிசு ஒருவிரொக,
21, கும்புழரகம, கிொிஹுொகம, இல. 59/�ி இல் விதியும், திரு. ஸ்ரீ விிக்ரம விலவ்ழவி �ிஷிொந்த �ிழரமதிலக அவிர்கள், கண்டி
�ீதொசன விலயத்தினுள் சிங்கை நமொழியில் �ணியொற்றும் ந�ொத்தொொிசு ஒருவிரொக,
22. யக்கல, ழ�ொகமுவி, அலுத்கம, கலநகடியொன வீதி, இல. 205/7/3 இல் விதியும், திரு. கருணொ ழஹுரத் முதியன்ழசலொழக
விருண லக்மொல் �ண்டொர அழ�சிங்ஹு அவிர்கள், கம்�ஹுொ �ீதொசன விலயத்தினுள் சிங்கை நமொழியில் �ணியொற்றும்
ந�ொத்தொொிசு ஒருவிரொக,
23. யொழ்ப்�ொணம், ஏழொளைல, ஏழொளைல விடக்கு இல் விதியும், திரு. விிக்டர் ரொசரத்தினம் நவிலன்ளைடன் திழனஷ் அவிர்கள்,
யொழ்ப்�ொணம் �ீதொசன விலயத்தினுள் தமிழ் நமொழியில் �ணியொற்றும் ந�ொத்தொொிசு ஒருவிரொக,
24. நகொடுநகொட, ஓ�ொத, இல. 153/சி இல் விதியும், திருமதி ழஹுவிொ சுது ஹுகுருழக லகீஷிொ ழசனொரத்ன அவிர்கள்,
�ீர்நகொழும்பு �ீதொசன விலயத்தினுள் சிங்கை நமொழியில் �ணியொற்றும் ந�ொத்தொொிசு ஒருவிரொக,
I fldgi ( ^I&amp; fPoh - YS% ,xld m%cd;dka;s%l iudcjd§ ckrcfha w;s úfYI .eiÜ m;%h - 2026'02'05 3A
gFjp I : njhFjp (I) - ,yq;ifr; rdehaf Nrhryprf; FbauR tu;j;jkhdg; gj;;jpupif - mjp tpNr\khdJ - 2026.02.05
25. மனிக்ஹுின்ன, முதலொம் ஒழுங்ளைக, சபுமல் �ிரழதசம், இல. 94/2 இல் விதியும், திருமதி அமியன் நகொட அரச்சிலொழக
நகௌசல்யொ லக்மொலீ வீரசூொிய அவிர்கள், கண்டி �ீதொசன விலயத்தினுள் சிங்கை நமொழியில் �ணியொற்றும் ந�ொத்தொொிசு
ஒருவிரொக,
நகௌரவி அளைமச்சொின் ஆளைணப்�டி,
எஎஸ்ஸ்.. ஆஆழழலலொொகக��ண்ண்டடொொரர,
நசயலொைர்,
ந�ொது �ிர்விொக, மொகொண சளை�கள் மற்றும்
உள்ளூரொட்சி அளைமச்சு.
நகொழும்பு,
2026, சனவிொி 16.
EOG 02 - 0031/1
__________________________________
எஎனனதுது இஇலல.. ;; HHAA//0055//2200//0011//0011//3344
அஅறிறிிிவிவிிித்த்ததல்ல்
நந��ொொத்த்ததொொொொிிசுசு ககட்ட்டடளைளைைைச்ச் சசட்ட்டடத்த்ததிின்ன் ககீீழ்ழ் ��ிியயமமனனம்ம் விவிழழங்ங்ககல்ல்
ந�ொத்தொொிசுக் கட்டளைைச் சட்டத்தின் (107 ஆம் அதிகொரம்) 03 ஆவிது சரத்தின் கீழ் நகௌரவி ந�ொது �ிர்விொக, மொகொண
சளை�கள் மற்றும் உள்ளூரொட்சி அளைமச்சொினொல் 2025, திநசம்�ர் மொதம் 29 ஆந் திகதியிலிருந்து �ளைடமுளைறியில் விரும்
விளைகயில் கீழழ குறிிப்�ிடப்�ட்டுள்ை �ியமனங்கள் விழங்கப்�ட்டுள்ைநதன இத்தொல் அறிிவிிக்கப்�டுகிறிது.
1. நகொழும்பு 13, நகொட்டொஞ்ழசளைன, ழக. சிொில் சி ந�ழரரொ மொவித்ளைத, இல. 281/3 இல் விதியும், நசல்விி சந்திரதொஸ்
இழரொஷினி அவிர்கள், நகொழும்பு �ீதொசன விலயத்தினுள் ஆங்கில நமொழியில் �ணியொற்றும் ந�ொத்தொொிசு ஒருவிரொக,
2. �ன்னிப்�ிட்டிய, ருக்மழல, நுழகமுல்ல வீதி, இல. 152/3/1�ி இல் விதியும், திருமதி ஹுசங்கொ ஷிகிந்தி ஷிிலினிகொ த
நமொரொயஸ் அவிர்கள், ழஹுொமொகம �ீதொசன விலயத்தினுள் சிங்கை நமொழியில் �ணியொற்றும் ந�ொத்தொொிசு ஒருவிரொக,
3. நவில்லம்�ிட்டிய, குமொரதொச �ிரழதசம், இல. 103/1 இல் விதியும், திருமதி நூமொன் �த்திமொ அப்சொ அவிர்கள், நகொழும்பு
�ீதொசன விலயத்தினுள் ஆங்கில நமொழியில் �ணியொற்றும் ந�ொத்தொொிசு ஒருவிரொக,
4. அம்�லங்நகொட, ழ�ொகஹுவித்த, இல. 28/2 இல் விதியும், நசல்விி �ிலந்தி தனீஷிொ குமுது தக்சலொ த சில்விொ அவிர்கள்,
�ல�ிட்டிய �ீதொசன விலயத்தினுள் சிங்கை நமொழியில் �ணியொற்றும் ந�ொத்தொொிசு ஒருவிரொக,
5. �லங்நகொட, ரத்மலவிின்ன, இல. 92/ஏ இல் விதியும், நசல்விி �ிச்சங்க ரொலலொழக இசங்கொ வித்மி �ிச்சங்க அவிர்கள்,
இரத்தினபுொி �ீதொசன விலயத்தினுள் சிங்கை நமொழியில் �ணியொற்றும் ந�ொத்தொொிசு ஒருவிரொக,
6. �ொவில, �ொவில வீதி, �ரகன் நரசிடன்சீஸ், இல. 2/3,327/12 இல் விதியும், நசல்விி ஹுபு ஹுன்னதிழக ஹுிருஷிி கீத்மொ
த சில்விொ அவிர்கள், நகொழும்பு �ீதொசன விலயத்தினுள் ஆங்கில நமொழியில் �ணியொற்றும் ந�ொத்தொொிசு ஒருவிரொக,
7. கிொிவித்துடுவி, தலகல, �ிடி�ன வீதி, இல. 191/�ி/8 இல் விதியும், நசல்விி ஜியவீர �ட�ந்திழக கிஹுொஷினி �ிரவிிந்திகொ
குலரத்ன அவிர்கள், �ொணந்துளைறி �ீதொசன விலயத்தினுள் சிங்கை நமொழியில் �ணியொற்றும் ந�ொத்தொொிசு ஒருவிரொக,
நகௌரவி அளைமச்சொின் ஆளைணப்�டி,
எஎஸ்ஸ்.. ஆஆழழலலொொகக��ண்ண்டடொொரர,
நசயலொைர்,
ந�ொது �ிர்விொக, மொகொண சளை�கள் மற்றும்
உள்ளூரொட்சி அளைமச்சு.
நகொழும்பு,
2026, சனவிொி 14.
EOG 02 - 0031/2
4A I fldgi ( ^I&amp; fPoh - YS% ,xld m%cd;dka;s%l iudcjd§ ckrcfha w;s úfYI .eiÜ m;%h - 2026'02'05
gFjp I : njhFjp (I) - ,yq;ifr; rdehaf Nrhryprf; FbauR tu;j;jkhdg; gj;;jpupif - mjp tpNr\khdJ - 2026.02.05
எஎனனதுது இஇலல.. ;; HHAA//0055//2200//0011//0011//3344
அஅறிறிிிவிவிிித்த்ததல்ல்
நந��ொொத்த்ததொொொொிிசுசு ககட்ட்டடளைளைைைச்ச் சசட்ட்டடத்த்ததிின்ன் ககீீழ்ழ் ��ிியயமமனனம்ம் விவிழழங்ங்ககல்ல்
ந�ொத்தொொிசுக் கட்டளைைச் சட்டத்தின் (107 ஆம் அதிகொரம்) 05 ஆவிது சரத்தின் கீழ் நகௌரவி ந�ொது �ிர்விொக, மொகொண
சளை�கள் மற்றும் உள்ளூரொட்சி அளைமச்சொினொல் 2025, திநசம்�ர் மொதம் 29 ஆந் திகதியிலிருந்து �ளைடமுளைறியில் விரும்
விளைகயில் கீழழ குறிிப்�ிடப்�ட்டுள்ை �ியமனங்கள் விழங்கப்�ட்டுள்ைநதன இத்தொல் அறிிவிிக்கப்�டுகிறிது.
1. இலக்கம் எப் 32/ஏ, தல்கஸ்�ிடிய, அரணொயக்க என்றி முகவிொியில் விசிக்கும் திருமதி நமொநஹுொமட் கொல்தீன் �ொத்திமொ
சமீரொ அவிர்களைை, ழககொளைல �ீதொசன விலயத்தினுள் சிங்கை நமொழி மூலம் கடளைமயொற்றும் ந�ொத்தொொிசு ஒருவிரொக,
2. இலக்கம் 24/�ி, ஜிய மொவித்ளைத, குைம் வீதி, ந�ொரலஸ்கமுவி என்றி முகவிொியில் விசிக்கும் நசல்விி நலொக்கு கமழக
ஆஷிொ மதுஷிொனி அவிர்களைை, நகொழும்பு �ீதொசன விலயத்தினுள் ஆங்கில நமொழி மூலம் கடளைமயொற்றும் ந�ொத்தொொிசு
ஒருவிரொக,
3. சங்ழதொஷிி எஸ். ழஹுரத் எழசொசிழயட்ஸ், இலக்கம் 30 1/2, விில்சன் நதரு, நகொழும்பு 12 என்றி முகவிொியில் விசிக்கும்
திருமதி நமநலவ்வி தந்திொிழக ரன்திமொ தீப்தினீ அவிர்களைை, நகொழும்பு �ீதொசன விலயத்தினுள் ஆங்கில நமொழி மூலம்
கடளைமயொற்றும் ந�ொத்தொொிசு ஒருவிரொக,
4. இலக்கம் 6/44, “ரத்துநசவின”, நதொடம்நதனிய, மொவித்தளைை என்றி முகவிொியில் விசிக்கும் திருமதி திஸாொ�ொயக்க
முதியன்ழசலொழக ஜிழயந்திரனி திஸாொ�ொயக்க அவிர்களைை, மொத்தளைை �ீதொசன விலயத்தினுள் ஆங்கில நமொழி மூலம்
கடளைமயொற்றும் ந�ொத்தொொிசு ஒருவிரொக,
5. இலக்கம் 27ஏ, ழ�ொதிதம்ம மொவித்ளைத, கருவிொ ழதொட்டம், வித்துநகதர என்றி முகவிொியில் விசிக்கும் நசல்விி
நதவிரொஹுன்தி சத்துொிகொ தரங்கி த சில்விொ அவிர்களைை, �ல�ிட்டிய �ீதொசன விலயத்தினுள் ஆங்கில நமொழி மூலம்
கடளைமயொற்றும் ந�ொத்தொொிசு ஒருவிரொக,
6. அம்�கஹுகழட வீதி, அங்குளுகல்ல, கரந்நதனிய என்றி முகவிொியில் விசிக்கும் நசல்விி ஜியசிங்ஹு சொலிகொ மதுஷிொனி
அவிர்களைை, �ல�ிட்டிய �ீதொசன விலயத்தினுள் ஆங்கில நமொழி மூலம் கடளைமயொற்றும் ந�ொத்தொொிசு ஒருவிரொக,
7. இலக்கம் 119, இரொமலிங்கம் வீதி, திருந�ல்ழவிலி கிழக்கு, யொழ்ப்�ொணம் என்றி முகவிொியில் விசிக்கும் திரு. கந்ளைதயொ
�விதர்ஷின் அவிர்களைை, யொழ்ப்�ொணம் �ீதொசன விலயத்தினுள் ஆங்கில நமொழி மூலம் கடளைமயொற்றும் ந�ொத்தொொிசு
ஒருவிரொக,
8. இலக்கம் 425, ழலனொவில், விஹுழகொட்ழட என்றி முகவிொியில் விசிக்கும் திருமதி புஞ்சி �ண்டொரழக குசலொ தீ�ொனி
சந்திரழசகர அவிர்களைை, மொத்தளைை �ீதொசன விலயத்தினுள் ஆங்கில நமொழி மூலம் கடளைமயொற்றும் ந�ொத்தொொிசு
ஒருவிரொக,
9. இலக்கம் 115-1, நகந்தன்கமுவி, மொதிந�ொல என்றி முகவிொியில் விசிக்கும் திருமதி புலனநவிழவி நகதர இஷிொனி விொசனொ
புலனநவிவி அவிர்களைை, மொத்தளைை �ீதொசன விலயத்தினுள் ஆங்கில நமொழி மூலம் கடளைமயொற்றும் ந�ொத்தொொிசு
ஒருவிரொக,
10. இலக்கம் 294/�ி, விிகொளைரச் சந்தி, நதொம்ழ� என்றி முகவிொியில் விசிக்கும் திருமதி திலினி நதவின்மினி �யொகல
�ண்டொர அவிர்களைை, கம்�ஹுொ �ீதொசன விலயத்தினுள் சிங்கை நமொழி மூலம் கடளைமயொற்றும் ந�ொத்தொொிசு ஒருவிரொக,
11. இலக்கம் 206/15ஏ, அ�கொொிக தர்ம�ொல மொவித்ளைத, மொத்தளைறி என்றி முகவிொியில் விசிக்கும் திரு. நமொஹுமட் �விொஸ்
நமொஹுமட் இன்�ொக் அவிர்களைை, மொத்தளைறி �ீதொசன விலயத்தினுள் சிங்கை நமொழி மூலம் கடளைமயொற்றும் ந�ொத்தொொிசு
ஒருவிரொக,
நகௌரவி அளைமச்சொின் ஆளைணப்�டி,
எஎஸ்ஸ்.. ஆஆழழலலொொகக��ண்ண்டடொொரர,
நசயலொைர்,
ந�ொது �ிர்விொக, மொகொண சளை�கள் மற்றும்
உள்ளூரொட்சி அளைமச்சு.
நகொழும்பு,
2026, சனவிொி 22.
EOG 02 - 0031/3
,yq;if murhq;f mr;Rj; jpizf;fsj;jpw; gjpg;gpf;fg;ngw;wJ.</t>
  </si>
  <si>
    <t>90834070-f4c2-4f1c-90d6-f872b866b9e7</t>
  </si>
  <si>
    <t>2474_33</t>
  </si>
  <si>
    <t>2474/33</t>
  </si>
  <si>
    <t>Title Registration Act, No. 21 of 1998, Section 14 — Commissioner of Title Settlement's decision under Section 14 (Gazette 2474/33)</t>
  </si>
  <si>
    <t>m1/raw/2474_33.pdf</t>
  </si>
  <si>
    <t>9665d06a-2a77-4040-a454-aaa1f411fdef</t>
  </si>
  <si>
    <t>2474_34</t>
  </si>
  <si>
    <t>2474/34</t>
  </si>
  <si>
    <t>Title Registration Act, No. 21 of 1998, Section 14 — Commissioner of Title Settlement's decision under Section 14 (Gazette 2474/34)</t>
  </si>
  <si>
    <t>m1/raw/2474_34.pdf</t>
  </si>
  <si>
    <t>2db606c7-c21b-460b-859d-67895cde5ae4</t>
  </si>
  <si>
    <t>2474_35</t>
  </si>
  <si>
    <t>2474/35</t>
  </si>
  <si>
    <t>Title Registration Act, No. 21 of 1998, Section 14 — Commissioner of Title Settlement's decision under Section 14 (Gazette 2474/35)</t>
  </si>
  <si>
    <t>m1/raw/2474_35.pdf</t>
  </si>
  <si>
    <t>cd199cda-2d75-4dab-bc4f-b2133c3be681</t>
  </si>
  <si>
    <t>2474_36</t>
  </si>
  <si>
    <t>2474/36</t>
  </si>
  <si>
    <t>Title Registration Act, No. 21 of 1998, Section 14 — Commissioner of Title Settlement's decision under Section 14 (Gazette 2474/36)</t>
  </si>
  <si>
    <t>m1/raw/2474_36.pdf</t>
  </si>
  <si>
    <t>527caa6d-ce24-4508-bdf1-d07fabd5eac6</t>
  </si>
  <si>
    <t>2474_37</t>
  </si>
  <si>
    <t>2474/37</t>
  </si>
  <si>
    <t>Title Registration Act, No. 21 of 1998, Section 14 — Commissioner of Title Settlement's decision under Section 14 (Gazette 2474/37)</t>
  </si>
  <si>
    <t>m1/raw/2474_37.pdf</t>
  </si>
  <si>
    <t>cfa468ea-bb03-4b9f-a39a-50529f97c44c</t>
  </si>
  <si>
    <t>2474_38</t>
  </si>
  <si>
    <t>2474/38</t>
  </si>
  <si>
    <t>Title Registration Act, No. 21 of 1998, Section 14 — Commissioner of Title Settlement's decision under Section 14 (Gazette 2474/38)</t>
  </si>
  <si>
    <t>m1/raw/2474_38.pdf</t>
  </si>
  <si>
    <t>9aa4d07a-1935-43a8-90f8-6ebc01945a2d</t>
  </si>
  <si>
    <t>2474_39</t>
  </si>
  <si>
    <t>2474/39</t>
  </si>
  <si>
    <t>Title Registration Act, No. 21 of 1998, Section 14 — Commissioner of Title Settlement's decision under Section 14 (Gazette 2474/39)</t>
  </si>
  <si>
    <t>m1/raw/2474_39.pdf</t>
  </si>
  <si>
    <t>ebbf3332-170e-4fb6-ab36-2a1c61f0e66f</t>
  </si>
  <si>
    <t>2474_40</t>
  </si>
  <si>
    <t>2474/40</t>
  </si>
  <si>
    <t>Title Registration Act, No. 21 of 1998, Section 14 — Commissioner of Title Settlement's decision under Section 14 (Gazette 2474/40)</t>
  </si>
  <si>
    <t>m1/raw/2474_40.pdf</t>
  </si>
  <si>
    <t>016c2f7a-cb65-4b35-9a5b-761521b13112</t>
  </si>
  <si>
    <t>2474_41</t>
  </si>
  <si>
    <t>2474/41</t>
  </si>
  <si>
    <t>Title Registration Act, No. 21 of 1998, Section 14 — Commissioner of Title Settlement's decision under Section 14 (Gazette 2474/41)</t>
  </si>
  <si>
    <t>m1/raw/2474_41.pdf</t>
  </si>
  <si>
    <t>58d17052-13db-4993-882a-3614fefc0eb3</t>
  </si>
  <si>
    <t>2474_42</t>
  </si>
  <si>
    <t>2474/42</t>
  </si>
  <si>
    <t>Title Registration Act, No. 21 of 1998, Section 14 — Commissioner of Title Settlement's decision under Section 14 (Gazette 2474/42)</t>
  </si>
  <si>
    <t>m1/raw/2474_42.pdf</t>
  </si>
  <si>
    <t>1896f55a-b490-488d-9e3f-7f4de13aa873</t>
  </si>
  <si>
    <t>2474_43</t>
  </si>
  <si>
    <t>2474/43</t>
  </si>
  <si>
    <t>Title Registration Act, No. 21 of 1998, Section 14 — Commissioner of Title Settlement decision (Gazette 2474/43)</t>
  </si>
  <si>
    <t>m1/raw/2474_43.pdf</t>
  </si>
  <si>
    <t>III ෙක(cid:675)ටස – (cid:636) ලංකා (cid:541)ජාතා(cid:486)(cid:437)ක සමාජවා(cid:463) ජනරජෙ(cid:591) අ(cid:431) (cid:618)ෙශෂ ගැස(cid:376) ප(cid:436)ය – 2026.02.05 1 A
ப(cid:8065)தி III – இல(cid:8113)ைக(cid:8114) சனநாயக ேசாச(cid:8098)ச(cid:8112) (cid:8065)(cid:8074)யர(cid:8070) வ(cid:8125)(cid:8119)தமான(cid:8122) ப(cid:8119)திாிைக - அதி விேசஷமான(cid:8080) – 2026.02.05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2474/43 - 2026 ෙපබරවා(cid:604) මස 05 වැ(cid:487) (cid:559)හසප් (cid:431)(cid:486)දා - 2026.02.05
2474/43 ஆ(cid:8123) இல(cid:8112)க(cid:8123) - 2026 ஆ(cid:8123) ஆ(cid:8118)(cid:8076) ெப(cid:8122)(cid:8087)(cid:8094)வாி மாத(cid:8123) 05 ஆ(cid:8120) திகதி வியாழ(cid:8112)கிழைம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2024.10.25 ஆ(cid:8120) திகதிய 2407/47 ஆ(cid:8123) இல(cid:8112)க வ(cid:8125)(cid:8119)தமானியி(cid:8127) உாிய (cid:8089)ைறயி(cid:8127) ெவளியிட(cid:8122)ப(cid:8117)ட(cid:8080)(cid:8123), காணி(cid:8112)கான உாிைம(cid:8112)
ேகாாி(cid:8112)ைககைள(cid:8112) ேகா(cid:8094)கி(cid:8121)ற(cid:8080)மான ெத(cid:8121) மாகாண(cid:8119)தி(cid:8121) மா(cid:8119)தைற மாவ(cid:8117)ட(cid:8119)தி(cid:8127), மா(cid:8119)தைற பிரேதச ெசயலாள(cid:8125) பிாிவி(cid:8127), இல. 417 (cid:8075) -
உய(cid:8121)வ(cid:8119)த வட(cid:8112)(cid:8065) கிராம அ(cid:8100)வல(cid:8125) பிாிவி(cid:8084)(cid:8128) உய(cid:8121)வ(cid:8119)த வட(cid:8112)(cid:8065) கிராம(cid:8119)தி(cid:8127) அைம(cid:8120)(cid:8080)(cid:8128)ள(cid:8080)(cid:8123) 820021 ஆ(cid:8123) இல(cid:8112)க கட(cid:8119)திர(cid:8127) அளைவ
வைரபட(cid:8119)தி(cid:8127) பிாி(cid:8107) இல. 02 இ(cid:8127) அட(cid:8113)கி(cid:8092)(cid:8128)ள(cid:8080)மான 1:316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19 ஆ(cid:8120) திகதி.
1A - G 46240 - 03 (2026 / 02)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2026.02.05
ப(cid:8065)தி III – இல(cid:8113)ைக(cid:8114) சனநாயக ேசாச(cid:8098)ச(cid:8112) (cid:8065)(cid:8074)யர(cid:8070) வ(cid:8125)(cid:8119)தமான(cid:8122) ப(cid:8119)திாிைக - அதி விேசஷமான(cid:8080) – 2026.02.05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1:316 0.0232 ஷ(cid:8123)பக ஜயவ(cid:8119)தன விதானகமேக 741731630V (cid:8089)(cid:8104)வ(cid:8080)(cid:8123) 1ஆவ(cid:8080) வ(cid:8065)(cid:8122)(cid:8087) கா.(cid:8080).இல. 1979 இல.17
71/4, க(cid:8127)கான, 820021/02/01/ எ(cid:8084)(cid:8123) ேதசிய
ப(cid:8127)ேலெவல. 284 ம(cid:8126)(cid:8096)(cid:8123) (cid:8106)(cid:8076)
278இ(cid:8121) அபிவி(cid:8094)(cid:8119)தி
அ(cid:8078)(cid:8065)வழி அதிகார
ேசவக(cid:8119)தி(cid:8126)(cid:8065) சைபயி(cid:8121)
உ(cid:8117)ப(cid:8117)ட(cid:8080). நிப(cid:8120)தைன
க(cid:8102)(cid:8112)(cid:8065)
உ(cid:8117)ப(cid:8117)ட(cid:8080).
EOG 02 - 0043
இல(cid:8113)ைக அரசா(cid:8113)க அ(cid:8114)(cid:8070)(cid:8119) திைண(cid:8112)கள(cid:8119)தி(cid:8127) பதி(cid:8122)பி(cid:8112)க(cid:8122)ெப(cid:8126)ற(cid:8080).</t>
  </si>
  <si>
    <t>b6213763-b6dd-40cd-a805-4e5b62339a71</t>
  </si>
  <si>
    <t>2474_44</t>
  </si>
  <si>
    <t>2474/44</t>
  </si>
  <si>
    <t>Award of Videsha Seva Padakkama to Air Vice Marshal Sampath Thiyacontha (Gazette 2474/44)</t>
  </si>
  <si>
    <t>ගුවන් යාත්‍රා සහයක මාර්ෂල් සම්පත් තියකොන්ත මහතාට විදේශ සේවා පදක්කම පිරිනැමීම</t>
  </si>
  <si>
    <t>விமான வைஸ் மார்ஷல் சம்பத் தியகோந்த அவர்களுக்கு வெளிநாட்டு சேவை பதக்கம் வழங்குதல்</t>
  </si>
  <si>
    <t>His Excellency the President awards Videsha Seva Padakkama to Air Vice Marshal Sampath Thiyacontha (Retd.) for services to the State. By His Excellency's Command, signed by Secretary, Ministry of Defence. Part I — Government Notifications. Dated 30 January 2026 from Colombo.</t>
  </si>
  <si>
    <t>m1/raw/2474_44.pdf</t>
  </si>
  <si>
    <t>ශ්‍රී ලංංකා ප්‍රජාාතාාන්ත්‍රික සමාජාවාාදී ජානරජාශෙ� ගැැසට් ෙත්‍රය
අති විශෙ�ෂ
The Gazette of the Democratic Socialist Republic of Sri Lanka
EXTRAORDINARY
අංක 2474/44 - 2026 ශෙෙබරවාාරි මස 06 වාැනි සිකුරාදාා - 2026.02.06
No. 2474/44 - FRIDAY, FEBRUARY 06, 2026
(Published by Authority)
PART I : SECTION (I) — GENERAL
Government Notifications
VIDESHA SEVA PADAKKAMA
IT is hereby notified that His Excellency the President has been pleased to award the Videsha Seva Padakkama to the naval
person specified in the schedule hereto.
By His Excellency’s Command,
Air Vice Marshal Sampath Thuyacontha (Retd.),
WWV, RWP and two Bars, RSP and Bar, USP, MMSc (Strat Stu - China),
MSc(Def Stu) in Mgt, MSc(Def &amp; Strat Stu), fndu(China), psc,
Secretary,
Ministry of Defence.
At Colombo,
30th January, 2026.
1A - G 46241 - 05 (02/2026)
This Gazette Extraordinary can be downloaded from www.documents.gov.lk
2A I fldgi ( ^I&amp; fPoh - YS% ,xld m%cd;dka;s%l iudcjd§ ckrcfha w;s úfYI .eiÜ m;%h - 2026.02.06
Part I : Sec. (I) - GAZETTE EXTRAORDINARY OF THE DEMOCRATIC SOCIALIST REPUBLIC OF SRI LANKA - 06.02.2026
ANNEX B TO
COMMANDER OF THE NAVY’S LETTER
No. NHQ/ADM/MEDAL/VSP/MD/04/01/2025
DATED 11th SEPTEMBER 2025
NAME OF NAVAL PERSON WHO RECOMMENDED FOR VSP AS PER PARA 4 OF REFERRED GAZETTE
Officer
Sr. No. RATE Name Off. No.
01 Lcdr PRSB Gunasinghe NRX 3552
EOG 02 - 0044
PRINTED AT THE DEPARTMENT OF GOVERNMENT PRINTING, SRI LANKA.</t>
  </si>
  <si>
    <t>246ce641-827e-4c20-b389-8b0ce1894492</t>
  </si>
  <si>
    <t>2474_45</t>
  </si>
  <si>
    <t>2474/45</t>
  </si>
  <si>
    <t>Sri Lanka Armed Services Long Service Medal — Award notice (Gazette 2474/45)</t>
  </si>
  <si>
    <t>ශ්‍රී ලංකා සන්නද්ධ සේවා දීර්ඝ සේවා පදක්කම ප්‍රදානය</t>
  </si>
  <si>
    <t>இலங்கை ஆயுதப் படை நீண்ட சேவை பதக்கம் வழங்கல்</t>
  </si>
  <si>
    <t>Notice announcing recipients of the Sri Lanka Armed Services Long Service Medal approved by the President. Part I — General.</t>
  </si>
  <si>
    <t>m1/raw/2474_45.pdf</t>
  </si>
  <si>
    <t>8f323ddb-5099-4a5c-a74d-a00b5d8fca74</t>
  </si>
  <si>
    <t>2474_46</t>
  </si>
  <si>
    <t>2474/46</t>
  </si>
  <si>
    <t>Air Force Act, No. 41 of 1949 — Foreign Service Medal / award (Gazette 2474/46)</t>
  </si>
  <si>
    <t>m1/raw/2474_46.pdf</t>
  </si>
  <si>
    <t>6f9b1544-948a-4f8b-bb5f-f5f214aa14ad</t>
  </si>
  <si>
    <t>2474_47</t>
  </si>
  <si>
    <t>2474/47</t>
  </si>
  <si>
    <t>Land Acquisition Act (Chapter 460), Section 5 — Notice of Intended Acquisition (Gazette 2474/47)</t>
  </si>
  <si>
    <t>m1/raw/2474_47.pdf</t>
  </si>
  <si>
    <t>III ෙක(cid:675)ටස - (cid:636) ලංකා (cid:541)ජාතා(cid:486)(cid:437)ක සමාජවා(cid:463) ජනරජෙ(cid:591) අ(cid:431) (cid:618)ෙශෂ ගැස(cid:376) ප(cid:436)ය - 2025.10.14 1A
பகுதி III - இலங்ைகச் சனநாயக ேசாச(cid:8098)சக் கு(cid:8074)யரசு வர்த்தமானப் பத்திாிைக - அதி விேசஷமான(cid:8080) - 2025.10.14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22447744//4477 -- 22002266 ෙෙපපබබරරවවාා(cid:604)(cid:604) මමසස 0066 වවැැ(cid:487)(cid:487) (cid:646)(cid:646)(cid:253)(cid:253)රරාාදදාා -- 22002266..0022..0066
22447744//4477 ஆஆம்ம் இஇலலக்க்ககம்ம் -- 22002266 ஆஆம்ம் ஆஆண்ண்(cid:8076)(cid:8076) ெெபபப்ப்(cid:8087)(cid:8087)(cid:8094)(cid:8094)வவாாிி மமாாததம்ம் 0066 ஆஆந்ந் ததிிககததிி ெெவவௗௗ்ள்ளிிக்க்ககிிழழைைமம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கிழக்கு: உாிைமேகா(cid:8094)ேவார் கண்(cid:8076)பி(cid:8074)க்க (cid:8089)(cid:8074)யாத ஸ்ரீ
ஜயந்தி மாவத்ைதயின் வாி மதிப்பீட்(cid:8076) இலக்கம் கண்டறிய
5 ஆம் பிாிவின் ப(cid:8074)யான பிரகடனம் (cid:8089)(cid:8074)யாத தலகஹவத்ைத மற்(cid:8096)ம் அ(cid:8094)ன் பிரசாந்த் மன்றம்
உாிைமேகா(cid:8094)ம் (cid:8087)ைகயிரத நிைலய பாைதயின் வாி
கீழ்க்கா(cid:8078)ம் காணி ஒ(cid:8094) பகிரங்கத் ேதைவக்கு ேவண்(cid:8074)யதாய் மதிப்பீட்(cid:8076) இலக்கம் கண்டறிய (cid:8089)(cid:8074)யாத தலகஹவத்ைத ;
இ(cid:8094)க்கின்றெதன்(cid:8096)ம் காணி எ(cid:8076)த்தற் சட்டத்தின் ஏற்பா(cid:8076) ெதற்கு : அ(cid:8094)ன் பிரசாந்த் மன்றம் உாிைமேகா(cid:8094)ம் (cid:8087)ைகயிரத
களின் பிரகாரம் அ(cid:8080) எ(cid:8076)த்(cid:8080)க் ெகாள்ளப்ப(cid:8076)ெமன்(cid:8096)ம் காணி நிைலய பாைதயின் வாி மதிப்பீட்(cid:8076) இலக்கம் கண்டறிய
எ(cid:8076)த்தற் சட்டத்தின் 5 ஆம் பிாிவின் (1) ஆம் உபபிாிவின் (cid:8089)(cid:8074)யாத தலகஹவத்ைத; ேமற்கு: ஹு(cid:8084)பிட்(cid:8074)ய (cid:8087)ைதயிரத
பிரகாரம் கமத்ெதாழில், கால்நைட வளங்கள், காணி மற்(cid:8096)ம் நிைலய (cid:8106)தி மற்(cid:8096)ம் ஸ்ரீ ஜயந்தி மாவத்ைத.
நீர்ப்பாசன அைமச்சர் குரகமேக ெதான் லால் காந்த ஆகிய
நான், இத்தால் பிரகடனம் ெசய்கின்ேறன். ேக. (cid:8074). லால் காந்த,
கமத்ெதாழில், கால்நைட வளங்கள்,
ேமல் மாகாணம், கம்பஹா மாவட்டம், களனி பிரேதச காணி மற்(cid:8096)ம் நீர்ப்பாசன அைமச்சர்.
ெசயலாளர் பிாிவில் இல. 256B ெவேலெகாட கிராம அ(cid:8100)வலர்
பிாிவில் ஹு(cid:8084)பிட்(cid:8074)ய கிராமத்தில் அைமந்(cid:8080)ள்ள, நில என(cid:8080) இல. : 4-3/19/2019/E/218.
அளைவயாளர் நாயகத்தினால் தயாாிக்கப்பட்ட 2021.06.28 கமத்ெதாழில், கால்நைட வளங்கள், காணி மற்(cid:8096)ம்
ஆந் திகதி GA/KEL/2020/581 ஆம் இலக்க (cid:8089)தற்சுவட்(cid:8076) நீர்ப்பாசன அைமச்சு,
வைரபடத்தில் பின்வ(cid:8094)ம் காணித்(cid:8080)ண்(cid:8074)ன் எல்ைலகள்: “மிஹிகத ெம(cid:8080)ர”,
காணிச் ெசயலகம்,
01. (cid:8080)(cid:8080)ண்ண்(cid:8076)(cid:8076) “A” –– ததலலககஹஹவவத்த்ைைதத -- வவிிஸ்ஸ்ததீீரரணணம்ம்:: 00..33111100 இல. 1200/6, இரஜமல்வத்ைத (cid:8106)தி,
ெெஹஹக்க்டடயயாார்ர் பத்தர(cid:8089)ல்ைல,
வடக்கு : ஸ்ரீ ஜயந்தி மாவத்ைத, (cid:8106)தி மற்(cid:8096)ம் 2025, ெசத்ெதம்பர் 11.
உாிைமேகா(cid:8094)ேவார் கண்(cid:8076)பி(cid:8074)க்க (cid:8089)(cid:8074)யாத ஸ்ரீ ஜயந்தி
மாவத்ைதயின் வாி மதிப்பீட்(cid:8076) இலக்கம் கண்டறிய (cid:8089)(cid:8074)யாத
தலகஹவத்ைத; EOG 02-0047
1A - G46244 - 18 (2026/02)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</si>
  <si>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60ec3c66-7055-4395-b196-7cc9a2c53ac4</t>
  </si>
  <si>
    <t>2474_48</t>
  </si>
  <si>
    <t>2474/48</t>
  </si>
  <si>
    <t>Provincial Councils Act, No. 42 of 1987 — Appointment under Section 32(1) (Gazette 2474/48)</t>
  </si>
  <si>
    <t>m1/raw/2474_48.pdf</t>
  </si>
  <si>
    <t>Y%S ,xld m%cd;dka;%sl iudcjd§ ckrcfha .eiÜ m;%h
w;s úfYI
,yqi; fr ; rdehaf Nrhryprf ; FbauR thj; j; khdg ; gjj; phpif
mjp tpNr\khdJ
wxl 2474$48 - 2026 fmnrjdß ui 06 jeks isl=rdod - 2026'02'06
2474/ 48 Mk; ,yf;fk; - 2026 Mk; Mz;L ngg;GUtup khjk; 06 Me; jpfjp nts;spf;fpoik
(murhq;fj;jpd; mjpfhuj;Jld; gpuRupf;fg;gl;lJ)
gFjp IV(M) - cs;~uhl;rp
cs;~u; mjpfhu rigfs; Nju;jy;fs; fl;lisr; rl;l mwptpj;jy;fs;
உஉள்ள்ளூளூர்ர் அஅதிதிிிகாகாாாரர சசபைபைைைகாகாள்ள் தேதேதிதிர்ர்திதில்ல்காகாள்ள் காகாட்ட்டடபைபைைைச்ச் சசட்ட்டடம்ம் ((226622 ஆஆம்ம் அஅத்த்திதிிியாயாாாயாயாம்ம்))
6666 ((22)) ஆஆம்ம் ைைிிாாிிவிவிிின்ன் காகாீீழாழாாானன அஅறிறிிிவிவிிித்த்திதில்ல்
இந்தி அட்டவிபை�யாின் I ஆம் நிிரலில் குறிித்துபைரத்துக் காாட்டப்ைட்டுள்ை நிிருவிாகா மாாவிட்டத்திில் அபைமாயாப்பெைற்றுள்ை,
இவ்விட்டவிபை�யாின் II ஆம் நிிரலில் அதிற்கு தேநிபெராத்தி குறிிப்ைில் குறிித்துபைரத்துக் காாட்டப்ைட்டுள்ை ஒவ்பெவிாரு உள்ளூர்
அதிிகாார சபைைகாளுக்காாகா பெதிாிந்பெதிடுத்து அனுப்ைப்ைட்டுள்ை உறுப்ைினர்காைின் பெையார்காள் காீழ்க் குறிிப்ைிடப்ைட்டுள்ைவிாபெறின
ைிரகாடனப்ைடுத்திப்ைடுகாின்றிது. இப்பெையார்காள் 2026.01.16 ஆந் திிகாதிியா 2471/67 ஆம் இலக்கா விர்த்திமாானி, 2025.12.05 ஆந்
திிகாதிியா 2465/18 ஆம் இலக்கா விர்த்திமாானி, 2025.11.14 ஆந் திிகாதிியா 2462/39 ஆம் இலக்கா விர்த்திமாானி, 2025.11.07 ஆந் திிகாதிியா
2461/37 ஆம் இலக்கா விர்த்திமாானி, 2025.10.17 ஆந் திிகாதிியா 2458/51 ஆம் இலக்கா விர்த்திமாானி, 2025.10.10 ஆந் திிகாதிியா 2457/31
ஆம் இலக்கா விர்த்திமாானி, 2025.09.26 ஆந் திிகாதிியா 2455/30 ஆம் இலக்கா விர்த்திமாானி, 2025.08.01 ஆந் திிகாதிியா 2447/61 ஆம்
இலக்கா விர்த்திமாானி, 2025.07.11ஆந் திிகாதிியா 2444/60 ஆம் இலக்கா விர்த்திமாானி, 2025.07.07 ஆந் திிகாதிியா 2444/ 02 ஆம் இலக்கா
விர்த்திமாானி, 2025.07.04 ஆந் திிகாதிியா 2443/60 ஆம் இலக்கா விர்த்திமாானி, 2025.06.27 ஆந் திிகாதிியா 2442/60 ஆம் இலக்கா விர்த்திமாானி,
2025.06.20 ஆந் திிகாதிியா 2441/55 ஆம் இலக்கா விர்த்திமாானி, 2025.06.13 ஆந் திிகாதிியா 2440/25 ஆம் இலக்கா விர்த்திமாானி, 2025.06.06
ஆந் திிகாதிியா 2439/65 ஆம் இலக்கா விர்த்திமாானி மாற்றும் அதினுடன் பெதிாடர்புபைடயா 2025.05.31 ஆந் திிகாதிியா 2438/66, 2438/67,
2438/69, 2438/70, 2438/71, 2438/72, 2438/80, 2438/81, 2438/83, 2438/84, 2438/87, 2438/88, 2438/89, 2438/90 ஆம் இலக்கா
விர்த்திமாானிகாள் மாற்றும் 2025.05.31 ஆந் திிகாதிியா 2438/68, 2438/74, 2438/85 ஆம் இலக்கா விர்த்திமாானிகாைில் குறிிப்ைிடப்ைட்டுள்ை
உறுப்ைினர்காைின் பெையார்காளுக்கு தேமாலதிிகாமாானபைவிபெயானவும் ைிரகாடனப்ைடுத்திப்ைடுகாின்றிது.
ஆஆர்ர்.. எஎம்ம்.. ஏஏ.. எஎல்ல்.. ரரத்த்நிநிாாயாயாக்க்காகா,, எஎம்ம்.. ஏஏ.. பீபீ.. சசீீ.. பெபெைைதேதேரரரராா,, அஅமாமாீீர்ர் ைைாாயாயாிிஸ்ஸ்,,
திவிிசாைர், உறுப்ைினர், உறுப்ைினர்,
தேதிர்தில் ஆபை�க்குழு. தேதிர்தில் ஆபை�க்குழு. தேதிர்தில் ஆபை�க்குழு.
ஏஏ.. சசண்ண்முமுகாகாநிநிாாதிதின்ன்,, தேைராசிாியார் லலக்க்ஷ்ஷ் மாமான்ன் திதிிிசசாாநிநிாாயாயாக்க்காகா,,
உறுப்ைினர், உறுப்ைினர்,
தேதிர்தில் ஆபை�க்குழு. தேதிர்தில் ஆபை�க்குழு.
தேதிர்தில் ஆபை�க்குழு அலுவிலகாம்,
சர� மாாவித்பைதி,
இராஜகாிாியா.
2026, பெைப்புருவிாி 06.
1A - G 7514 — 13 (2026/02)
,t; mjp tpNrl tu;j;jkhdpia www.documents.gov.lk vd;Dk; ,izaj;jsj;jpypUe;J gjptpwf;fk; nra;a KbAk;.
2A IV ^wd&amp; fldgi - Y%S ,xld m%cd;dka;%sl iudcjd§ ckrcfha w;s úfYI .eiÜ m;%h - 2026'02'06
gFjp IV (M) - ,yq;ifr; rdehaf Nrhryprf; FbauR tu;j;jkhdg; gj;;jpupif - mjp tpNr\khdJ - 2026.02.06
அஅட்ட்டடவிவிபைபை��
நிிரல் I நிிரல் II
மாாவிட்டத்திின் பெையார் உள்ளூர் அதிிகாார சபைை பெதிாிந்பெதிடுத்து அனுப்ைப்ைட்டுள்ை உறுப்ைினர்காள்
அநுராதிபுரம் பெநிாச்சியாாகாமா ைிரதேதிச சபைை முதுைன்டாதேகா சமாரதேகாான் ரத்னாயாகா
திினமாித்ர ஆரச்சிலாதேகா மாாலனீ
ஹமாராபெகாாட குருப்புதேகா ஹர்ஷனி சந்திிரமாாலா
EOG 02- 0057
,yq;if murhq;f mr;Rj; jpizf;fsj;jpw; gjpg;gpf;fg;ngw;wJ.</t>
  </si>
  <si>
    <t>972f7623-07e4-4b51-a1c6-2fbba480404e</t>
  </si>
  <si>
    <t>2474_49</t>
  </si>
  <si>
    <t>2474/49</t>
  </si>
  <si>
    <t>Provincial Councils Act, No. 42 of 1987 — Appointment under Section 32(1) (Gazette 2474/49)</t>
  </si>
  <si>
    <t>Appointment notice published under Section 32(1) of the Provincial Councils Act No. 42 of 1987, naming/confirming a Provincial Council officer (typically Vice-Chairman). Part IV(A) — Provincial Councils. Governor of Western Province.</t>
  </si>
  <si>
    <t>m1/raw/2474_49.pdf</t>
  </si>
  <si>
    <t>ශ්‍රී ලංකා ප්‍රජාාතාාන්ත්‍රික සමාජාවාාදී ජානරජාපෙ� ගැැසට් ෙත්‍රය
අංති විපෙ�ෂ
අංඅංංංකක 22447744//4499 -- 22002266 පෙපෙෙෙබබරරවාවාාාරිරි මමසස 0066 වාවාැැනිනි සිසිකුකුරරාාදාදාාා -- 22002266..0022..0066
(රජාපෙ� බලයපිට ප්‍රසිද්ධ කරන ලදී)
IV (අං) වාැනි පෙකාටස - ෙළාාත් සභාා
ආණ්ඩුකාරවාරුන් විසින් කරන ලදා ෙත්කිරීම් ආදිය
බස්නාහිර ෙළාාපෙත් ෙළාාත් සභාාවා
1987 අංංක 42 දරන පළාාත් සභාා පනතේත් 32 (1) වගන්තිය යටතේත් පත් කිරීම
1987 අංංක 42 දරන පළාාත් සභාා පනතේත් 32 (1) වගන්තිය යටතේත් බස්නාහිර පළාාතේත් ආණ්ඩුකාරවර හනීෆ් ්යුසුෆ් ්වන මා තේවත. පැවරී ඇති
බලතල ප්‍රකාරව ශ්‍රී ලංකා පරිපාලන තේස්වතේ� II වන පන්තිතේ� වීරසිංංහ මුදියන්තේස්ලාතේ� භාාග�ා ලක්මාලි වීරසිංංහ මහත්මිය 2026.01.05
දින සිංට ක්‍රියාත්මක වන පරිදි බස්නාහිර පළාාතේත් සමුපකාර සංවර්ධන තේකාමසාරිස ්හා සමුපකාර සමිති තේරජිසට්‍රා් ාර් තනතුතේරහි වැඩ බැලීම
සඳහා පත් කරනු ලැබ ඇති බව තේමයින් නිතේේදනය කරනු ලැතේ�.
හනීෆ්් යුසුෆ්්,
ආණ්ඩුකාරවර,
බස්නාහිර පළාාත.
වර්ෂ 2026 ක් වූ තේපබරවාරි මස 03 වැනි දින,
බත්තරමුල්ල,
බස්නාහිර පළාාත් සභාා තේගාඩනැගිල්තේල් පිහිටි,
බස්නාහිර පළාාත් ආණ්ඩුකාරවර කාර්යාලතේ� දී ය.
EOG 02 - 0058
1A - PG 7515 — 06 (2026/02) Y%S ,xld rcfha uqøK fomd¾;fïka;=fõ uqøKh lrk ,§'
fuu w;s úfYI .eiÜ m;%h www.documents.gov.lk fjí wvúfhka nd.; l&lt; yel'</t>
  </si>
  <si>
    <t>a2ab9e9b-539a-4bb7-ac48-463f1db6cd53</t>
  </si>
  <si>
    <t>2474_50</t>
  </si>
  <si>
    <t>2474/50</t>
  </si>
  <si>
    <t>Notice on training and skills development programmes — Section 20(2) (Gazette 2474/50)</t>
  </si>
  <si>
    <t>පුහුණුව හා කුසලතා සංවර්ධන වැඩසටහන් පිළිබඳ දැන්වීම - 20(2) වගන්තිය</t>
  </si>
  <si>
    <t>பயிற்சி மற்றும் தகைமை அபிவிருத்தித் திட்டங்கள் தொடர்பான அறிவித்தல் - 20(2) ஆம் பிரிவு</t>
  </si>
  <si>
    <t>Notice regarding training and skills development programmes for the period 2025 issued by Secretary, Ministry of Labour (S.K. Tay, N.B. Vattakelliyya). Reference Section 20(2) and 212.2. Part I — General.</t>
  </si>
  <si>
    <t>m1/raw/2474_50.pdf</t>
  </si>
  <si>
    <t>Y%S ,xld m%cd;dka;%sl iudcjd§ ckrcfha .eiÜ m;%h
w;s úfYI
,yq;ifr; rdehaf Nrhryprf; FbauR th;j;jkhdg; gj;jphpif
mjp tpNr\khdJ
wxl 2474$50 - 2026 fmnrjdß ui 06 jeks isl=rdod - 2026'02'06
2474/ 50 Mk; ,yf;fk; - 2026 Mk; Mz;L ngg;GUtup khjk; 06 Me; jpfjp nts;spf;fpoik
(murhq;fj;jpd; mjpfhuj;Jld; gpuRupf;fg;gl;lJ)
gFjp I : njhFjp (I) - nghJ
murhq;f mwptpj;jy;fs;
கக��ொொக்க்கக��ொொ,, ஏஏலலக்க்��ொொய்ய்,, மிமிிிளளகுகு எஎன்ன்பபனன பபயியிிிொொிிடுடுததல்ல் மிமிற்ற்றுறும்ம் உஉற்ற்பபத்த்ததிி ககெெய்ய்ததல்ல் ககததொொழிழிிில்ல்��ளளிில்ல் உஉள்ள்ளள
கக��லைலைலலயியிொொட்ட்��ளுளுக்க்குகு ��ழிழிங்ங்��ப்ப்பபடட கக��ண்ண்டிடியியி ��ிிககெெடட பபடிடி��ள்ள்
2025 ஆம் ஆண்டு நக�ம்பர் மிொதத்தில் கமிற்கூறிியி கதொழிில்�ளுக்�ொன �ொழ்க்லை�ப் படிச் சுட்கடண் 212.2 ஆ� இருப்பதொல்
2025 ஆம் ஆண்டு திகெம்பர் மிொதத்தில் ெொதொரண க�லைல நொகளொன்றுக்கு கதொடர்பொ�ச் கெலுத்தப்பட க�ண்டியி �ிகெட படி
பின்�ருமிொறிொகும் என (136 ஆம் அத்தியிொயிம்) ெம்பளச் ெலைப�ள் �ட்டலைளச் ெட்டத்தின் 20 (2) (ஆ) ஆம் பிொி�ின் �ீழ் இத்தொல்
அறிி�ிக்�ப்படு�ின்றிது.:
கக��ொொக்க்கக��ொொ,, ஏஏலலக்க்��ொொய்ய்,, மிமிிிளளகுகு எஎன்ன்பபனன பபயியிிிொொிிடுடுததல்ல் மிமிற்ற்றுறும்ம் உஉற்ற்பபத்த்ததிி ககெெய்ய்ததல்ல் ககததொொழிழிிில்ல்��ள்ள்
ககததொொழிழிிிலலொொளளர்ர் ��குகுப்ப்புபு ெெொொததொொரரணண கக��லைலைலல நநொொளுளுக்க்குகுொொிியியி ��ிிககெெடட பபடிடி��ள்ள்
நநொொளளொொந்ந்ததம்ம் கக��ததனனம்ம் ககபபறுறும்ம் ஊஊழிழிிியியிர்ர்��ள்ள்
கதொழிிலொளர்�ள் ரூ. ெ. 1852.39
எஎச்ச்.. எஎம்ம்.. டிடி.. எஎன்ன்.. கக��.. ��ட்ட்டடலிலியியித்த்தத,,
கதொழிில் ஆலைணயிொளர் நொயி�ம்.
கதொழிில் திலைணக்�ளம்,
க�ொழும்பு 05,
2026, கபப்புரு�ொி 02.
EOG 02 - 0025/1
1A - G 46222— 18 (2026/02)
,t; mjptpNrl tu;j;jkhdpia www.documents.gov.lk vDk; ,izaj;jsj;jpypUe;J gjptpwf;fk; nra;a KbAk;.
2A I fldgi ( ^I&amp; fPoh - YS% ,xld m%cd;dka;s%l iudcjd§ ckrcfha w;s úfYI .eiÜ m;%h - 2026'02'06
gFjp I : njhFjp (I) - ,yq;ifr; rdehaf Nrhryprf; FbauR tu;j;jkhdg; gj;;jpupif - mjp tpNr\khdJ - 2026.02.06
கக��ொொக்க்கக��ொொ,, ஏஏலலக்க்��ொொய்ய்,, மிமிிிளளகுகு எஎன்ன்பபனன பபயியிிிொொிிடுடுததல்ல் மிமிற்ற்றுறும்ம் உஉற்ற்பபத்த்ததிி ககெெய்ய்ததல்ல் ககததொொழிழிிில்ல்��ளளிில்ல் உஉள்ள்ளள
கக��லைலைலலயியிொொட்ட்��ளுளுக்க்குகு ��ழிழிங்ங்��ப்ப்பபடட கக��ண்ண்டிடியியி ��ிிககெெடட பபடிடி��ள்ள்
2025 ஆம் ஆண்டு திகெம்பர் மிொதத்தில் கமிற்கூறிியி கதொழிில்�ளுக்�ொன �ொழ்க்லை�ப் படிச் சுட்கடண் 217.6 ஆ� இருப்பதொல்
2026 ஆம் ஆண்டு ென�ொி மிொதத்தில் ெொதொரண க�லைல நொகளொன்று கதொடர்பொ�ச் கெலுத்தப்பட க�ண்டியி �ிகெட படி
பின்�ருமிொறிொகும் என (136 ஆம் அத்தியிொயிம்) ெம்பளச் ெலைப�ள் �ட்டலைளச் ெட்டத்தின் 20 (2) (ஆ) ஆம் பிொி�ின் �ீழ் இத்தொல்
அறிி�ிக்�ப்படு�ின்றிது.
கக��ொொக்க்கக��ொொ,, ஏஏலலக்க்��ொொய்ய்,, மிமிிிளளகுகு எஎன்ன்பபனன பபயியிிிொொிிடுடுததல்ல் மிமிற்ற்றுறும்ம் உஉற்ற்பபத்த்ததிி ககெெய்ய்ததல்ல் ககததொொழிழிிில்ல்��ள்ள்
ககததொொழிழிிிலலொொளளர்ர் ��குகுப்ப்புபு ெெொொததொொரரணண கக��லைலைலல நநொொளுளுக்க்குகுொொிியியி ��ிிககெெடட பபடிடி��ள்ள்
நநொொளளொொந்ந்ததம்ம் கக��ததனனம்ம் ககபபறுறும்ம் ஊஊழிழிிியியிர்ர்��ள்ள்
கதொழிிலொளர்�ள் ரூ. ெ. 1920.58
எஎச்ச்.. எஎம்ம்.. டிடி.. எஎன்ன்.. கக��.. ��ட்ட்டடலிலியியித்த்தத,,
கதொழிில் ஆலைணயிொளர் நொயி�ம்.
கதொழிில் திலைணக்�ளம்,
க�ொழும்பு 05,
2026, கபப்புரு�ொி 02.
EOG 02 - 0025/2
,yq;if murhq;f mr;Rj; jpizf;fsj;jpw; gjpg;gpf;fg;ngw;wJ.</t>
  </si>
  <si>
    <t>857316f3-de0b-42b6-8646-6ed7460366c0</t>
  </si>
  <si>
    <t>2474_51</t>
  </si>
  <si>
    <t>2474/51</t>
  </si>
  <si>
    <t>Title Registration Act, No. 21 of 1998, Section 14 — Commissioner of Title Settlement's decision under Section 14 (Gazette 2474/51)</t>
  </si>
  <si>
    <t>m1/raw/2474_51.pdf</t>
  </si>
  <si>
    <t>c79fc8d3-3710-4f9d-8137-00da8b45a830</t>
  </si>
  <si>
    <t>2474_52</t>
  </si>
  <si>
    <t>2474/52</t>
  </si>
  <si>
    <t>Title Registration Act, No. 21 of 1998, Section 12 — preliminary notice calling for claims (Gazette 2474/52)</t>
  </si>
  <si>
    <t>m1/raw/2474_52.pdf</t>
  </si>
  <si>
    <t>0807331e-88c9-49f6-a234-f66c13bfc57e</t>
  </si>
  <si>
    <t>2474_53</t>
  </si>
  <si>
    <t>2474/53</t>
  </si>
  <si>
    <t>Title Registration Act, No. 21 of 1998, Section 14 — Commissioner of Title Settlement's decision under Section 14 (Gazette 2474/53)</t>
  </si>
  <si>
    <t>m1/raw/2474_53.pdf</t>
  </si>
  <si>
    <t>d3c12fc8-ff37-4c15-8e61-5919c567341a</t>
  </si>
  <si>
    <t>2474_54</t>
  </si>
  <si>
    <t>2474/54</t>
  </si>
  <si>
    <t>Title Registration Act, No. 21 of 1998, Section 55 — call for claims under Section 55 (Gazette 2474/54)</t>
  </si>
  <si>
    <t>Call for claims under section 55 published under the Title Registration Act, No. 21 of 1998 for specified land parcels identified by Cadastral Map and Grama Niladhari Division. Part III — Lands. Issued from the Land Title Settlement Department, Battaramulla.</t>
  </si>
  <si>
    <t>m1/raw/2474_54.pdf</t>
  </si>
  <si>
    <t>b328ef32-683e-4f68-a23e-d5d36cf151e1</t>
  </si>
  <si>
    <t>2474_55</t>
  </si>
  <si>
    <t>2474/55</t>
  </si>
  <si>
    <t>Title Registration Act, No. 21 of 1998, Section 14 — Commissioner of Title Settlement decision (Gazette 2474/55)</t>
  </si>
  <si>
    <t>m1/raw/2474_55.pdf</t>
  </si>
  <si>
    <t>ශ්‍රී ලංකා ප්‍රජාාාා්ත්‍රික සමාජාවාදී ජානරජායේ ගැසට් පත්‍රය
අති විශෙෂ
55 තීරණ Sinhala Shaniඅkaං ක(I )2 474/55 - 2026 ශෙබරවාරි මස 06 වැනි සිකුරාදා - 2026.02.06
(රජායේ බලයපිට ප්‍රසිද්ධ කරන ලදී)
III වැනි ශකොටස - ඉඩම්
හිමිකම් ලියාෙදංචි කිරීම
1998 අංක 21 දරන හිමිකම් ලියාෙදංචි කිරීශම් ෙනත
14 වැනි වග්තතිය යටයේ හිමිකම් නිරවුල් කිරීයම් යකොමසාරිස්යේ තීරණ ප්‍රකායය
උතුරු මැද පළායේ අනුරා පුර දිස්්‍රික්කයකයේ නැයගනනහිර නුවරගම් පළාා ප්‍රාය්ධය ය යල්කම් යකොට්සාසයේ අංක 5 - 3 පියවර 1 යකොටස ග්‍රාම
නිල ාරි යකොට්සාසය තුළ අනුරා පුර නගරය (යකොට්සාස අංක 10, අ්තරා පුර මහ නගර සභා සීමාව තුළ) නමැති ගයම් පිහිටියා වූ ද, අංක 110510
දරන කැඩැස්ාර සිදතියයම් කලාප අංක 03 හි කැබලි අංක 1 : 183 දරන ඉඩම් යකොටස ්යලස යප්තනුම් යකොට ඇේාා වූ ද, හිමිකම් පෑම් ඉදිරිපේ
කරන යලස දැනුම් යදමි්ත, 1998 අංක 51 දරන හිමිකම් ලියාපදිංචි කිරීයම් පනයේ වැනි වග්තතිය ප්‍රකාර 505 00901 වැනි දින අංක 54 4119
දරන ගැසට් පත්‍රයේ යථා පරිදි පළකරන ලද දැ්තවීයම් සඳහ්ත යකොට ඇේාා වූ ද, ඉඩම් යකොටස්වල අයිතිය සම්බ්ත යය්ත යමහි උපයල්ඛනයේ
දැක්කයයවන මායේ තීරණ 1998 අංක 51 දරන හිමිකම් ලියාපදිංචි කිරීයම් පනයේ 14 වැනි වග්තතියය්ත පහා අේස්ත කරන මා යවා පවරා ඇති
බලාල ප්‍රකාර, මම යමයි්ත ප්‍රකාය කරමි0
පී. සී. ඩී. සිශේරා,
ඉඩම් හිමිකම් නිරවුල් කිරීයම් යකොමසාරිස් ජානරාල්0
505 ජානවාරි මස 14 වැනි දින,
බේාරමුල්ල,
රජාමල්වේා පාර,
"මිහිකා මැදුර", අංක 15001 ,
ඉඩම් හිමිකම් නිරවුල් කිරීයම් යදපාර්ායම්්තතුයේ දී ය0
1A - G 046249 - 03 (2026/02)
සැ0යු0- යමම අති වියයෂ ගැසට් පත්‍රය www.documents.gov.lk යවබ් අඩවියය්ත බාගා කළ හැක0
2 A III ශකොටස - ශ්‍රී කංකා ‍රජාාතා්ත්‍රික සමාජාවා ජ ජානරජාශඅ අති විශෙෂ සැස ප ෙ‍රය - 2026.02.06
උෙශේඛනය
විනිය්චය්ත සහ යම් වියයේෂ යහෝ
ඉ්තයජා්තෂ්ත ාහනම් යපෞ්ධගලික
ඉඩම් වියාලේවය අයිතිකරුයේ1අයිතිකරුව්තයේ ජාාතික අයිති අයිතියේ අයේක්කයෂායව්ත ඇති නීතියකට යටේ
යකොටයස ේ සම්පූර්ණ නම1නම් සහ ලිපිනය හැඳුනුම්පේ ඉඩයම් ප්තතිය සහ උකස් සහ බැඳීම් නම් ඒ පිළිබඳ
අංකය අංකය ප්‍රමාණය ස්වභාවය පිළිබඳ විස්ාර විස්ාර
(යහක්කයටයාර්)
1 : 183 0009 බටවල යහේවයේ අයනෝජාා බටවලයේ 1975849041 8 සම්පූර්ණ ප්‍රථම ප්තතිය – –
3039, පුබුදු මාවා, 111 වන පියවර,
අනුරා පුරය
EOG 02 - 0052
ශ්‍රී ලංකා රජායේ මු‍රණ යදපාර්ායම්්තතුයේ මු‍රණය කරන ලදී0</t>
  </si>
  <si>
    <t>ac5f4fde-cb0c-41e8-b231-84834fb05cec</t>
  </si>
  <si>
    <t>2474_56</t>
  </si>
  <si>
    <t>2474/56</t>
  </si>
  <si>
    <t>Title Registration Act, No. 21 of 1998, Section 14 — Commissioner of Title Settlement decision (Gazette 2474/56)</t>
  </si>
  <si>
    <t>m1/raw/2474_56.pdf</t>
  </si>
  <si>
    <t>ශ්‍රී ලංකා ප්‍රජාාාා්ත්‍රික සමාජාවාදී ජානරජායේ ගැසට් පත්‍රය
අති විශෙෂ
අංක 2474/56 - 2026 ශෙබරවාරි මස 06 වැනි සිකුරාදා - 2026.02.06
(රජායේ බලයපිට ප්‍රසිද්ධ කරන ලදී)
III වැනි ශකොටස - ඉඩම්
හිමිකම් ලියාෙදංචි කිරීම
1998 අංක 21 දරන හිමිකම් ලියාෙදංචි කිරීශම් ෙනත
14 වැනි වග්තතිය යටයේ හිමිකම් නිරවුල් කිරීයම් යකොමසාරිස්යේ තීරණ ප්‍රකායය
වයඹ පළායේ කුරුණෑගල දිස්්‍රික්කයකයේ මල්ලවපිය ය ප්‍රාය්ධය ය යල්කම් යකොට්සාසයේ කංක 1 1 කපටපිය ය ‍ාම නිල ාරි යකොට්සාසය ළළ
යමොයපේාව නමැති ගයම් පිහිය යා වූ ද, කංක 420220 දරන කැඩැස්ාර සිදතියයම් කලාප කංක 02 හි කැබලි කංක 8:143 දරන ඉඩම් යකොටස ්යලස
යප්තනුම් යකොට ඇේාා වූ ද, හිමිකම් පෑම් ඉදිරිපේ කරන යලස දැනුම් යදමි්ත 1998 කංක 21 දරන හිමිකම් ලියාපදිංචි කිරීයම් පනයේ 55 වැනි
වග්තතිය ප්‍රකාර 2025111110 වැනි දින කංක 242200 දරන ගැසට් පත්‍රයේ යථා පරිදි පළකරන ලද දැ්තවීයම් සඳප්ත යකොට ඇේාා වූ ද, ඉඩම්
යකොටස්වල කයිතිය සම්බ්ත යය්ත යමහි උපයල්ඛනයේ දැක්කයයවන මායේ තීරණ 1998 කංක 21 දරන හිමිකම් ලියාපදිංචි කිරීයම් පනයේ 14 වැනි
වග්තතියය්ත පපා කේස්ත කරන මා යවා පවරා ඇති බලාල ප්‍රකාර, මම යමයි්ත ප්‍රකාය කරමි1
පී. සී. ඩී. සිශේරා,
ඉඩම් හිමිකම් නිරවුල් කිරීයම් යකොමසාරිස් ජානරාල්1
2022 ජානවාරි මස 19 වැනි දින,
බේාරමුල්ල,
රජාමල්වේා පාර,
"මිහිකා මැදුර", කංක 120002,
ඉඩම් හිමිකම් නිරවුල් කිරීයම් යදපාර්ායම්්තළයේ දී ය1
1A - G 046250 - 03 (2026/02)
සැ1යු1- යමම කති වියයෂ ගැසට් පත්‍රය www.documents.gov.lk යවබ් කඩවියය්ත බාගා කළ පැක1
2 A III ශකොටස - ශ්‍රී කංකා ‍රජාාතා්ත්‍රික සමාජාවා ජ ජානරජාශඅ අති විශෙෂ සැස ප ෙ‍රය - 2026.02.06
උෙශේඛනය
විනිය්චය්ත සප යම් වියයේෂ යපෝ
ඉ්තයජා්තෂ්ත ාපනම් යපෞ්ධගලික
ඉඩම් වියාලේවය කයිතිකරුයේ0කයිතිකරුව්තයේ ජාාතික කයිති කයිතියේ කයේක්කයෂායව්ත ඇති නීතියකට යටේ
යකොටයස ේ සම්පූර්ණ නම0නම් සප ලිපිනය පැඳුනුම්පේ ඉඩයම් ප්තතිය සප උකස් සප බැඳීම් නම් ඒ පිළිබඳ
කංකය කංකය ප්‍රමාණය ස්වභාවය පිළිබඳ විස්ාර විස්ාර
(යපක්කයටයාර්)
8:143 010402 මල්ලව මුදිය්තයසේලායේ උදය දර්යන 792675042V සම්පූර්ණ ප්‍රථම ප්තතිය
බංඩාර මල්ලව
කංක 01,වැරුල්ලවේා,
යමොයපොේාව,
යාෝරයාය
EOG 02 - 0053
ශ්‍රී ලංකා රජායේ මු‍රණ යදපාර්ායම්්තළයේ මු‍රණය කරන ලදී1</t>
  </si>
  <si>
    <t>12c2ebf8-305c-42aa-bd8e-7fd5a8a41f2b</t>
  </si>
  <si>
    <t>2474_57</t>
  </si>
  <si>
    <t>2474/57</t>
  </si>
  <si>
    <t>Title Registration Act, No. 21 of 1998, Section 14 — Commissioner of Title Settlement decision (Gazette 2474/57)</t>
  </si>
  <si>
    <t>Commissioner of Title Settlement's decision under Section 14 of the Title Registration Act No. 21 of 1998. Part III — Lands. Land Parcel No. 1 of Block 1: 202 of Block 6 in Cadastral Map No. 594 - Hadummulla in the Divisional Secretary's Division of Rideogama, in the District of Kurunegala, North-West. References Gazette 2427/16 of 11 March 2025.</t>
  </si>
  <si>
    <t>m1/raw/2474_57.pdf</t>
  </si>
  <si>
    <t>ශ්‍රී ලංකා ප්‍රජාාාා්ත්‍රික සමාජාවාදී ජානරජායේ ගැසට් පත්‍රය
The Gazette of the Democratic Socialist Republic of Sri Lanka
අති විශෙෂ EXTRAORDINARY
අංක 2474/57 - 2026 ශෙබරවාරි 06 වැනි සිකුරාදා - 2026.02.06
No. 2474/57 – FRIDAY, FEBRUARY 06,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1 : 202 of Block 05,
contained in the Cadastral Map No. 420136, situated in the Village of Hadiramulla, within the Grama Niladhari Division of No. 594 -
Hadiramulla in the Divisional Secretary's Division of Rideegama, in the District of Kurunegala, in the Province of North West, referred
to in Notice calling for claims to land parcels which was duly published in the Gazette No. 2427/16 of 11th March, 2025 in terms of
Section 55 of the Registration of Title Act, No.21 of 1998.
P.C.D. SIGERA,
Commissioner General of Land Title Settlement.
Land Title Settlement Department,
No. 1200/6, “Mihikatha Medura”,
Rajamalwatta Road,
Battaramulla.
19th January, 2026
1A - G 046251 - 03 (02/2026)
N.B.– This Gazette Extraordinary can be downloaded from www.documents.gov.lk
2 A III යකොටස - ශ්‍රී ලංකා ප්‍රජාාාා්ත්‍රික සමාජාවාදී ජානරජායේ ි ව ශෙය ග ගැසට් පත්‍රය - 2026.02.06
Part III – GAZETTE EXTRA ORDINARY OF THE DEMOCRATIC SOCIALIST REPUBLIC OF SRI LANKA – 06.02.2026
SCHEDULE
Particulars Particulars
Sheet No Class and regarding if
and National Extent Nature Mortgages subject
Parcel Extent Full Name/s of Owner/s Identity Owned of Encumbrances to any
No. and Address Card No. Title pending form of
Adjudication special or
and personal
Injunction law
(Hectare)
1 : 202 0.0317 Abdhul Hasam Mohomad Haneef 840741842V Ftkk 0rt Ckarr – –
No. 28/A, Hadiramulla, Panagamuva
EOG 02 - 0054
PRINTED AT THE DEPARTMENT OF GOVERNMENT PRINTING, SRI LANKA.</t>
  </si>
  <si>
    <t>4a47feaf-34ac-42cb-9410-42b0081c7276</t>
  </si>
  <si>
    <t>2474_58</t>
  </si>
  <si>
    <t>2474/58</t>
  </si>
  <si>
    <t>Title Registration Act, No. 21 of 1998, Section 14 — Commissioner of Title Settlement decision (Gazette 2474/58)</t>
  </si>
  <si>
    <t>Commissioner of Title Settlement's decision under Section 14 of the Title Registration Act No. 21 of 1998. Part III — Lands. References Gazette 248,250 etc.; signed by B.D.D. Mihela, Commissioner of Title Settlement.</t>
  </si>
  <si>
    <t>m1/raw/2474_58.pdf</t>
  </si>
  <si>
    <t>(cid:636) ලංකා (cid:541)ජාතා(cid:486)(cid:437)ක සමාජවා(cid:463) ජනරජෙ(cid:591) ගැස(cid:376) ප(cid:436)ය
අ(cid:431) (cid:618)ෙශෂ
අංක 2474/58 - 2026 ෙපබරවා(cid:604) මස 06 වැ(cid:487) (cid:646)කුරාදා - 2026.02.06
(රජෙ(cid:591) බලය(cid:536)ට (cid:541)(cid:646)(cid:458)ධ කරන ල(cid:463))
III වැ(cid:487) ෙක(cid:675)ටස - ඉඩ(cid:572)
(cid:655)(cid:573)ක(cid:572) (cid:611)යාප(cid:462)ං(cid:317) (cid:251)(cid:605)ම
1998 අංක 21 දරන (cid:655)(cid:573)ක(cid:572) (cid:611)යාප(cid:462)ං(cid:317) (cid:251)(cid:605)ෙ(cid:572) පනත
14 වැ(cid:487) වග(cid:486)(cid:431)ය යටෙ(cid:430) (cid:655)(cid:573)ක(cid:572) (cid:487)ර(cid:620)(cid:610) (cid:251)(cid:605)ෙ(cid:572) ෙක(cid:675)මසා(cid:604)ස්ෙ(cid:280) (cid:432)රණ (cid:541)කාශය
සබරග(cid:575)ව පළාෙ(cid:430), ර(cid:430)න(cid:538)ර (cid:462)ස්(cid:437)(cid:250)කෙ(cid:591), කු(cid:606)(cid:618)ට (cid:541)ාෙ(cid:458)(cid:629)ය ෙ(cid:610)ක(cid:572) ෙක(cid:675)(cid:376)ඨාසෙ(cid:591), 154 - ෙක(cid:675)ස්ෙග(cid:675)ඩ (cid:286)ාම (cid:487)ලධා(cid:604) ෙක(cid:675)(cid:376)ඨාසය (cid:433)ළ
ෙක(cid:675)ස්ෙග(cid:675)ඩ නැමැ(cid:431) ගෙ(cid:572) (cid:536)(cid:655)(cid:377)යා (cid:621) ද, අංක 620275 දරන කැඩැස්තර (cid:646)(cid:431)යෙ(cid:572) කලාප අංක 01 (cid:655) කැබ(cid:611) අංක 248,250 සහ 251 දරk ඉඩ(cid:572)
ෙක(cid:675)ටස් ෙලස ෙප(cid:486)(cid:489)(cid:572) ෙක(cid:675)ට ඇ(cid:430)තා (cid:621) ද, (cid:655)(cid:573)ක(cid:572) පෑ(cid:572) ඉ(cid:462)(cid:604)ප(cid:430) කරන ෙලස දැ(cid:489)(cid:572) ෙද(cid:573)(cid:486) 1998 අංක 21 දරන (cid:655)(cid:573)ක(cid:572) (cid:611)යාප(cid:462)ං(cid:317) (cid:251)(cid:605)ෙ(cid:572)
පනෙ(cid:430) 55 වැ(cid:487) වග(cid:486)(cid:431)ය (cid:541)කාර 2025.09.11 වැ(cid:487) (cid:462)න අංක 2453/27 දරන ගැස(cid:376) ප(cid:436)ෙ(cid:591) යථා ප(cid:604)(cid:462) පළකරන ලද අංක දරන දැ(cid:486)(cid:619)ෙ(cid:572) සඳහ(cid:486)
ෙක(cid:675)ට ඇ(cid:430)තා (cid:621) ද, ඉඩ(cid:572) ෙක(cid:675)ටස්වල අ(cid:592)(cid:431)ය ස(cid:572)බ(cid:486)ධෙය(cid:486) ෙම(cid:655) උපෙ(cid:610)ඛනෙ(cid:591) දැ(cid:250)ෙවන මාෙ(cid:280) (cid:432)රණ 1998 අංක 21 දරන (cid:655)(cid:573)ක(cid:572) (cid:611)යාප(cid:462)ං(cid:317)
(cid:251)(cid:605)ෙ(cid:572) පනෙ(cid:430) 14 වැ(cid:487) වග(cid:486)(cid:431)ෙය(cid:486) පහත අ(cid:430)ස(cid:486) කරන මා ෙවත පවරා ඇ(cid:431) බලතල (cid:541)කාර, මම ෙම(cid:592)(cid:486) (cid:541)කාශ කර(cid:573).
(cid:537). (cid:647). (cid:396). (cid:646)ෙ(cid:280)රා,
ඉඩ(cid:572) (cid:655)(cid:573)ක(cid:572) (cid:487)ර(cid:620)(cid:610) (cid:251)(cid:605)ෙ(cid:572) ෙක(cid:675)මසා(cid:604)ස් ජනරා(cid:610).
2026 ජනවා(cid:604) මස 13 වැ(cid:487) (cid:462)න,
බ(cid:430)තර(cid:575)(cid:610)ල,
රජම(cid:610)ව(cid:430)ත පාර,
"(cid:573)(cid:655)කත මැ(cid:464)ර", අංක 1200/6,
ඉඩ(cid:572) (cid:655)(cid:573)ක(cid:572) (cid:487)ර(cid:620)(cid:610) (cid:251)(cid:605)ෙ(cid:572) ෙදපා(cid:601)තෙ(cid:572)(cid:486)(cid:433)ෙ(cid:617) (cid:463) ය.
1A - G 046252 - 03 (2026/02)
සැ.(cid:594).- ෙමම අ(cid:431) (cid:618)ෙශෂ ගැස(cid:376) ප(cid:436)ය www.documents.gov.lk ෙව(cid:553) අඩ(cid:618)ෙය(cid:486) බාගත කළ හැක.
2 A III ෙක(cid:675)ටස - (cid:636) ලංකා (cid:541)ජාතා(cid:486)(cid:437)ක සමාජවා(cid:463) ජනරජෙ(cid:591) අ(cid:431) (cid:618)ෙශෂ ගැස(cid:376) ප(cid:436)ය - 2026.02.06
උපෙ(cid:610)ඛනය
(cid:618)(cid:487)ශ්චය(cid:486) සහ ය(cid:572) (cid:618)ෙශේෂ ෙහ(cid:676)
ඉ(cid:486)ෙජ(cid:486)ෂ(cid:486) තහන(cid:572) ෙප(cid:677)(cid:458)ග(cid:611)ක
ඉඩ(cid:572) (cid:618)ශාල(cid:430)වය අ(cid:592)(cid:431)ක(cid:606)ෙ(cid:280)/අ(cid:592)(cid:431)ක(cid:606)ව(cid:486)ෙ(cid:280) ජා(cid:431)ක අ(cid:592)(cid:431) අ(cid:592)(cid:431)ෙ(cid:591) අෙ(cid:535)(cid:250)ෂාෙව(cid:486) ඇ(cid:431) (cid:488)(cid:431)යකට යට(cid:430)
ෙක(cid:675)ටෙසේ ස(cid:572)(cid:539)(cid:601)ණ නම/න(cid:572) සහ (cid:611)(cid:536)නය හැ(cid:511)(cid:489)(cid:572)ප(cid:430) ඉඩෙ(cid:572) ප(cid:486)(cid:431)ය සහ උකස් සහ බැ(cid:510)(cid:572) න(cid:572) ඒ (cid:536)(cid:664)බඳ
අංකය අංකය (cid:541)මාණය ස්වභාවය (cid:536)(cid:664)බඳ (cid:618)ස්තර (cid:618)ස්තර
(ෙහ(cid:250)ටයා(cid:601))
248 0.0506 බ(cid:379)ෙහේන (cid:575)(cid:462)ය(cid:486)ෙසේලාෙ(cid:280) (cid:462)ෙ(cid:486)ෂ්, 199009902130 ස(cid:572)(cid:539)(cid:601)ණ (cid:541)ථම ප(cid:486)(cid:431)ය කැබ(cid:611) අංක 247 -
සං(cid:336)ව ෙ(cid:541)ේමකුමාර, (cid:655) මා(cid:601)ග පරවශ්‍යතා
අංක (28)410,බ(cid:379)ෙහේන, අ(cid:592)(cid:431)ය සමඟ
(cid:655)දැ(cid:610)ලන.
250 0.0505 බ(cid:379)ෙහේන (cid:575)(cid:462)ය(cid:486)ෙසේලාෙ(cid:280) (cid:462)ෙ(cid:486)ෂ්, 199009902130 ස(cid:572)(cid:539)(cid:601)ණ (cid:541)ථම ප(cid:486)(cid:431)ය කැබ(cid:611) අංක 247 -
සං(cid:336)ව ෙ(cid:541)ේමකුමාර, (cid:655) මා(cid:601)ග පරවශ්‍යතා
අංක (28)410,බ(cid:379)ෙහේන, අ(cid:592)(cid:431)ය සමඟ
(cid:655)දැ(cid:610)ලන.
251 0.0497 බ(cid:379)ෙහේන (cid:575)(cid:462)ය(cid:486)ෙසේලාෙ(cid:280) (cid:462)ෙ(cid:486)ෂ්, 199009902130 ස(cid:572)(cid:539)(cid:601)ණ (cid:541)ථම ප(cid:486)(cid:431)ය කැබ(cid:611) අංක 247 -
සං(cid:336)ව ෙ(cid:541)ේමකුමාර, (cid:655) මා(cid:601)ග පරවශ්‍යතා
අංක (28)410,බ(cid:379)ෙහේන, අ(cid:592)(cid:431)ය සමඟ
(cid:655)දැ(cid:610)ලන.
EOG 02-0055
(cid:636) ලංකා රජෙ(cid:591) (cid:575)(cid:470)ණ ෙදපා(cid:601)තෙ(cid:572)(cid:486)(cid:433)ෙ(cid:617) (cid:575)(cid:470)ණය කරන ල(cid:463).</t>
  </si>
  <si>
    <t>2c01c407-926a-4faf-bd8b-284b960c825a</t>
  </si>
  <si>
    <t>2474_59</t>
  </si>
  <si>
    <t>2474/59</t>
  </si>
  <si>
    <t>Public Welfare Ordinance / 1956 Act No. 131, Section 4(1) — Notice (Gazette 2474/59)</t>
  </si>
  <si>
    <t>රාජ්‍ය සුභසාධන ආඥාපනත / 1956 අංක 131 දරන පනත, 4(1) වගන්තිය යටතේ දැන්වීම</t>
  </si>
  <si>
    <t>பொது நலன்புரிக் கட்டளைச் சட்டம் / 1956 ஆம் ஆண்டின் 131 ஆம் இலக்க சட்டம், 4(1) ஆம் பிரிவின் கீழ் அறிவித்தல்</t>
  </si>
  <si>
    <t>Notice issued under Section 4(1) of the relevant Welfare/Pension Act No. 131 of 1956. Reference IR/COM/02/2024/94. Lists multiple government departments including Department of Examinations. Part I — General. Dated 29 January 2026.</t>
  </si>
  <si>
    <t>Public Welfare Ordinance, No. 131 of 1956</t>
  </si>
  <si>
    <t>m1/raw/2474_59.pdf</t>
  </si>
  <si>
    <t>1A
I ෙක(cid:675)ටස: (I) ෙඡදය – (cid:636) ලංකා (cid:541)ජාතා(cid:486)(cid:437)ක සමාජවා(cid:463) ජනරජෙ(cid:591) අ(cid:431) (cid:618)ෙශෂ ගැස(cid:376) ප(cid:436)ය – 2026.02.07
(cid:636) ලංකා (cid:541)ජාතා(cid:486)(cid:437)ක සමාජවා(cid:463) ජනරජෙ(cid:591) ගැස(cid:376) ප(cid:436)ය
අ(cid:431) (cid:618)ෙශෂ
අංක 2474/59 – 2026 ෙපබරවා(cid:604) මස 07 වැ(cid:487) ෙසන(cid:648)රාදා – 2026.02.07
(රජෙ(cid:591) බලය(cid:536)ට (cid:541)(cid:646)(cid:458)ධ කරන ල(cid:463))
I වැ(cid:487) ෙක(cid:675)ටස: (I) වැ(cid:487) ෙඡදය – සාමාන(cid:597)
රජෙ(cid:591) (cid:487)ෙ(cid:617)දන
මෙ(cid:280) අංකය: IR/COM/02/2024/94.
ලංකාෙ(cid:617) ව(cid:597)වස්ථා(cid:536)ත අණපන(cid:430)වල 131 වැ(cid:487) ප(cid:604)(cid:316)ෙ(cid:326)දය (1956 (cid:541)(cid:431)ෙශ(cid:676)(cid:477)ත (cid:575)(cid:470)ණය) වන කා(cid:601)(cid:573)ක ආරා(cid:620)(cid:610) පනත
4(1) වැ(cid:487) වග(cid:486)(cid:431)ය යටෙ(cid:430) (cid:487)ෙය(cid:676)ගය
ෙමම (cid:487)ෙය(cid:676)ගය අ(cid:489)බ(cid:458)(cid:477)ත ක(cid:572)ක(cid:606) ෙක(cid:675)මසා(cid:604)ස් ජනරා(cid:610)වරයාෙ(cid:280) (cid:541)කාශනෙ(cid:591) (cid:487)යම කර ද(cid:250)වා ඇ(cid:431) කාරණය (cid:536)(cid:664)බඳව –
එ(cid:250) පා(cid:601)ශ්වය(cid:250) වශෙය(cid:486),
(cid:396). එ(cid:572). (cid:537). එ(cid:572). අ(cid:610)(cid:618)ස් (cid:573)ය ඇ(cid:433)(cid:666) ෙස(cid:674)වක(cid:592)(cid:486) 11 ෙදනා, අංක 111/5, ෙජ(cid:676)(cid:486) (cid:606)(cid:472)ෙග(cid:676) මාවත, ක(cid:379)බැ(cid:458)ද, ෙම(cid:675)ර(cid:379)ව.
සහ
අ ෙන(cid:250) පා(cid:601)ශ්වය වශෙය(cid:486),
ජා(cid:431)ක ර(cid:250)ෂණ(cid:171)භාර අර(cid:575)දල, අංක 95, (cid:636)ම(cid:430) (cid:317)(cid:430)ත(cid:572)පල(cid:572) ඒ. ගා(cid:395)න(cid:601) මාවත, ෙක(cid:675)ළඹ 02.
අතර කා(cid:601)(cid:573)ක ආරා(cid:620)ල(cid:250) පව(cid:431)න ෙහ(cid:592)(cid:486) ද,
ක(cid:572)ක(cid:606) අමාත(cid:597) ආචා(cid:601)ය අ(cid:487)(cid:610) ජය(cid:486)ත (cid:541)නා(cid:486)(cid:464) වන මම, 1957 අංක 14 හා 1957 අංක 62 හා 1962 අංක 04 හා
1968 අංක 39 (1968 අංක 37 දරන කා(cid:601)(cid:573)ක ආරා(cid:620)(cid:610) ((cid:618)ෙශ(cid:674)ෂ (cid:541)(cid:431)පාදන) පනත සමග (cid:251)යවා) දරන පන(cid:430) ව(cid:611)(cid:486) සංෙශ(cid:676)(cid:477)ත (cid:621), ලංකාෙ(cid:617)
ව(cid:597)වස්ථා(cid:536)ත අණපන(cid:430)වල 131 වන ප(cid:604)(cid:316)ෙ(cid:326)දය (1956 (cid:541)(cid:431)ෙශ(cid:676)(cid:477)ත (cid:575)(cid:470)ණය) වන කා(cid:601)(cid:573)ක ආරා(cid:620)(cid:610) පනෙ(cid:430) 4(1) වන වග(cid:486)(cid:431)ෙය(cid:486)
මා ෙවත පැව(cid:605) ඇ(cid:431) බලතල අ(cid:489)ව, එ(cid:252) ආරා(cid:620)ල ෙ(cid:553)(cid:606)(cid:572) (cid:251)(cid:605)ෙම(cid:486) (cid:487)ර(cid:620)(cid:610) (cid:251)(cid:605)ම සඳහා ෙ(cid:553)(cid:606)(cid:572)ක(cid:606) වශෙය(cid:486), මාතෙ(cid:610),
ක(cid:316)ෙ(cid:316)(cid:604)ය පාර, 24/9, ආචා(cid:601)ය ෙ(cid:250). ඒ. එස්. (cid:252)රගල මයා ප(cid:430)කර ඔ(cid:657) ෙවත ෙම(cid:592)(cid:486) ෙය(cid:675)(cid:575) කර(cid:489) ලැෙ(cid:553).
ආචා(cid:601)ය අ(cid:487)(cid:610) ජය(cid:486)ත (cid:541)නා(cid:486)(cid:464),
ක(cid:572)ක(cid:606) අමාත(cid:597).
2026 ජනවා(cid:604) මස 29 වැ(cid:487) (cid:462)න,
ෙක(cid:675)ළඹ (cid:463) ය.
1A – G 046255 – 18 (2026/02)
ෙමම අ(cid:431) (cid:618)ෙශෂ ගැස(cid:376) ප(cid:436)ය www.documents.gov.lk ෙව(cid:553) අඩ(cid:618)ෙය(cid:486) බාගත කළ(cid:171)හැක.
2A
I ෙක(cid:675)ටස: (I) ෙඡදය – (cid:636) ලංකා (cid:541)ජාතා(cid:486)(cid:437)ක සමාජවා(cid:463) ජනරජෙ(cid:591) අ(cid:431) (cid:618)ෙශෂ ගැස(cid:376) ප(cid:436)ය – 2026.02.07
මෙ(cid:280) අංකය: IR/COM/02/2024/94.
ලංකාෙ(cid:617) ව(cid:597)වස්ථා(cid:536)ත අණපන(cid:430)වල 131 අ(cid:477)කාරය වන කා(cid:601)(cid:573)ක ආරා(cid:620)(cid:610) පනත
(1956 (cid:541)(cid:431)ෙශ(cid:676)(cid:477)ත (cid:575)(cid:470)ණය)
එ(cid:250) පා(cid:601)ශ්වය(cid:250) වශෙය(cid:486),
(cid:396). එ(cid:572). (cid:537). එ(cid:572). අ(cid:610)(cid:618)ස් (cid:573)ය ඇ(cid:433)(cid:666) ෙස(cid:674)වක(cid:592)(cid:486) 11 ෙදනා, අංක 111/5, ෙජ(cid:676)(cid:486) (cid:606)(cid:472)ෙග(cid:676) මාවත, ක(cid:379)බැ(cid:458)ද, ෙම(cid:675)ර(cid:379)ව.
සහ
අ ෙන(cid:250) පා(cid:601)ශ්වය වශෙය(cid:486),
ජා(cid:431)ක ර(cid:250)ෂණ(cid:171)භාර අර(cid:575)දල, අංක 95, (cid:636)ම(cid:430) (cid:317)(cid:430)ත(cid:572)පල(cid:572) ඒ. ගා(cid:395)න(cid:601) මාවත, ෙක(cid:675)ළඹ 02.
ඉහත සඳහ(cid:486) පා(cid:601)ශ්වය(cid:486) අතර ඇ(cid:431) කා(cid:601)(cid:573)ක ආරා(cid:620)ලට ෙහ(cid:674)(cid:433)(cid:619) පව(cid:430)නා ක(cid:606)ණ ව(cid:489)ෙ(cid:591),
“ජා(cid:431)ක ර(cid:250)ෂණ භාර අර(cid:575)දෙල(cid:655) ෙස(cid:674)වෙ(cid:591) (cid:487)(cid:594)(cid:433) පහත න(cid:572) සඳහ(cid:486) (cid:396). එ(cid:572). (cid:537). එ(cid:572). අ(cid:610)(cid:618)ස් (cid:573)ය ඇ(cid:433)(cid:666) ෙස(cid:674)වක(cid:592)(cid:486)
11 ෙදනා ස්(cid:450)ර ෙස(cid:674)වයට ඇ(cid:433)ළ(cid:430) කර ෙන(cid:675)ෙගන (cid:462)(cid:281)(cid:486) (cid:462)ගටම ෛද(cid:487)ක වැ(cid:379)ප(cid:250) ෙගව(cid:573)(cid:486) ෙස(cid:674)වෙය(cid:655) ෙය(cid:675)දා ගැ(cid:488)ම (cid:433)(cid:664)(cid:486) ඔ(cid:620)(cid:486)ට ය(cid:572)
අසාධාරණය(cid:250) (cid:646)(cid:464)ව (cid:431)ෙ(cid:553) ද එෙස(cid:674) (cid:646)(cid:464)ව (cid:431) ෙ(cid:553) න(cid:572) ඔ(cid:620)(cid:486)ට (cid:655)(cid:573)(cid:618)ය (cid:594)(cid:433) සහන කවෙ(cid:601)ද ය(cid:486)න (cid:536)(cid:664)බඳව ෙ(cid:617).”
1. (cid:396). එ(cid:572). (cid:537). එ(cid:572). අ(cid:610)(cid:618)ස් 7. (cid:336). එස්. එස්. ෙපෙ(cid:601)රා
2. අ(cid:592). එ(cid:572). (cid:619)ර(cid:646)ංහ 8. (cid:396). ෙ(cid:250). (cid:336). ෙ(cid:250). ෙ(cid:250). (cid:537)(cid:604)ස්
3. (cid:555). (cid:619). එ(cid:572). සමර(cid:618)(cid:256)ම 9. අ(cid:592). (cid:396). ජයර(cid:430)න
4. (cid:396). ෙ(cid:250). එස්. එස්. ධ(cid:601)මපාල 10. ෙ(cid:250). ඩ(cid:553). එ(cid:610). ච(cid:572)(cid:536)කා
5. ආ(cid:601). ඒ. අ(cid:592). (cid:537). රණ(cid:646)ංහ 11. (cid:595). ෂ(cid:639)(cid:604) මෙන(cid:676)(cid:639)කා ජයල(cid:430) ”
6. ඩ(cid:553). (cid:647). ආ(cid:601). ෙම(cid:486)(cid:395)ස්
එ(cid:316). එ(cid:572). (cid:396). එ(cid:486). ෙ(cid:250). වට(cid:611)ය(cid:458)ද,
ක(cid:572)ක(cid:606) ෙක(cid:675)මසා(cid:604)ස් ජනරා(cid:610).
2026 ජනවා(cid:604) මස 26 වැ(cid:487) (cid:462)න,
ෙක(cid:675)ළඹ, ක(cid:572)ක(cid:606) ෙක(cid:675)මසා(cid:604)ස් ජනරා(cid:610) තැනෙ(cid:280)
කා(cid:601)යාලෙ(cid:591) (cid:463) (cid:462)න ෙය(cid:675)දන ල(cid:463).
EOG 02 – 0060
––––––––––––––––––––––––––––––––––––––
මෙ(cid:280) අංකය: IR/COM/02/2024/90.
ලංකාෙ(cid:617) ව(cid:597)වස්ථා(cid:536)ත අණපන(cid:430)වල 131 වැ(cid:487) ප(cid:604)(cid:316)ෙ(cid:326)දය (1956 (cid:541)(cid:431)ෙශ(cid:676)(cid:477)ත (cid:575)(cid:470)ණය) වන කා(cid:601)(cid:573)ක ආරා(cid:620)(cid:610) පනත
4(1) වැ(cid:487) වග(cid:486)(cid:431)ය යටෙ(cid:430) (cid:487)ෙය(cid:676)ගය
ෙමම (cid:487)ෙය(cid:676)ගය අ(cid:489)බ(cid:458)(cid:477)ත ක(cid:572)ක(cid:606) ෙක(cid:675)මසා(cid:604)ස් ජනරා(cid:610)වරයාෙ(cid:280) (cid:541)කාශනෙ(cid:591) (cid:487)යම කර ද(cid:250)වා ඇ(cid:431) කාරණය (cid:536)(cid:664)බඳව –
එ(cid:572). ෙ(cid:250). අෙ(cid:553)නායක මයා,(cid:171)(cid:538)ස්තකාල සහකාර, (cid:636) ලංකා මහවැ(cid:611) අ(cid:477)කා(cid:604)ය, වලව බල (cid:541)ෙ(cid:458)ශය, ඇ(cid:583)(cid:611)(cid:536)(cid:377)ය.
සහ
(cid:636) ලංකා මහවැ(cid:611) අ(cid:477)කා(cid:604)ය, අංක 500, (cid:378). (cid:555). ජයා මාවත, ෙක(cid:675)ළඹ 10.
අතර කා(cid:601)(cid:573)ක ආරා(cid:620)ල(cid:250) පව(cid:431)න ෙහ(cid:592)(cid:486) ද,
ක(cid:572)ක(cid:606) අමාත(cid:597) ආචා(cid:601)ය අ(cid:487)(cid:610) ජය(cid:486)ත (cid:541)නා(cid:486)(cid:464) වන මම, 1957 අංක 14 හා 1957 අංක 62 හා 1962 අංක 4 හා 1968 අංක 39
(1968 අංක 37 දරන කා(cid:601)(cid:573)ක ආරා(cid:620)(cid:610) ((cid:618)ෙශ(cid:674)ෂ (cid:541)(cid:431)පාදන) පනත සමග (cid:251)යවා) දරන පන(cid:430) ව(cid:611)(cid:486) සංෙශ(cid:676)(cid:477)ත (cid:621) ලංකාෙ(cid:617) ව(cid:597)වස්ථා(cid:536)ත
අණපන(cid:430)වල 131 වන ප(cid:604)(cid:316)ෙ(cid:326)දය (1956 (cid:541)(cid:431)ෙශ(cid:676)(cid:477)ත (cid:575)(cid:470)ණය) වන කා(cid:601)(cid:573)ක ආරා(cid:620)(cid:610) පනෙ(cid:430) 4(1) වන වග(cid:486)(cid:431)ෙය(cid:486) මා ෙවත පැව(cid:605)
3A
I ෙක(cid:675)ටස: (I) ෙඡදය – (cid:636) ලංකා (cid:541)ජාතා(cid:486)(cid:437)ක සමාජවා(cid:463) ජනරජෙ(cid:591) අ(cid:431) (cid:618)ෙශෂ ගැස(cid:376) ප(cid:436)ය – 2026.02.07
ඇ(cid:431) බලතල අ(cid:489)ව, එ(cid:252) ආරා(cid:620)ල ෙ(cid:553)(cid:606)(cid:572) (cid:251)(cid:605)ෙම(cid:486) (cid:487)ර(cid:620)(cid:610) (cid:251)(cid:605)ම සඳහා ෙ(cid:553)(cid:606)(cid:572)ක(cid:606) වශෙය(cid:486) (cid:251)(cid:604)බ(cid:430)ෙග(cid:675)ඩ, ද(cid:666)ගම, අ(cid:666)(cid:430) (cid:657)(cid:415)(cid:536)(cid:377)ය
පාර, අංක 331/3, (cid:488)(cid:431)ඥ බ(cid:412)ඩාර ෙසනර(cid:430) මයා ප(cid:430) කර ඔ(cid:657) ෙවත ෙම(cid:592)(cid:486) ෙය(cid:675)(cid:575) කර(cid:489) ලැෙ(cid:553).
ආචා(cid:601)ය අ(cid:487)(cid:610) ජය(cid:486)ත (cid:541)නා(cid:486)(cid:464),
ක(cid:572)ක(cid:606) අමාත(cid:597).
2026 ජනවා(cid:604) මස 29 වැ(cid:487) (cid:462)න,
ෙක(cid:675)ළඹ (cid:463) ය.
මෙ(cid:280) අංකය: IR/COM/02/2024/90.
ලංකාෙ(cid:617) ව(cid:597)වස්ථා(cid:536)ත අණපන(cid:430)වල 131 අ(cid:477)කාරය වන කා(cid:601)(cid:573)ක ආරා(cid:620)(cid:610) පනත
(1956 (cid:541)(cid:431)ෙශ(cid:676)(cid:477)ත (cid:575)(cid:470)ණය)
එ(cid:572). ෙ(cid:250). අෙ(cid:553)නායක මයා,(cid:171)(cid:538)ස්තකාල සහකාර, (cid:636) ලංකා මහවැ(cid:611) අ(cid:477)කා(cid:604)ය, වලව බල (cid:541)ෙ(cid:458)ශය, ඇ(cid:583)(cid:611)(cid:536)(cid:377)ය.
සහ
(cid:636) ලංකා මහවැ(cid:611) අ(cid:477)කා(cid:604)ය, අංක 500, (cid:378). (cid:555). ජයා මාවත, ෙක(cid:675)ළඹ 10.
ඉහත සඳහ(cid:486) පා(cid:601)ශ්වය(cid:486) අතර ඇ(cid:431) කා(cid:601)(cid:573)ක ආරා(cid:620)ලට ෙහ(cid:674)(cid:433)(cid:619) පව(cid:430)නා ක(cid:606)ණ ව(cid:489)ෙ(cid:591),
“2003 වසෙ(cid:601) (cid:646)ට (cid:538)ස්තකාල සහකාර ෙලස වසර 22 කට අ(cid:477)ක කාලය(cid:250) (cid:636) ලංකා මහවැ(cid:611) අ(cid:477)කා(cid:604)ය යටෙ(cid:430) ෙස(cid:674)වය කළ
එ(cid:572). ෙ(cid:250). අෙ(cid:553)නායක මහතාව තන(cid:433)රට අදාළ(cid:171)වැ(cid:379)(cid:535) තලය ෙන(cid:675)ලැ(cid:555)ෙම(cid:486) හා උසස්(cid:619)ෙ(cid:572) අවස්ථා අ(cid:655)(cid:573)(cid:619)ෙම(cid:486) අසාධාරණයට ල(cid:250)ව
ඇ(cid:430) ද එෙස(cid:674) අසාධාරණයට ල(cid:250) (cid:621)වා න(cid:572) ලැ(cid:554)ය (cid:594)(cid:433) සහන කවෙ(cid:601)ද ය(cid:486)න (cid:536)(cid:664)බඳව ෙ(cid:617).”
එ(cid:316). එ(cid:572). (cid:396). එ(cid:486). ෙ(cid:250). වට(cid:611)ය(cid:458)ද,
ක(cid:572)ක(cid:606) ෙක(cid:675)මසා(cid:604)ස් ජනරා(cid:610).
2026 ජනවා(cid:604) මස 14 වැ(cid:487) (cid:462)න,
ෙක(cid:675)ළඹ, ක(cid:572)ක(cid:606) ෙක(cid:675)මසා(cid:604)ස් ජනරා(cid:610) තැනෙ(cid:280)
කා(cid:601)යාලෙ(cid:591) (cid:463) (cid:462)න ෙය(cid:675)දන ල(cid:463).
EOG 02 – 0061
––––––––––––––––––––––––––––––––––––––
මෙ(cid:280) අංකය: IR/COM/02/2024/162.
ලංකාෙ(cid:617) ව(cid:597)වස්ථා(cid:536)ත අණපන(cid:430)වල 131 වැ(cid:487) ප(cid:604)(cid:316)ෙ(cid:326)දය (1956 (cid:541)(cid:431)ෙශ(cid:676)(cid:477)ත (cid:575)(cid:470)ණය) වන කා(cid:601)(cid:573)ක ආරා(cid:620)(cid:610) පනත
4(1) වැ(cid:487) වග(cid:486)(cid:431)ය යටෙ(cid:430) (cid:487)ෙය(cid:676)ගය
ෙමම (cid:487)ෙය(cid:676)ගය අ(cid:489)බ(cid:458)(cid:477)ත ක(cid:572)ක(cid:606) ෙක(cid:675)මසා(cid:604)ස් ජනරා(cid:610)වරයාෙ(cid:280) (cid:541)කාශනෙ(cid:591) (cid:487)යම කර ද(cid:250)වා ඇ(cid:431) කාරණය (cid:536)(cid:664)බඳව –
ෙ(cid:250). (cid:555). එ(cid:486). (cid:543)ය(cid:486)ත මයා,(cid:171)අංක 250, ෙන(cid:613)(cid:572)වැව, ෙප(cid:675)ෙල(cid:675)(cid:486)න(cid:606)ව.
සහ
(cid:636) ලංකා මහවැ(cid:611) අ(cid:477)කා(cid:604)ය, අංක 500, (cid:378). (cid:555). ජයා මාවත, ෙක(cid:675)ළඹ 10.
අතර කා(cid:601)(cid:573)ක ආරා(cid:620)ල(cid:250) පව(cid:431)න ෙහ(cid:592)(cid:486) ද,
ක(cid:572)ක(cid:606) අමාත(cid:597) ආචා(cid:601)ය අ(cid:487)(cid:610) ජය(cid:486)ත (cid:541)නා(cid:486)(cid:464) වන මම, 1957 අංක 14 හා 1957 අංක 62 හා 1962 අංක 4 හා 1968 අංක 39
(1968 අංක 37 දරන කා(cid:601)(cid:573)ක ආරා(cid:620)(cid:610) ((cid:618)ෙශ(cid:674)ෂ (cid:541)(cid:431)පාදන) පනත සමග (cid:251)යවා) දරන පන(cid:430) ව(cid:611)(cid:486) සංෙශ(cid:676)(cid:477)ත (cid:621) ලංකාෙ(cid:617) ව(cid:597)වස්ථා(cid:536)ත
4A
I ෙක(cid:675)ටස: (I) ෙඡදය – (cid:636) ලංකා (cid:541)ජාතා(cid:486)(cid:437)ක සමාජවා(cid:463) ජනරජෙ(cid:591) අ(cid:431) (cid:618)ෙශෂ ගැස(cid:376) ප(cid:436)ය – 2026.02.07
අණපන(cid:430)වල 131 වන ප(cid:604)(cid:316)ෙ(cid:326)දය (1956 (cid:541)(cid:431)ෙශ(cid:676)(cid:477)ත (cid:575)(cid:470)ණය) වන කා(cid:601)(cid:573)ක ආරා(cid:620)(cid:610) පනෙ(cid:430) 4(1) වන වග(cid:486)(cid:431)ෙය(cid:486) මා ෙවත පැව(cid:605)
ඇ(cid:431) බලතල අ(cid:489)ව, එ(cid:252) ආරා(cid:620)ල ෙ(cid:553)(cid:606)(cid:572) (cid:251)(cid:605)ෙම(cid:486) (cid:487)ර(cid:620)(cid:610) (cid:251)(cid:605)ම සඳහා ෙ(cid:553)(cid:606)(cid:572)ක(cid:606) වශෙය(cid:486) මාතෙ(cid:610), මැ(cid:250)ෙඩ(cid:675)ව(cid:610) බලෙක(cid:675)(cid:379)ව
මාවත, පළ(cid:575) ප(cid:379)මග, 34/64, ඒ. (cid:555). ෙහ(cid:674)ර(cid:430) මයා ප(cid:430)කර ඔ(cid:657) ෙවත ෙම(cid:592)(cid:486) ෙය(cid:675)(cid:575) කර(cid:489) ලැෙ(cid:553).
ආචා(cid:601)ය අ(cid:487)(cid:610) ජය(cid:486)ත (cid:541)නා(cid:486)(cid:464),
ක(cid:572)ක(cid:606) අමාත(cid:597).
2026 ජනවා(cid:604) මස 29 වැ(cid:487) (cid:462)න,
ෙක(cid:675)ළඹ (cid:463) ය.
මෙ(cid:280) අංකය: IR/COM/02/2024/162.
ලංකාෙ(cid:617) ව(cid:597)වස්ථා(cid:536)ත අණපන(cid:430)වල 131 අ(cid:477)කාරය වන කා(cid:601)(cid:573)ක ආරා(cid:620)(cid:610) පනත
(1956 (cid:541)(cid:431)ෙශ(cid:676)(cid:477)ත (cid:575)(cid:470)ණය)
ෙ(cid:250). (cid:555). එ(cid:486). (cid:543)ය(cid:486)ත මයා,(cid:171)අංක 250, ෙන(cid:613)(cid:572)වැව, ෙප(cid:675)ෙල(cid:675)(cid:486)න(cid:606)ව.
සහ
(cid:636) ලංකා මහවැ(cid:611) අ(cid:477)කා(cid:604)ය, අංක 500, (cid:378). (cid:555). ජයා මාවත, ෙක(cid:675)ළඹ 10.
ඉහත සඳහ(cid:486) පා(cid:601)ශ්වය(cid:486) අතර ඇ(cid:431) කා(cid:601)(cid:573)ක ආරා(cid:620)ලට ෙහ(cid:674)(cid:433)(cid:619) පව(cid:430)නා ක(cid:606)ණ ව(cid:489)ෙ(cid:591),
“(cid:636) ලංකා මහවැ(cid:611) අ(cid:477)කා(cid:604)ෙ(cid:591) ෙස(cid:674)වය කරන ෙ(cid:250). (cid:555). එ(cid:486). (cid:543)ය(cid:486)ත මහතාෙ(cid:280) ඒකක කළමනාක(cid:606) තන(cid:433)ෙ(cid:601) ෙස(cid:674)වය ස්(cid:450)ර
(cid:251)(cid:605)ෙ(cid:572)(cid:463) (cid:646)(cid:464)(cid:621) (cid:541)මාදය ෙහ(cid:674)(cid:433)ෙව(cid:486) ඔ(cid:657)ට අසාධාරණය(cid:250) (cid:646)(cid:464)(cid:619) ඇ(cid:430) ද එෙස(cid:674) න(cid:572) ඔ(cid:657)ට (cid:655)(cid:573)(cid:618)ය (cid:594)(cid:433) සහන කවෙ(cid:601)ද ය(cid:486)න (cid:536)(cid:664)බඳව ෙ(cid:617).”
එ(cid:316). එ(cid:572). (cid:396). එ(cid:486). ෙ(cid:250). වට(cid:611)ය(cid:458)ද,
ක(cid:572)ක(cid:606) ෙක(cid:675)මසා(cid:604)ස් ජනරා(cid:610).
2026 ජනවා(cid:604) මස 14 වැ(cid:487) (cid:462)න,
ෙක(cid:675)ළඹ, ක(cid:572)ක(cid:606) ෙක(cid:675)මසා(cid:604)ස් ජනරා(cid:610) තැනෙ(cid:280)
කා(cid:601)යාලෙ(cid:591) (cid:463) (cid:462)න ෙය(cid:675)දන ල(cid:463).
EOG 02 – 0062
(cid:636) ලංකා රජෙ(cid:591) (cid:575)(cid:470)ණ ෙදපා(cid:601)තෙ(cid:572)(cid:486)(cid:433)ෙ(cid:617) (cid:575)(cid:470)ණය කරන ල(cid:463).</t>
  </si>
  <si>
    <t>5f255c49-9fdb-4033-9e2e-407db131c9b6</t>
  </si>
  <si>
    <t>2474_60</t>
  </si>
  <si>
    <t>2474/60</t>
  </si>
  <si>
    <t>Title Registration Act, No. 21 of 1998, Section 14 — Commissioner of Title Settlement's decision under Section 14 (Gazette 2474/60)</t>
  </si>
  <si>
    <t>m1/raw/2474_60.pdf</t>
  </si>
  <si>
    <t>627d35af-860c-4c93-ae61-0d2eb874db1e</t>
  </si>
  <si>
    <t>2474_61</t>
  </si>
  <si>
    <t>2474/61</t>
  </si>
  <si>
    <t>Title Registration Act, No. 21 of 1998, Section 14 — Commissioner of Title Settlement's decision under Section 14 (Gazette 2474/61)</t>
  </si>
  <si>
    <t>m1/raw/2474_61.pdf</t>
  </si>
  <si>
    <t>b7cd604e-7496-4909-a7bb-df2b64b2758a</t>
  </si>
  <si>
    <t>2474_62</t>
  </si>
  <si>
    <t>2474/62</t>
  </si>
  <si>
    <t>Title Registration Act, No. 21 of 1998, Section 14 — Commissioner of Title Settlement decision (Gazette 2474/62)</t>
  </si>
  <si>
    <t>m1/raw/2474_62.pdf</t>
  </si>
  <si>
    <t>III �ක ස�ටස - ශ්‍රී ��ක ස� ‍රා���්ත්‍රික ස සම�ා�� ජ ාජයා�� ි ව ශෙ��ග ��ස ප ්‍ර� - 2026.02.07 1 A
பகுத� III - இலங்�கச் சன��யக �ச�சலிசக் குடியரசு வர்த்தம�னப் பத்த����க - அத� வ��சஷம�னது - 2026.02.07
ශ්‍රී ��ක� ප්‍රජ���්ත්‍රික ස��ජ��දී ජනරජ�� ��සට් පත්‍රය
இலங்�கச் சன��யக �ச�சலிசக் குடியரசு வர்த்தம�னப் பத்த����க
ි ව ශෙ��ග அத� வ��சஷம�னது
ි�ක ස 2474/62 - 2026 �්බය��රි මස 07 ��නි �සජසුය��� - 2026.02.07
2474/62 ஆம் இலக்கம் - 2026 ஆம் ஆண்டு �பப்புருவ�� ம�தம் 07 ஆந் த�கத� சன�க்க�ழ�ம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��ன், 1998 ஆம் ஆண்டின் 21 ஆம் இலக்க உ��த்துப் பத�வுச் சட்டத்த�ன் 55 ஆம் ப���வ�ன்
��யத�கள�ன்படி 2025.08.07 ஆந் த�கத�ய, க�ண�க்க�ன உ���மக் �க���க்�கக�ளக் �க�ருக�ன்றதும�ன 2448/53 ஆம் இலக்க அற�வ�த்தலில்
குற�ப்பீடு �சய்யப்பட்ட சப்ப�ரகமுவ ம�க�ணத்த�ல், இரத்த�னபு�� ம�வட்டத்த�ல், பல�ங்�க�ட ப�ர�தச �சயல�ளர் ப���வ�ல், இல. 250 -
பஹல க����மடி�தன்ன, பல�ங்�க�ட க�ர�ம அலுவலர் ப���வ�னுள் எல்�ல�ப�ல க�ர�மத்த�ல் அ�மந்துள்ளதும் 620066 ஆம் இலக்க
கடத்த�ரல் அள�வ வ�ரபடத்த�ல் ப���வு இல. 05 இல் அடங்க�யுள்ளதும�ன 78 ஆம் இலக்கங்க�ளக் �க�ண்ட க�ண�த்துண்டுகளுக்க�ன
உ��த்து �த�டர்ப�க இத�ன�டு இ�ணக்கப்பட்ட அட்டவ�ணய�ல் தரப்பட்டுள்ளவ�ற�ன எனது த�ர்ம�னத்�த இத்த�ல் �வள�ப்படுத்து
க�ன்�றன்.
பீ.ச�.டீ. ச��கர�,
க�ண� உ��த்து ��ர்ணய ஆ�ணய�ளர் ��யகம்.
க�ண� உ��த்து ��ர்ணயத் த��ணக்களம்,
இல. 1200/6, “ம�ஹ�கத �மதுர”,
இரஜமல்வத்த வீத�,
பத்தரமுல்�ல,
2026 ஆம் ஆண்டு சனவ�� ம�தம் 26 ஆம் த�கத�.
1A - G 46258 - 03 (2026/02)
மு. கு. - இவ் அத�வ��ஷட வர்த்தம�ன��ய www.documents.gov.lk எனும் இ�ணயத்தளத்த�லிருந்து பத�வ�றக்கம் �சய்ய முடியும்.
2 A III �ක ස�ටස - ශ්‍රී ��ක ස� ‍රා���්ත්‍රික ස සම�ා�� ජ ාජයා�� ි ව ශෙ��ග ��ස ප ්‍ර� - 2026.02.07
பகுத� III - இலங்�கச் சன��யக �ச�சலிசக் குடியரசு வர்த்தம�னப் பத்த����க - அத� வ��சஷம�னது - 2026.02.07
அட்டவ�ண
க�ண� வ��சட
வழக்க�ற்கு அல்லது
க�ண�த் வ�ஸ்த�ரணம் �ச�ந்தக்க�ரர்/ �ச�ந்தக் �தச�ய உ��த்துக்கு��ய உ��த்த�னது உட்பட்ட தன�ய�ருக்
துண்டின் க�ரர்கள�ன் முழுப் �பயர்களும் அ�டய�ள இடத்த�ன் வகுப்பும் ஈடு, குத் கு��ய சட்டங்
இல. (�ஹக்டய�ர்) முகவ��யும் அட்�ட வ�ஸ்த�ரணம் இயல்பும் த�க களுள் எவ்
இல. தடுப்புக் வ�கக்கும்
கட்ட�ள அ�மந்த�ருப்
பற்ற�ய ப�ன் வ�பரங்
வ�பரங்கள் கள்
78 0.0974 ம�கஹவல �லகம்ல��க �பஷல� 197682102600 முழுவதும் 1வது வகுப்பு – –
��ரூஷ� சுமனப�ல
13/30, ரன்�த�ல,
க����மடி�தன்ன,
பல�ங்�க��ட.
EOG 02 - 0065
இலங்�க அரச�ங்க அச்சுத் த��ணக்களத்த�ல் பத�ப்ப�க்கப்�பற்றது.</t>
  </si>
  <si>
    <t>a9ddf63d-7a86-4828-a9e2-d9097c3c3ba6</t>
  </si>
  <si>
    <t>2474_63</t>
  </si>
  <si>
    <t>2474/63</t>
  </si>
  <si>
    <t>Title Registration Act, No. 21 of 1998, Section 14 — Commissioner of Title Settlement decision (Gazette 2474/63)</t>
  </si>
  <si>
    <t>Commissioner of Title Settlement's decision under Section 14 of the Title Registration Act No. 21 of 1998. Part III — Lands. Land Parcel No 1: 1260 of Block 01 in Cadastral Map No. 2434/20 covering Niladhari Division of Welipenna. References Gazette 420851. Dated 15 December 2025.</t>
  </si>
  <si>
    <t>m1/raw/2474_63.pdf</t>
  </si>
  <si>
    <t>III ෙක(cid:675)ටස – (cid:636) ලංකා (cid:541)ජාතා(cid:486)(cid:437)ක සමාජවා(cid:463) ජනරජෙ(cid:591) අ(cid:431) (cid:618)ෙශෂ ගැස(cid:376) ප(cid:436)ය – 2026.02.07 1 A
ப(cid:8065)தி III – இல(cid:8113)ைக(cid:8114) சனநாயக ேசாச(cid:8098)ச(cid:8112) (cid:8065)(cid:8074)யர(cid:8070) வ(cid:8125)(cid:8119)தமான(cid:8122) ப(cid:8119)திாிைக - அதி விேசஷமான(cid:8080) – 2026.02.07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2474/63 - 2026 ෙපබරවා(cid:604) මස 07 වැ(cid:487) ෙසන(cid:648)රාදා - 2026.02.07
2474/63 ஆ(cid:8123) இல(cid:8112)க(cid:8123) - 2026 ஆ(cid:8123) ஆ(cid:8118)(cid:8076) ெப(cid:8122)(cid:8087)(cid:8094)வாி மாத(cid:8123) 07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2025.05.03 ஆ(cid:8120) திகதிய 2434/20 ஆ(cid:8123) இல(cid:8112)க வ(cid:8125)(cid:8119)தமானியி(cid:8127) உாிய (cid:8089)ைறயி(cid:8127) ெவளியிட(cid:8122)ப(cid:8117)ட(cid:8080)(cid:8123), காணி(cid:8112)கான உாிைம(cid:8112)
ேகாாி(cid:8112)ைககைள(cid:8112) ேகா(cid:8094)கி(cid:8121)ற(cid:8080)மான வடேம(cid:8127) மாகாண(cid:8119)தி(cid:8121) (cid:8065)(cid:8094)நாக(cid:8127) மாவ(cid:8117)ட(cid:8119)தி(cid:8127), வாாியெபால பிரேதச ெசயலாள(cid:8125) பிாிவி(cid:8127),
இல. 1260 - ெமதகம கிராம அ(cid:8100)வல(cid:8125) பிாிவி(cid:8084)(cid:8128) ர(cid:8123)பாெவவ கிராம(cid:8119)தி(cid:8127) அைம(cid:8120)(cid:8080)(cid:8128)ள(cid:8080)(cid:8123) 420951 ஆ(cid:8123) இல(cid:8112)க கட(cid:8119)திர(cid:8127) அளைவ
வைரபட(cid:8119)தி(cid:8127) பிாி(cid:8107) இல. 04 இ(cid:8127) அட(cid:8113)கி(cid:8092)(cid:8128)ள(cid:8080)மான 1 : 21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15 ஆ(cid:8120) திகதி.
1A - G 46259 - 03 (2026 / 02)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2026.02.07
ப(cid:8065)தி III – இல(cid:8113)ைக(cid:8114) சனநாயக ேசாச(cid:8098)ச(cid:8112) (cid:8065)(cid:8074)யர(cid:8070) வ(cid:8125)(cid:8119)தமான(cid:8122) ப(cid:8119)திாிைக - அதி விேசஷமான(cid:8080) – 2026.02.07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 : 21 0.0878 ராஜப(cid:8112) ஷ (cid:8089)திய(cid:8121)ேசலாேக 946463540V (cid:8089)(cid:8104)வ(cid:8080)(cid:8123) 1ஆவ(cid:8080) வ(cid:8065)(cid:8122)(cid:8087) ேஹர(cid:8119) –
இேரஷா ராஜப(cid:8112) ஷ (cid:8089)திய(cid:8121)ேசலாேக
ரமபாெவவ, கன(cid:8119)ேதெவவ. ப(cid:8119)ம
(cid:8065)மாாி ேஹர(cid:8119)
எ(cid:8121)பவாி(cid:8121)
சீவிய(cid:8119)தி(cid:8126)(cid:8065)
உ(cid:8117)ப(cid:8117)ட(cid:8080).
EOG 02 - 0066 / 1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2025.03.26 ஆ(cid:8120) திகதிய 2429/23 ஆ(cid:8123) இல(cid:8112)க வ(cid:8125)(cid:8119)தமானியி(cid:8127) உாிய (cid:8089)ைறயி(cid:8127) ெவளியிட(cid:8122)ப(cid:8117)ட(cid:8080)(cid:8123), காணி(cid:8112)கான உாிைம(cid:8112)
ேகாாி(cid:8112)ைககைள(cid:8112) ேகா(cid:8094)கி(cid:8121)ற(cid:8080)மான வடேம(cid:8127) மாகாண(cid:8119)தி(cid:8121) (cid:8065)(cid:8094)நாக(cid:8127) மாவ(cid:8117)ட(cid:8119)தி(cid:8127), வாாியெபால பிரேதச ெசயலாள(cid:8125) பிாிவி(cid:8127), இல.
1264 - ஹபரவ கிராம அ(cid:8100)வல(cid:8125) பிாிவி(cid:8084)(cid:8128) ஹபரவ கிராம(cid:8119)தி(cid:8127) அைம(cid:8120)(cid:8080)(cid:8128)ள(cid:8080)(cid:8123) 420947 ஆ(cid:8123) இல(cid:8112)க கட(cid:8119)திர(cid:8127) அளைவ வைரபட(cid:8119)தி(cid:8127)
பிாி(cid:8107) இல. 08 இ(cid:8127) அட(cid:8113)கி(cid:8092)(cid:8128)ள(cid:8080)மான 1 : 37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15 ஆ(cid:8120) திகதி.
III ෙක(cid:675)ටස – (cid:636) ලංකා (cid:541)ජාතා(cid:486)(cid:437)ක සමාජවා(cid:463) ජනරජෙ(cid:591) අ(cid:431) (cid:618)ෙශෂ ගැස(cid:376) ප(cid:436)ය – 2026.02.07 3 A
ப(cid:8065)தி III – இல(cid:8113)ைக(cid:8114) சனநாயக ேசாச(cid:8098)ச(cid:8112) (cid:8065)(cid:8074)யர(cid:8070) வ(cid:8125)(cid:8119)தமான(cid:8122) ப(cid:8119)திாிைக - அதி விேசஷமான(cid:8080) – 2026.02.07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 : 37 0.1502 க(cid:8094)னாநாய(cid:8112)க (cid:8089)திய(cid:8121)ேசலாேக 636023965V (cid:8089)(cid:8104)வ(cid:8080)(cid:8123) 1ஆவ(cid:8080) வ(cid:8065)(cid:8122)(cid:8087) – –
ச(cid:8120)தராவதீ
இல. 94 (cid:8086), ெமதிெகேல வ(cid:8119)த,
ெஹலக(cid:8120)தன, ெஹார(cid:8123)ெப(cid:8127)ல.
EOG 02 - 0066 / 2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2025.06.28 ஆ(cid:8120) திகதிய 2442/77 ஆ(cid:8123) இல(cid:8112)க வ(cid:8125)(cid:8119)தமானியி(cid:8127) உாிய (cid:8089)ைறயி(cid:8127) ெவளியிட(cid:8122)ப(cid:8117)ட(cid:8080)(cid:8123), காணி(cid:8112)கான
உாிைம(cid:8112) ேகாாி(cid:8112)ைககைள(cid:8112) ேகா(cid:8094)கி(cid:8121)ற(cid:8080)மான வடேம(cid:8127) மாகாண(cid:8119)தி(cid:8121) (cid:8065)(cid:8094)நாக(cid:8127) மாவ(cid:8117)ட(cid:8119)தி(cid:8127), வாாியெபால பிரேதச ெசயலாள(cid:8125)
பிாிவி(cid:8127), இல. 1239 - விலாக(cid:8117)(cid:8076)ெபாத கிராம அ(cid:8100)வல(cid:8125) பிாிவி(cid:8084)(cid:8128) விலாக(cid:8117)(cid:8076)ெபாத கிராம(cid:8119)தி(cid:8127) அைம(cid:8120)(cid:8080)(cid:8128)ள(cid:8080)(cid:8123) 420953 ஆ(cid:8123) இல(cid:8112)க
கட(cid:8119)திர(cid:8127) அளைவ வைரபட(cid:8119)தி(cid:8127) பிாி(cid:8107) இல. 03 இ(cid:8127) அட(cid:8113)கி(cid:8092)(cid:8128)ள(cid:8080)மான 1 : 98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15 ஆ(cid:8120) திகதி.
4 A III ෙක(cid:675)ටස – (cid:636) ලංකා (cid:541)ජාතා(cid:486)(cid:437)ක සමාජවා(cid:463) ජනරජෙ(cid:591) අ(cid:431) (cid:618)ෙශෂ ගැස(cid:376) ප(cid:436)ය – 2026.02.07
ப(cid:8065)தி III – இல(cid:8113)ைக(cid:8114) சனநாயக ேசாச(cid:8098)ச(cid:8112) (cid:8065)(cid:8074)யர(cid:8070) வ(cid:8125)(cid:8119)தமான(cid:8122) ப(cid:8119)திாிைக - அதி விேசஷமான(cid:8080) – 2026.02.07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 : 98 0.1956 வனிகேசகர (cid:8089)திய(cid:8121)ேசலாேக ஷாிதா 200571801201 (cid:8089)(cid:8104)வ(cid:8080)(cid:8123) 1ஆவ(cid:8080) வ(cid:8065)(cid:8122)(cid:8087) சீ/ர, –
பிரேபாதினி (cid:8065)மாாி வனிகேசகர விலாக(cid:8117)(cid:8076)ெபாத
சிாி நிவாச மாவ(cid:8119)ைத, சி(cid:8112)கன ம(cid:8126)(cid:8096)(cid:8123)
விலாக(cid:8117)(cid:8076)ெபாத, வாாியெபால. கட(cid:8121) ெகா(cid:8076)(cid:8112)க(cid:8127)
வா(cid:8113)க(cid:8127)
ச(cid:8113)க(cid:8119)தி(cid:8121)
இல.1717
ம(cid:8126)(cid:8096)(cid:8123)
2017.08.23
திகதியி(cid:8121)
அடகி(cid:8126)(cid:8065)
உ(cid:8117)ப(cid:8117)ட(cid:8080).
EOG 02 - 0066 / 3
இல(cid:8113)ைக அரசா(cid:8113)க அ(cid:8114)(cid:8070)(cid:8119) திைண(cid:8112)கள(cid:8119)தி(cid:8127) பதி(cid:8122)பி(cid:8112)க(cid:8122)ெப(cid:8126)ற(cid:8080).</t>
  </si>
  <si>
    <t>4aca170b-6f09-4b13-83ef-c4296ee67156</t>
  </si>
  <si>
    <t>2474_64</t>
  </si>
  <si>
    <t>2474/64</t>
  </si>
  <si>
    <t>Title Registration Act, No. 21 of 1998, Section 14 — Commissioner of Title Settlement decision (Gazette 2474/64)</t>
  </si>
  <si>
    <t>Commissioner of Title Settlement's decision under Section 14 of the Title Registration Act No. 21 of 1998. Part III — Lands. Land parcels in Block 12, Gazette 2426/89 of 16 February 2024. References Gazette 510000 of 18 February 2026 from Anuradhapura.</t>
  </si>
  <si>
    <t>m1/raw/2474_64.pdf</t>
  </si>
  <si>
    <t>III ෙක(cid:675)ටස – (cid:636) ලංකා (cid:541)ජාතා(cid:486)(cid:437)ක සමාජවා(cid:463) ජනරජෙ(cid:591) අ(cid:431) (cid:618)ෙශෂ ගැස(cid:376) ප(cid:436)ය – 2026.02.07 1 A
ப(cid:8065)தி III – இல(cid:8113)ைக(cid:8114) சனநாயக ேசாச(cid:8098)ச(cid:8112) (cid:8065)(cid:8074)யர(cid:8070) வ(cid:8125)(cid:8119)தமான(cid:8122) ப(cid:8119)திாிைக - அதி விேசஷமான(cid:8080) – 2026.02.07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2474/64 - 2026 ෙපබරවා(cid:604) මස 07 වැ(cid:487) ෙසන(cid:648)රාදා - 2026.02.07
2474/64 ஆ(cid:8123) இல(cid:8112)க(cid:8123) - 2026 ஆ(cid:8123) ஆ(cid:8118)(cid:8076) ெப(cid:8122)(cid:8087)(cid:8094)வாி மாத(cid:8123) 07 ஆ(cid:8120) திகதி சனி(cid:8112)கிழைம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2025.03.08 ஆ(cid:8120) திகதிய 2426/89 ஆ(cid:8123) இல(cid:8112)க வ(cid:8125)(cid:8119)தமானியி(cid:8127) உாிய (cid:8089)ைறயி(cid:8127) ெவளியிட(cid:8122)ப(cid:8117)ட(cid:8080)(cid:8123), காணி(cid:8112)கான உாிைம(cid:8112)
ேகாாி(cid:8112)ைககைள(cid:8112) ேகா(cid:8094)கி(cid:8121)ற(cid:8080)மான ேம(cid:8127) மாகாண(cid:8119)தி(cid:8121) ெகா(cid:8104)(cid:8123)(cid:8087) மாவ(cid:8117)ட(cid:8119)தி(cid:8127), ர(cid:8119)மலான பிரேதச ெசயலாள(cid:8125) பிாிவி(cid:8127), இல. 543 -
அ(cid:8119)தி(cid:8074)ய வட(cid:8112)(cid:8065) கிராம அ(cid:8100)வல(cid:8125) பிாிவி(cid:8084)(cid:8128) அ(cid:8119)தி(cid:8074)ய வட(cid:8112)(cid:8065) கிராம(cid:8119)தி(cid:8127) அைம(cid:8120)(cid:8080)(cid:8128)ள(cid:8080)(cid:8123) 521010 ஆ(cid:8123) இல(cid:8112)க கட(cid:8119)திர(cid:8127) அளைவ
வைரபட(cid:8119)தி(cid:8127) பிாி(cid:8107) இல. 12 இ(cid:8127) அட(cid:8113)கி(cid:8092)(cid:8128)ள(cid:8080)மான 1:30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15 ஆ(cid:8120) திகதி.
1A - G 46260 - 03 (2026 / 02)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2026.02.07
ப(cid:8065)தி III – இல(cid:8113)ைக(cid:8114) சனநாயக ேசாச(cid:8098)ச(cid:8112) (cid:8065)(cid:8074)யர(cid:8070) வ(cid:8125)(cid:8119)தமான(cid:8122) ப(cid:8119)திாிைக - அதி விேசஷமான(cid:8080) – 2026.02.07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1:30 0.0499 ேகாரலாேக ஜய(cid:8120)தா பிேரம(cid:8065)மார, 196211700570 (cid:8089)(cid:8104)வ(cid:8080)(cid:8123) 1ஆவ(cid:8080) வ(cid:8065)(cid:8122)(cid:8087) கா.(cid:8080)இல. 31 -
க(cid:8121)ன(cid:8113)கர இ(cid:8121) அ(cid:8078)(cid:8065)வழி
இல. 14/2, ப(cid:8121)சல பாைத, ேசவக(cid:8119)தி(cid:8126)(cid:8065)
அ(cid:8119)தி(cid:8074)ய, ெதஹிவைள. உ(cid:8117)ப(cid:8117)ட(cid:8080).
EOG 02 - 0067 / 1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55 ஆ(cid:8123) பிாிவி(cid:8121)
நியதிகளி(cid:8121)ப(cid:8074) 2024.12.21 ஆ(cid:8120) திகதிய 2415/75 ஆ(cid:8123) இல(cid:8112)க வ(cid:8125)(cid:8119)தமானியி(cid:8127) உாிய (cid:8089)ைறயி(cid:8127) ெவளியிட(cid:8122)ப(cid:8117)ட(cid:8080)(cid:8123), காணி(cid:8112)கான உாிைம(cid:8112)
ேகாாி(cid:8112)ைககைள(cid:8112) ேகா(cid:8094)கி(cid:8121)ற(cid:8080)மான ேம(cid:8127) மாகாண(cid:8119)தி(cid:8121) ெகா(cid:8104)(cid:8123)(cid:8087) மாவ(cid:8117)ட(cid:8119)தி(cid:8127), ர(cid:8119)மலான பிரேதச ெசயலாள(cid:8125) பிாிவி(cid:8127), இல. 543 ஏ -
க(cid:8120)தவல கிராம அ(cid:8100)வல(cid:8125) பிாிவி(cid:8084)(cid:8128) க(cid:8120)தவல கிராம(cid:8119)தி(cid:8127) அைம(cid:8120)(cid:8080)(cid:8128)ள(cid:8080)(cid:8123) 521001 ஆ(cid:8123) இல(cid:8112)க கட(cid:8119)திர(cid:8127) அளைவ வைரபட(cid:8119)தி(cid:8127) பிாி(cid:8107)
இல. 10 இ(cid:8127) அட(cid:8113)கி(cid:8092)(cid:8128)ள(cid:8080)மான 1:140 எ(cid:8084)(cid:8123)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 சீ. (cid:8075).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திெச(cid:8123)ப(cid:8125) மாத(cid:8123) 15 ஆ(cid:8120) திகதி.
III ෙක(cid:675)ටස – (cid:636) ලංකා (cid:541)ජාතා(cid:486)(cid:437)ක සමාජවා(cid:463) ජනරජෙ(cid:591) අ(cid:431) (cid:618)ෙශෂ ගැස(cid:376) ප(cid:436)ය – 2026.02.07 3 A
ப(cid:8065)தி III – இல(cid:8113)ைக(cid:8114) சனநாயக ேசாச(cid:8098)ச(cid:8112) (cid:8065)(cid:8074)யர(cid:8070) வ(cid:8125)(cid:8119)தமான(cid:8122) ப(cid:8119)திாிைக - அதி விேசஷமான(cid:8080) – 2026.02.07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1:140 0.0191 ஜயவ(cid:8125)தன (cid:8098)யனேக லலனி, 635880473V (cid:8089)(cid:8104)வ(cid:8080)(cid:8123) 1ஆவ(cid:8080) வ(cid:8065)(cid:8122)(cid:8087) கா.(cid:8080).இல.139 -
உேதஷிகா சமரப(cid:8120)(cid:8080), இ(cid:8121) அ(cid:8078)(cid:8065)வழி
இல. 59/9, க(cid:8120)தவல மாவ(cid:8119)ைத, ேசவக(cid:8119)தி(cid:8126)(cid:8065)
ர(cid:8119)மலான. உ(cid:8117)ப(cid:8117)ட(cid:8080).
EOG 02 - 0067 / 2
இல(cid:8113)ைக அரசா(cid:8113)க அ(cid:8114)(cid:8070)(cid:8119) திைண(cid:8112)கள(cid:8119)தி(cid:8127) பதி(cid:8122)பி(cid:8112)க(cid:8122)ெப(cid:8126)ற(cid:8080).</t>
  </si>
  <si>
    <t>708c78ae-5cd7-485a-afe9-a9867aef401b</t>
  </si>
  <si>
    <t>2474_65</t>
  </si>
  <si>
    <t>2474/65</t>
  </si>
  <si>
    <t>Sri Lanka Tourism Development Act, No. 38 of 2005 — Notice under Sections 32 and 33 (Gazette 2474/65)</t>
  </si>
  <si>
    <t>2005 අංක 38 දරන සංචාරක සංවර්ධන පනත - 32 සහ 33 වගන්ති යටතේ දැන්වීම</t>
  </si>
  <si>
    <t>2005 ஆம் ஆண்டின் 38 ஆம் இலக்க சுற்றுலா அபிவிருத்திச் சட்டம் - 32 மற்றும் 33 ஆம் பிரிவுகளின் கீழ் அறிவித்தல்</t>
  </si>
  <si>
    <t>Notice under Sections 32 and 33 of the Sri Lanka Tourism Development Act No. 38 of 2005 (referencing 1973 Act No. 25). Includes Working Task Force composition and tourism authority appointments. Part I — General.</t>
  </si>
  <si>
    <t>Sri Lanka Tourism Development Act, No. 38 of 2005</t>
  </si>
  <si>
    <t>tourism</t>
  </si>
  <si>
    <t>m1/raw/2474_65.pdf</t>
  </si>
  <si>
    <t>ශ්‍රී ලංකෝ ප්‍රජාෝතෝන්ත්‍රික සංමාෝජාවෝදී ජානරජාශෝ� ගැසංට් පත්‍රයා
අංති විශෝ�ෂ
අංංක 2474/65 - 2026 ශෝපබරවෝරි මාසං 07 වැනි ශෝසංනසුරෝදෝ - 2026.02.07
(රජාශෝ� බලයාපිට ප්‍රසිද්ධ කරන ලදී)
I වැනි ශෝකෝටසං: (I) වැනි ශෝෙදයා - සංෝමාෝනය
රජාශෝ� නිශෝේදන
සංංශෝ�ෝ�ධිත 1973 අංංක 25 දරන ක්‍රීඩාෝ පනශෝ� 32 සංහ 33 වගන්ති අංනුව තරුණ කටයුතු හෝ ක්‍රීඩාෝ අංමාෝතයවරයාෝ විසින්
සංෝදන ලද නිශෝයාෝග�
තරුණ කටයුතු හාා ක්‍රීඩාා අමාාතය සුනිල් කුමාාර ගමාගේ � වන මාමා, සංංගේ�ා�ධිත 1973 අංක 25 දරන ක්‍රීඩාා පනගේ� 32 සංහා 33 වගන්ති අනුව
තරුණ කටයුතු හාා ක්‍රීඩාා අමාාතයවරයාා ගේ�සං මාා ගේවත පැවරී ඇති බ�ත� ප්‍රකාරව පහාත පරිදි නිගේයාා�ග කරමි;
1. මාමා, වහාාමා බ�පැවැ�ගේවන පරිදි, 2025 අගේගා�සං�තු මාසං 27 වැනි දින සංහා අංක 2451/24 දරන අති විගේ�ෂ ගැසංට් නිගේේදනයා
අව�ංගු කරමි.
2. මාමා, 1973 අංක 25 දරන ක්‍රීඩාා පනත සංහා එ හි සංංගේ�ා�ධනව� 32 හාා 33 වගන්ති යාටගේ� මාා ගේවත පවරා ඇති බ�ත� ප්‍රකාරව,
ශ්‍රී �ංකා කරාගේ� ගේදා� සංම්ගේම්�නගේයාහි ලියාාපදිංචියා තාවකාලිකව අ�හිටුවමි.
3. මාමා, 1973 අංක 25 දරන ක්‍රීඩාා පනත සංහා එ හි සංංගේ�ා�ධනව� 32 හාා 33 වගන්ති යාටගේ� මාා ගේවත පවරා ඇති බ�ත� ප්‍රකාරව,
සිදු වී ඇති වංචාා දූෂණ පිළිබඳ විමාර්�නයා කිරීමා, ශ්‍රී �ංකා කරාගේ� ගේදා� සංම්ගේම්�නයා සංඳහාා නව වයවසං�ථාෝවක් සංම්මාත කිරීමා,
ශ්‍රී �ංකා කරාගේ� ගේදා� සංම්ගේම්�නයා සංඳහාා නව වයවසං�ථාෝව යාටශෝ� සුදුසුකම්ල� සංෝමාෝජිකයින් ලියාෝපදිංංචි කිරීමා සංහ ශ්‍රී �ංකා
කරාගේ� ගේදා� සංම්ගේම්�නයා සංඳහාා නව වයවසං�ථාෝව යාටශෝ� විශෝ��ෂ මාහෝ සංභාෝ රැසං�වීමා සංහ වෝර්ෂික මාහ සංභාෝ රැසං�වීමා පැවැ�වීමා
යාන සීමිත කෝරණෝ සංඳහෝ පහාත සංාමාාජිකයින්ගේගන් සංමාන්විත ක්‍රියාෝකෝරී කෝර්යා බලකෝයාක් (Working Task Force) ගේමායින්
ප� කරමි.
1. ධම්මික කසං�තුරිමුදලි මාහාතා - සංභාාපති
2. නීතිඥ එම්. එච්. ආනන්ද කුමාාර මාහාතා
3. ජාාතික ඔලිම්පික් කමිටුගේේ නිගේයාා�ජිත, නිලූක කරුණාර�න මාහාතා
4. ඒ. ගේක්. නන්දවීර මාහාතා
5. ගේරා�හිත මාල්�වආරච්චි මාහාතා
6. පී. උපුල් අගේ�වික්‍රමා මාහාතා
7. අනුර අප්පුආරච්චිගේ� මාහාතා
1A - G 46261 — 04 (2026/02)
fuu w;s úfYI .eiÜ m;%h www.documents.gov.lk fjí wvúfhka nd.; l&lt; yel'
2A I කො�ොටස : (I) කොෙද ය - ශ්‍රී ලංං�ො ප්‍රජාොතාොන්ත්‍රි� සමාොජාවාොදී ජානරජාකො� අති විකො�ෂ ගැැසට් පත්‍රය - 2026.02.07
4. 1973 අංක 25 දරන ක්‍රීඩාා පනත සංහා එ හි සංංගේ�ා�ධන අනුව සංහා ඒ යාටගේ� නිකු� කරන �ද විධිවිධාන අනුව නව වයවසං�ථාාව
ලියාාපදිංචි කිරීගේමාන් දින 120 ක් ඇතුළත නව නි�ධාරීන් ප�කර ගැනීමා සංඳහාා නි�වරණයා පව�වනු �ැබියා යුතු යා.
5. මාමා ගේමායින්, ශ්‍රී �ංකා කරාගේ� ගේදා� සංම්ගේම්�නගේ� නව වයවසං�ථාාව යාටගේ� පැවැ�ගේවන වාර්ෂික මාහා සංභාා රැසං�වීමාකදී සියා
නි�ධාරීන් ගේතා�රා ප�කරගන්නා ගේතක්, ශ්‍රී �ංකා කරාගේ� ගේදා� සංම්ගේම්�නගේ� කාර්යායාන් කරගේගන යාාමා සංහා කළමානාකරණයා
කිරීමා සංඳහාා ඉහත කී ක්‍රියාෝකෝරී කෝර්යා බලකෝයා (Working Task Force) ගේවත බ�යා පවරා ගේදමි.
සුනිල් කුමාෝර ගමාශෝ� ((පපාා..මාමා..)),,
තරුණ කටයුතු හාා ක්‍රීඩාා අමාාතය.
2026 ජානවාරි මාසං 30 වැනි දින,
ගේකාළඹ දී යා.
EOG 02 - 0068
ශ්‍රී �ංකා රජාගේ� මුද්‍රණ ගේදපාර්තගේම්න්තුගේේ මුද්‍රණයා කරන �දී.</t>
  </si>
  <si>
    <t>342c61fd-4277-42c9-8e3b-a5aa885c3698</t>
  </si>
  <si>
    <t>2474_66</t>
  </si>
  <si>
    <t>2474/66</t>
  </si>
  <si>
    <t>2009 Act No. 06 (as amended by 2018 Act No. 24), Section 19 — Regulations (Gazette 2474/66)</t>
  </si>
  <si>
    <t>2009 අංක 6 දරන පනත (2018 අංක 24 දරන සංශෝධන සහිත), 19 වැනි වගන්තිය යටතේ රෙගුලාසි</t>
  </si>
  <si>
    <t>2009 ஆம் ஆண்டின் 6 ஆம் இலக்க சட்டம் (2018 ஆம் ஆண்டின் 24 ஆம் இலக்க திருத்தம் உட்பட), 19 ஆம் பிரிவின் கீழ் ஒழுங்குவிதிகள்</t>
  </si>
  <si>
    <t>Regulations issued by the relevant Minister under Section 19 of Act No. 06 of 2009 as amended by Act No. 24 of 2018. Part I — General. Dated 7 February 2026.</t>
  </si>
  <si>
    <t>Act No. 6 of 2009 (as amended)</t>
  </si>
  <si>
    <t>m1/raw/2474_66.pdf</t>
  </si>
  <si>
    <t>I fldgi ( ^I&amp; fPoh - YS% ,xld m%cd;dka;s%l iudcjd§ ckrcfha w;s úfYI .eiÜ m;%h - 2026'02'08 1
gFjp I : njhFjp (I) - ,yq;ifr; rdehaf Nrhryprf; FbauR tu;j;jkhdg; gj;;jpupif - mjp tpNr\khdJ - 2026.02.08
Y%S ,xld m%cd;dka;%sl iudcjd§ ckrcfha .eiÜ m;%h
w;s úfYI
,yq;ifr; rdehaf Nrhryprf; FbauR th;j;jkhdg; gj;jphpif
mjp tpNr\khdJ
wxl 2474$66 - 2026 fmnrjdß ui 08 jeks bßod - 2026'02'08
2474/ 66 Mk; ,yf;fk; - 2026 Mk; Mz;L ngg;GUtup khjk; 08 Me; jpfjp Qhapw;Wf;fpoik
(murhq;fj;jpd; mjpfhuj;Jld; gpuRupf;fg;gl;lJ)
gFjp I : njhFjp (I) - nghJ
murhq;f mwptpj;jy;fs;
22000088 ஆஆம்ம் ஆஆண்ண்டிடின்ன் 1144 ஆஆம்ம் இஇலலக்க்கக செசெெெயயல்ல்நுநுணுணுக்க்கக அஅபிபிிிவிவிிிருருத்த்திதிிிக்க் ககருருத்த்திதிிிட்ட்டடங்ங்ககள்ள் ெெட்ட்டடம்ம்
2008 ஆம் ஆண்டின் 14 ஆம் இலக்க செெயல்நுணுக்க அபிிவிிருத்திிக் கருத்திிட்டங்கள் ெட்டத்திின் பிிரிிவு 4ஊ இன் கீழ்
எனக்கு விழங்கப்பிட்ட அதிிகரிரங்களிின் அடிப்பிடைடயில், அந்திச் ெட்டத்திின் பிிரிிவு 3 உடன் சேெர்த்து விரிெிக்கப்பிடும், நிிதிி,
திிட்டமிிடல் மிற்றும் செபிரிருளிரிதிரிர அபிிவிிருத்திி அடைமிச்ெர் அநுர குமிரிர திிஸாரிநிரியக்க ஆகிய நிரின், இந்தி ஒழுங்குவிிதிிகள் மூலம்
திகுதிிசெபிறுவிதிற்கரின அளிவுசேகரில்கடைளியும், அட்டவிடை�யில் குறிிப்பிிடப்பிட்டுள்ளி விிலக்களிிப்புகள் அல்லது ெலுடைககடைளியும்
பிரிிந்துடைரக்கிசேறின்.
அஅநுநுரர குகுமிமிரிரிரர திதிிிஸாஸாரிரிநிநிரிரியயக்க்கக,,
நிிதிி, திிட்டமிிடல் மிற்றும் செபிரிருளிரிதிரிர அபிிவிிருத்திி அடைமிச்ெர்.
நிிதிி, திிட்டமிிடல் மிற்றும் செபிரிருளிரிதிரிர அபிிவிிருத்திி அடைமிச்சு ,
செகரிழும்பு 01,
2026, செபிப்புருவிரிி 08.
அஅட்ட்டடவிவிடைடை��
அஅட்ட்டடவிவிடைடை��:: செசெெெயயல்ல்நுநுணுணுக்க்கக அஅபிபிிிவிவிிிருருத்த்திதிிிக்க் ககருருத்த்திதிிிட்ட்டடம்ம் மிமிற்ற்றுறும்ம் ஏஏற்ற்புபுடைடைடடயய விவிரிரிிிச்ச் ெெலுலுடைடைககககள்ள் எஎன்ன்பிபிவிவிற்ற்டைடைறிறி இஇனனம்ம் ககரிரிண்ண்பிபிதிதிற்ற்குகு
ககருருத்த்திதிிிட்ட்டடசெசெமிமிரிரின்ன்றுறுக்க்ககரிரினன திதிகுகுதிதிிிசெசெபிபிறுறு அஅளிளிவுவுசேசேககரிரில்ல்ககள்ள்
விகுதிி துடைறிகள் முதிலீடு - குடைறிந்திபிட்ெ விரிி விிடுமுடைறி CID/VAT/PAL/CESS
ஐ.அ.செடரி. உள்ளூர் (நிிறுவின விருமிரின விிலக்களிிப்பு
மிில்லியன் சேவிடைல விரிய்ப்பு விரிி) ஆண்டுகளிின்
உருவிரிக்கம் எண்�ிக்டைக
(I) (II) (III) (IV) (V) (VI)
உட்கட்டடைமிப்பு 50 க்கு அதிிகமிரின கருத்திிட்டச்
ஆனரில் 150 100 6 செெயற்பிடுத்துடைக
சேெடைவிகள் மிற்றும் க்கு விிஞ்ெரிதிது கரிலத்திில்
பியன்பிரிடுகள் மூலதினப்
A 150க்கு அதிிகமிரின செபிரிருட்கள் மிற்றும்
செகெிசேனரிக்கள் மிற்றும் ஆனரில் 100 8 கட்டுமிரினப்
பிந்தியம் மிற்றும் சூதிரிட்டங்கள் 300 க்கு விிஞ்ெரிதிது செபிரிருட்கடைளி
திவிிர்ந்தி சுற்றுலரி மிற்றும் இறிக்குமிதிி செெய்தில்
ஓய்வு விிடுதிி 300க்கு அதிிகமிரினது 100 10
,
1A
t
-
; m
PG
jp t
75
pN
2
r
0
l
-
t
40
u
3
;j ;j
(2
k
0
h
2
d
6/
p
0
i
2
a
)
www.documents.gov.lk vDk; ,izaj;jsj;jpypUe;J gjptpwf;fk; nra;a KbAk;.
2 I fldgi ( ^I&amp; fPoh - YS% ,xld m%cd;dka;s%l iudcjd§ ckrcfha w;s úfYI .eiÜ m;%h - 2026'02'08
gFjp I : njhFjp (I) - ,yq;ifr; rdehaf Nrhryprf; FbauR tu;j;jkhdg; gj;;jpupif - mjp tpNr\khdJ - 2026.02.08
விகுதிி துடைறிகள் முதிலீடு - குடைறிந்திபிட்ெ விரிி விிடுமுடைறி CID/VAT/PAL/CESS
ஐ.அ.செடரி. உள்ளூர் (நிிறுவின விருமிரின விிலக்களிிப்பு
மிில்லியன் சேவிடைல விரிய்ப்பு விரிி) ஆண்டுகளிின்
உருவிரிக்கம் எண்�ிக்டைக
(I) (II) (III) (IV) (V) (VI)
50க்கு அதிிகமிரின
ஆனரில் 250 5
100க்கு விிஞ்ெரிதிது
100க்கு அதிிகமிரின
B தியரிரிிப்பு ஆனரில் 250 8
150க்கு விிஞ்ெரிதிது கருத்திிட்டச்
செெயற்பிடுத்துடைக
150க்கு கரிலத்திில்
250 10
அதிிகமிரினது மூலதினப்
செபிரிருட்கள் மிற்றும்
50க்கு அதிிகமிரின கட்டுமிரினப்
ஆனரில் 50 5 செபிரிருட்கடைளி
விிவிெரியம் 100க்கு விிஞ்ெரிதிது இறிக்குமிதிி செெய்தில்
100க்கு அதிிகமிரின
கல்விி, செதிரிழில்நுட்பி
C ஆனரில் 50 8
நிிறுவினங்கள்,
திகவில் செதிரிடர்பிரிடல் 150க்கு விிஞ்ெரிதிது
செதிரிழில்நுட்பிம்
150க்கு
50 10
அதிிகமிரினது
இந்தி ஒழுங்குவிிதிகளிின் சேநிரிக்கங்களுக்கரிக ;
1. சேமிசேல உள்ளி அட்டவிடை�யின் நிிரல் (V) இல் குறிிப்பிிடப்பிட்டுள்ளி நிிறுவின விருமிரின விரிி விிலக்களிிப்புகள், 2017
ஆம் ஆண்டின் 24 ஆம் இலக்க, உள்நிரிட்டு இடைறிவிரிிச் ெட்டத்திின்பிடி திீர்மிரினிக்கப்பிட்ட செெயல்நுணுக்க அபிிவிிருத்திிக்
கருத்திிட்டம் ஒன்றிின் அடைனத்து விருமிரினங்கள் மிற்றும் இலரிபிங்களுக்கும் ஏற்புடைடயதிரிவிதுடன், அத்திடைகய
விிலக்களிிப்பு வி�ிக நிடவிடிக்டைககள் ஆரம்பிமிரிகும் திிகதிியிலிருந்து செதிரிடங்கும் ;
2. CID - சுங்கக் கட்டடைளிச் ெட்டத்திின் (அத்திியரியம் 235) கீழ் விிதிிக்கப்பிடும் சுங்க இறிக்குமிதிித் திீர்டைவி.
VAT - 2002 ஆம் ஆண்டின் 14 ஆம் இலக்க செபிறுமிதிி சேெர் விரிிச் ெட்டத்திின் கீழ் விிதிிக்கப்பிடும் செபிறுமிதிி சேெர் விரிி.
PAL - 2011 ஆம் ஆண்டின் 18 ஆம் இலக்க துடைறிமுகங்கள் மிற்றும் விிமிரின நிிடைலயங்கள் அபிிவிிருத்திி அறிவீட்டுச்
ெட்டத்திின் கீழ் விிதிிக்கப்பிடும் துடைறிமுகங்கள் மிற்றும் விிமிரின நிிடைலயங்கள் அபிிவிிருத்திி அறிவீடு.
CESS - 1979 ஆம் ஆண்டின் 40 ஆம் இலக்க இலங்டைக ஏற்றுமிதிி அபிிவிிருத்திிச் ெட்டத்திின் கீழ் விிதிிக்கப்பிடும் செெஸ்விரிி.
3. சேமிசேல உள்ளி அட்டவிடை�யின் நிிரல் (VI) இன் கீழ் பிிரயரி�ம் அல்லது தினிப்பிட்ட பியன்பிரிட்டு சேநிரிக்கம் செகரிண்ட
சேமிரிட்டரிர் விரிகனங்கடைளி இறிக்குமிதிி செெய்விதிற்கு விிலக்களிிக்கப்பிடரிது.
4. விரிி விிலக்களிிப்புக் கரிலம் முடிவிடைடவிந்திதின் பிின்னர், திற்சேபிரிது நிடைடமுடைறியிலுள்ளி செதிரிடர்புடைடய ெட்டங்களிின்
ஏற்பிரிடுகளிின்பிடி, கருத்திிட்டம் விரிி செெலுத்தி சேவிண்டியிருக்கும்.
5. கருத்திிட்டச் செெயற்பிடுத்துடைகக் கரிலம் என்பிது இலங்டைக முதிலீட்டுச் ெடைபியுடனும் நிிறுவினத்துடனும் செெய்து
செகரிள்ளிப்பிட்ட ஒப்பிந்தித்திில் குறிிப்பிிப்பிட்டுள்ளி திிகதிியிலிருந்து செதிரிடங்கி இலங்டைக முதிலீட்டுச் ெடைபியினரில்
ெரின்றிளிிக்கப்பிட்ட வி�ிக நிடவிடிக்டைககள் செதிரிடங்கும் திிகதிியில் முடிவிடைடயும் கரிலமிரிகும்.
EOG 02 - 0082
இலங்டைக அரெரிங்க அச்சுத் திிடை�க்களித்திில் பிதிிப்பிிக்கப்செபிற்றிது</t>
  </si>
  <si>
    <t>1e53a4cf-4c14-44d6-bae1-83fa9048f719</t>
  </si>
  <si>
    <t>2475_01</t>
  </si>
  <si>
    <t>2475/01</t>
  </si>
  <si>
    <t>Sri Lanka Standards / Food Act No. 235 — Notice (Gazette 2475/01)</t>
  </si>
  <si>
    <t>Notice under the relevant 17th sub-act (Act No. 235). References Gazette 2026.02.02 amendment and 2474/01. Signed by S.B. Aragoda. Part I — General. Dated 6 February 2026.</t>
  </si>
  <si>
    <t>m1/raw/2475_01.pdf</t>
  </si>
  <si>
    <t>Y%S ,xld m%cd;dka;%sl iudcjd§ ckrcfha .eiÜ m;%h
w;s úfYI
,yq;ifr; rdehaf Nrhryprf; FbauR th;j;jkhdg; gj;jphpif
mjp tpNr\khdJ
wxl 2475/01 - 2026 fmnrjdß ui 09 jeks i÷od - 2026'02'09
2475/01 Mk; ,yf;fk; - 2026 Mk; Mz;L ngg;GU tup khjk; 09 Me; jpfjp jpq;fl;fpoik
(murhq;fj;jpd; mjpfhuj;Jld; gpuRupf;fg;gl;lJ)
gFjp I : njhFjp (I) - nghJ
murhq;f mwptpj;jy;fs;
R. g. eh. V877 /gPvy; 305.
Rq;f mwptpj;jy; (nghJ)
Rq;ff; fl;lisr; rl;lk; (mj;jpahak; 235)
me;epar; nryhtzp tPjk;
Rq;ff; fl;lisr; rl;lj;jpd; (235 Mk; mj;jpahak;) 17 Mk; gpuptpdhy; vdf;F mspf;fg;gl;l jj;Jtq;fis mbg;gilahff;
nfhz;L&gt; v];. gP. mWf;nfhl&gt; Rq;fg; gzpg;ghsu; ehafk; Mfpa ehd;&gt; 2026.02.09 Me; jpfjpapypUe;J mKYf;F tUk;
tifapy;&gt; Rq;ff; fl;lisr; rl;lj;jpd; fPo; (mj;jpahak; 235) mwtplg;gLk; Rq;fj; jPu;itfs;&gt; mguhjq;fs; kw;Wk; gwpKjy;fs;
ahTk; kWgf;f ml;ltizapy; jug;gl;Ls;s nryhtzp tPjq;fspy; nrYj;jg;glYk; ngwg;glYk; Ntz;Lk; vd ,j;jhy;
mwpaj;jUfpd;Nwd;.
2026.02.02 Me; jpfjpa 2474/ 01 Mk; ,yf;f tu;j;jkhdpapy; ntspaplg;gl;l nryhtzp tPjq;fs; njhlu;gpyhd
mwptpj;jy; ,j;jhy; ,uj;Jr; nra;ag;gLfpwJ.
v];. gP. mWf;nfhl&gt;
Rq;fg; gzpg;ghsu; ehafk;.
,yq;ifr; Rq;fk;&gt;
nfhOk;G 11&gt;
2026&gt; ngg;GUthp 06.
1A - G 46254 — 09 (2026/02)
,t; mjptpNrl tu;j;jkhdpia www.documents.gov.lk vDk; ,izaj;jsj;jpypUe;J gjptpwf;fk; nra;a KbAk;.
2A I fldgi ( ^I&amp; fPoh - YS% ,xld m%cd;dka;s%l iudcjd§ ckrcfha w;s úfYI .eiÜ m;%h - 2026'02'09
gFjp I : njhFjp (I) - ,yq;ifr; rdehaf Nrhryprf; FbauR tu;j;jkhdg; gj;;jpupif - mjp tpNr\khdJ - 2026.02.09
ml;ltiz
2026.02.09 njhlf;fk; 2026.02.15 Me ; jpfjp tiu mKYfF; tUk ; mee; par;
nryhtzp
njhlu; ehL ehl;Lf; ehzak; ehzaf; nryhtzp
,y. FwpaPL FwpaPL tPjk;
( &amp;gh;)
1. mT];jpNuypah AU mT];jpNuypad; nlhyu; AUD 217.5128
2. g`;Nud; BH g`;Nud; jpdhu; BHD 830.7077
3. gq;fshNj\; BD gq;fshNj\; lhf;fh BDT 2.5626
4. gpNwrpy; BR gpNwrpy; wpay; BRL 59.4126
5. GW}iz BN GW}iz nlhyu; BND 245.8733
6. fdlh CA fNdbad; nlhyu; CAD 228.6751
7. rPdh CN rPdh a{thd; (xg;N\h) CNH 45.1437
8. rPdh CN rPdh a{thd; (nudk; pdg; p) CNY 45.1307
9. nrf;Nfh];rpNyhthf;fpah CZ nrf;Nfh];rpNyhthf;fpah
nfhWdh CZK 15.2166
10. nld;khu;f; DK ldp\; FNuhzu; DKK 49.4511
11. vfpg;J EG vfpg;J gTz; EGP 6.6701
12. A{Nuh tyak; A{Nuh EUR 369.2863
13. fhdh GH fhdh rPb GHS 28.5630
14. n`hq;nfhq ; HK n`hq; nfhq; nlhyu; HKD 40.0944
15. `q;Nfup HU `q;Nfup Nghupd;l; HUF 0.9707
16. ,e;jpah IN ,e;jpa &amp;gh INR 3.4663
17. ,e;NjhNd\pah ID ,e;NjhNd\pad; Wgpah IDR 0.0185
18. &lt;uhd; IR &lt;uhd; wpahy; IRR 0.0000
19. [g;ghd ; JP [g;ghdpa nad; JPY 1.9975
20. N[hu;jhd; JO N[hu;jhd; jpdhu; JOD 442.1138
21. nfhupah KR nfhupad; nthd; KRW 0.2132
22. Fitj; KW Fitj; jpdhu; KWD 1,018.8133
23. kf;fhc MO kf;fhc glhfh MOP 38.9263
24. kNyrpah MY kNyrpah wpd;[pw; MYR 79.1832
25. khiyjPT MV khiyjPT Wg;gpah MVR 20.5676
26. nkhwPrpa]; MU nkhwPrpa]; &amp;gh MUR 6.8036
27. kpad;khu; MM kpad;khu; fpahj; MMK 0.1490
28. Neghsk; NP Neghsk; &amp;gha; NPR 2.1664
29. epA{rpyhe;J NZ epA{rpyhe;J nlhyu; NZD 186.7572
30. ie[Pupah NG ie[Pupah iewh NGN 0.2290
31. Nehu;Nt NO Nehu;Nt FNuhd; NOK 31.9722
32. Xkhd; OM Xkhd; wpahy; OMR 813.5739
33. ghfp];jhd; PK ghfp];jhd; &amp;gha; PKR 1.1189
34. gg;Tth epA{fpdpah PG gg;Tth epA{ fpdpah fpdh PGK 73.2873
35. gpypg;igd;]; PH gpypg;igd;]; ngNrh PHP 5.3420
36. Nghye;J PL Nghye;J ];Nyhl;b PLN 87.3817
37. fl;lhu; QA fl;lhu; wpahy; QAR 85.8888
38. u\;ah RU u\;ah &amp;gpy; RUB 4.0813
I fldgi ( ^I&amp; fPoh - YS% ,xld m%cd;dka;s%l iudcjd§ ckrcfha w;s úfYI .eiÜ m;%h - 2026'02'09 3A
gFjp I : njhFjp (I) - ,yq;ifr; rdehaf Nrhryprf; FbauR tu;j;jkhdg; gj;;jpupif - mjp tpNr\khdJ - 2026.02.09
ml;ltiz (njhlh;r;rp)
njhlu; ehL ehl;Lf; ehzak; ehzaf; nryhtzp
,y. FwpaPL FwpaPL tPjk;
(,yq;if &amp;ghtpy;)
39. rt{jp mNugpah SA rt{jp mNugpah wpahy; SAR 83.5138
40. rPnry;]; SC rPnry;]; &amp;gha; SCR 22.1870
41. rpq;fg;G{u; SG rpq;fg;G{u; nlhyu; SGD 245.8733
42. njd; Mgpupf;fh ZA njd; Mgpupf;fh nud;l; ZAR 19.2817
43. RtPld; SE RtPb\; FNuhzu; SEK 34.6277
44. Rtpw;ru;yhe;J CH Rtp]; gpuhq; CHF 403.0284
45. jha;thd; TW jha;thd; nlhyu; TWD 9.8858
46. jha;yhe;J TH jha;yhe;J ghj; THB 9.8887
47. If;fpa muG ,uhr;rpak; AE If;fpa muG ,uhr;rpak;
jpu;fhk; AED 85.2691
48. If;fpa ,uhr;rpak; GB ];Nuypq; gTz; GBP 424.3144
49. If;fpa mnkupf;fh ehLfs; US mnkupf;fd; nlhyu; USD 313.1934
50. rk;gpah (gioa) ZM rk;gpah f;tr;rh (gioa) ZMK 16.7201
EOG 02 - 0059
,yq;if murhq;f mr;Rj; jpizf;fsj;jpw; gjpg;gpf;fg;ngw;wJ.</t>
  </si>
  <si>
    <t>999f6453-37d7-4f8c-93e7-a6f2bf3e1947</t>
  </si>
  <si>
    <t>2475_03</t>
  </si>
  <si>
    <t>2475/03</t>
  </si>
  <si>
    <t>Industrial Disputes Act (Chapter 131), Section 20(1) — Award of Arbitrator (Gazette 2475/03)</t>
  </si>
  <si>
    <t>කර්මාන්ත ආරවුල් පනත (131 අධිකාරය), 20(1) වගන්තිය - බේරුම්කරුගේ තීන්දුව</t>
  </si>
  <si>
    <t>தொழில் தகராறுகள் சட்டம் (131 ஆம் அத்தியாயம்), 20(1) ஆம் பிரிவு - நடுவர் தீர்ப்பு</t>
  </si>
  <si>
    <t>Repudiation by Elpitiya Plantations PLC of the Arbitrator's Award dated 29 September 2025 under Section 20(1) of the Industrial Disputes Act (Chapter 131). Notice declares award shall cease to have effect on and after 19 December 2025. Issued by H.M.D.N.K. Wadalyadda, Commissioner General of Labour. Part I — General.</t>
  </si>
  <si>
    <t>m1/raw/2475_03.pdf</t>
  </si>
  <si>
    <t>I ෙකාටස: (I) ෙඡදය – (cid:636) ලංකා (cid:541)ජාතා(cid:486)(cid:437)ක සමාජවා(cid:463) ජනරජෙ(cid:591) අ(cid:431) (cid:618)ෙශෂ ගැස(cid:376) ප(cid:436)ය – 2026.02.09 1A
PART I: SEC. (I) – GAZETTE EXTRAORDINARY OF THE DEMOCRATIC SOCIALIST REPUBLIC OF SRI LANKA – 09.02.2026
(cid:636) ලංකා (cid:541)ජාතා(cid:486)(cid:437)ක සමාජවා(cid:463) ජනරජෙ(cid:591) ගැස(cid:376) ප(cid:436)ය
අ(cid:431) (cid:618)ෙශෂ
The Gazette of the Democratic Socialist Republic of Sri Lanka
EXTRAORDINARY
අංක 2475/03 – 2026 ෙපබරවා(cid:604) මස 09 වැ(cid:487) ස(cid:511)දා – 2026.02.09
No. 2475/03 – MONDAY, FEBRUARY 09, 2026
(Published by Authority)
PART I: SECTION (I) – GENERAL
Government Notifications
My No.: IR/COM/03/2019/331.
THE INDUSTRIAL DISPUTES ACT – CHAPTER 131
NOTICE of repudiation received by me from Elpitiya Plantations PLC under Section 20(1) of the Industrial Disputes Act
(Chapter 131), the Award of the Arbitrator dated 29.09.2025 binding on Mr. Y. Jayaratne, No. 29/1, Kokarakanda, Ethkandura
and Elpitiya Plantations PLC, 9th Floor, Aitken Spence Tower 01, No. 305, Vauxhall Street, Colombo 02 published in
the Gazette of the Democratic Socialist Republic of Sri Lanka 2466/15 of 10.12.2025 is hereby published in terms of
Section 20(2)(b) of the said Act.
In terms of Section 20(2)(b) of the Industrial Disputes Act (Chapter 131) it is hereby declared that the aforesaid
award No. A/70/2022 shall cease to have eff ect on and after 09.12.2026.
H. M. D. N. K. W(cid:3450)(cid:3469)(cid:3450)(cid:3461)(cid:3458)(cid:3474)(cid:3450)(cid:3453)(cid:3453)(cid:3450),
Commissioner General of Labour.
Department of Labour,
Labour Secretariat,
Colombo 05,
26th day of January 2026.
1A – G 046263 – 10 (02/2026)
This Gazette Extraordinary can be downloaded from www.documents.gov.lk
2A I ෙකාටස: (I) ෙඡදය – (cid:636) ලංකා (cid:541)ජාතා(cid:486)(cid:437)ක සමාජවා(cid:463) ජනරජෙ(cid:591) අ(cid:431) (cid:618)ෙශෂ ගැස(cid:376) ප(cid:436)ය – 2026.02.09
PART I: SEC. (I) – GAZETTE EXTRAORDINARY OF THE DEMOCRATIC SOCIALIST REPUBLIC OF SRI LANKA – 09.02.2026
First Schedule
FORM A
Regulation 3.
The Industrial Disputes Act, No. 43 of 1950
Notice of repudiation of Award of an arbitrator
Address: Elpitiya Plantations PLC,
9th Floor, Aitken Spence Tower 01,
No. 305, Vauxhall Street,
Colombo 02.
Date: 07th December 2025
To: Commissioner General of Labour,
Notice is hereby given of the repudiation of the Award of the arbitrator dated 29.09.2025 binding on Elpitiya Plantations
PLC and Mr. Y. Jayaratne published in Government Gazette No. 2466/15 of 10.12.2025.
(Signature)
Greshan Nanayakkara,
Senior General Manager - Legal and Administration,
Elpitiya Plantations PLC,
Aitken Spence Plantation Managements PLC,
9th Floor, Aitken Spence Tower 01,
305, Vauxhall Street, Colombo 02.
Copy - Mr. Y. Jayaratne,
No, 29/1, Kokarakanda,
Ethkandura.
Elpitiya Plantations PLC,
Divitura Estate,
Ethkandura.
Delete what is inapplicable
Separate notices should be sent by the employer making the repudiation to every other party and workman bound by the
Collective Agreement, settlement or award, as the case may be (See Sections 9(1), 15(1) and 20(1) of the Act.)
If the person signing the notice is signing it on behalf of any employer he should also specify the employer or on whose
behalf he is signing, and in the case of union, the designation of his offi ce in that union.
EOG 02 – 0070
PRINTED AT THE DEPARTMENT OF GOVERNMENT PRINTING, SRI LANKA.</t>
  </si>
  <si>
    <t>4b337c98-43f6-4d85-aaa9-d76dd795ef68</t>
  </si>
  <si>
    <t>2475_04</t>
  </si>
  <si>
    <t>2475/04</t>
  </si>
  <si>
    <t>Land Acquisition Act (Chapter 460), Section 5 — Notice of Intended Acquisition (Gazette 2475/04)</t>
  </si>
  <si>
    <t>m1/raw/2475_04.pdf</t>
  </si>
  <si>
    <t>III ෙක(cid:675)ටස - (cid:636) ලංකා (cid:541)ජාතා(cid:486)(cid:437)ක සමාජවා(cid:463) ජනරජෙ(cid:591) අ(cid:431) (cid:618)ෙශෂ ගැස(cid:376) ප(cid:436)ය - 2025.12.11 1A
பகுதி III - இலங்ைகச் சனநாயக ேசாச(cid:8098)சக் கு(cid:8074)யரசு வர்த்தமானப் பத்திாிைக - அதி விேசஷமான(cid:8080) - 2025.12.11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22447755//0044 -- 22002266 ෙෙපපබබරරවවාා(cid:604)(cid:604) මමසස 0099 වවැැ(cid:487)(cid:487) සස(cid:511)(cid:511)දදාා -- 22002266..0022..0099
2475/04 ஆம் இலக்கம் - 2026 ஆம் ஆண்(cid:8076) ெ பப்(cid:8087)(cid:8094)வாி மாதம் 09 ஆந் திகதி த ிங்கட்கிழைம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02. (cid:8080)(cid:8080)ண்ண்(cid:8076)(cid:8076) ‘‘C’’ –– ஹஹிில்ல்ஸ்ஸ்ட்ட்ாாீீம்ம் ேேததாாட்ட்டடம்ம் ((அஅரரம்ம்பபேேஹஹனன
பபிிாாிி(cid:8107)(cid:8107))) -- வவிிஸ்ஸ்ததீீரரணணம்ம்:: 77..00339955 ெெஹஹக்க்டடயயாார்ர்
5 ஆம் பிாிவின் ப(cid:8074)யான பிரகடனம் வடக்கு : (cid:8080)ண்(cid:8076) B மற்(cid:8096)ம் ேக.எம். யசலால் (cid:8087)ஷ்பகுமார
உாிைமேகா(cid:8094)ம் அரம்பேஹன, ெவட்டப்பட்ட வ(cid:8074)கால் மற்(cid:8096)ம்
கீழ்க்கா(cid:8078)ம் காணி ஒ(cid:8094) பகிரங்கத் ேதைவக்கு ேவண்(cid:8074)யதாய் சுனில் விக்ரம உாிைமேகா(cid:8094)ம் அரம்பேஹன; கிழக்கு:(cid:8106)தி;
இ(cid:8094)க்கின்றெதன்(cid:8096)ம் காணி எ(cid:8076)த்தற் சட்டத்தின் ஏற்பா(cid:8076)
ெதற்கு: (cid:8106)தி; ேமற்கு : (cid:8106)தி, (cid:8080)ண்(cid:8076) B, ேக.எம். யசலால்
களின் பிரகாரம் அ(cid:8080) எ(cid:8076)த்(cid:8080)க் ெகாள்ளப்ப(cid:8076)ெமன்(cid:8096)ம் காணி
(cid:8087)ஷ்பகுமார உாிைமேகா(cid:8094)ம் அரம்பேஹன, ெவட்டப்பட்ட
எ(cid:8076)த்தற் சட்டத்தின் 5 ஆம் பிாிவின் (1) ஆம் உபபிாிவின்
பிரகாரம் கமத்ெதாழில், கால்நைட வளங்கள், காணி மற்(cid:8096)ம் வ(cid:8074)கால் மற்(cid:8096)ம் சுனில் விக்ரம உாிைமேகா(cid:8094)ம் அரம்பேஹன.
நீர்ப்பாசன அைமச்சர் குரகமேக ெதான் லால் காந்த ஆகிய
நான், இத்தால் பிரகடனம் ெசய்கின்ேறன்.
ேக. (cid:8074). லால் காந்த,
ேமல் மாகாணத்திேல க(cid:8102)த்(cid:8080)ைற மாவட்டத்திேல கமத்ெதாழில், கால்நைட வளங்கள்,
(cid:8087)லத்சிங்கள பிரேதச ெசயலாளர் பிாிவிேல 824டீ
காணி மற்(cid:8096)ம் நீர்ப்பாசன அைமச்சர்.
ெதன்னேஹன கிராமத்தில் அைமந்(cid:8080)ள்ள நில அளைவயாளா்
நாயகத்தினால் KA/BLT/18/48 ஆம் இலக்க 2018.03.02 ஆம்
திகதி தயாாிக்கப்பட்ட வைரபடத்தின் கீழ் குறிப்பிடப்ட(cid:8076)ள்ள
என(cid:8080) இல. : 4-3/15/2017/VE/354.
காணித் (cid:8080)ண்(cid:8076)களின் எல்ைலகள்:
கமத்ெதாழில், கால்நைட வளங்கள் காணி மற்(cid:8096)ம்
நீர்ப்பாசன அைமச்சு,
01. (cid:8080)(cid:8080)ண்ண்(cid:8076)(cid:8076) ‘‘B’’ –– ஹஹிில்ல்ஸ்ஸ்ட்ட்ாாீீம்ம் ேேததாாட்ட்டடம்ம் ((அஅரரம்ம்பபேேஹஹனன
“மிஹிகத ெம(cid:8080)ர”, காணிச் ெசயலகம்,
பபிிாாிி(cid:8107)(cid:8107))) -- வவிிஸ்ஸ்ததீீரரணணம்ம்:: 44..22997711 ெெஹஹக்க்டடயயாார்ர்
இல. 1200/6, இரஜமல்வத்ைத (cid:8106)தி,
வடக்கு : உாிைமேகா(cid:8094)ேவாைர அைடயாளம் காண
பத்தர(cid:8089)ல்ைல,
(cid:8089)(cid:8074)யாத அரம்பேஹன, கால்வாய் மற்(cid:8096)ம் ேக.எம். யசலால்
2025, திெசம்பர் 19.
(cid:8087)ஷ்பகுமார உாிைமேகா(cid:8094)ம் அரம்பேஹன; கிழக்கு: ேக.எம்.
யசலால் (cid:8087)ஷ்பகுமார உாிைமேகா(cid:8094)ம் அரம்பேஹன மற்(cid:8096)ம்
(cid:8080)ண்(cid:8076) C; ெதற்கு: (cid:8080)ண்(cid:8076) C மற்(cid:8096)ம் (cid:8106)தி; ேமற்கு : (cid:8106)தி.
EOG 02 - 0071
1A - G46264 - 11 (2026/02)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</si>
  <si>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68782a1f-ac90-4f48-a8a1-aeb843958ede</t>
  </si>
  <si>
    <t>2475_05</t>
  </si>
  <si>
    <t>2475/05</t>
  </si>
  <si>
    <t>Local Authorities Elections Ordinance, Section 10A(1)(A) - Loss of seat by Colombo Municipal Council Member Mrs. Mohamed Buhari Fathima Sahara (SLMC)</t>
  </si>
  <si>
    <t>පළාත් පාලන ආයතන ඡන්ද විමසීම් ආඥාපනත, 10අ(1)(අ) වගන්තිය - කොළඹ මහ නගර සභා සභික මොහොමඩ් බුහාරි ෆාතිමා සහාරා මහත්මියගේ (ශ්‍රී ලංකා මුස්ලිම් කොංග්‍රසය) සභික ධූරය අහිමි වීම</t>
  </si>
  <si>
    <t>உள்ளூராட்சி அதிகார சபைகள் தேர்தல்கள் கட்டளைச் சட்டம், 10அ(1)(அ) ஆம் பிரிவின் கீழ் - கொழும்பு மாநகர சபை உறுப்பினர் திருமதி முகமட் புஹாரி பாத்திமா சஹாரா (ஸ்ரீலங்கா முஸ்லிம் காங்கிரஸ்) அவர்களின் பதவியை இழத்தல்</t>
  </si>
  <si>
    <t>Notice under Section 10A(1)(A) of the Local Authorities Elections Ordinance: Mrs. Mohamed Buhari Fathima Sahara, member of the Colombo Municipal Council, loses her seat due to ceasing to be a member of the Sri Lanka Muslim Congress (SLMC) recognized political party. Issued by the Commissioner of Local Government, Western Province. Dated 09 February 2026.</t>
  </si>
  <si>
    <t>m1/raw/2475_05.pdf</t>
  </si>
  <si>
    <t>Y%S ,xld m%cd;dka;%sl iudcjd§ ckrcfha .eiÜ m;%h
w;s úfYI
,yq;ifr; rdehaf Nrhryprf; FbauR th;j;jkhdg; gj;jphpif
mjp tpNr\khdJ
wxl 2475$05 - 2026 fmnrjdß ui 09 jeks i÷od - 2026'02'09
2475/ 05 Mk; ,yf;fk; - 2026 Mk; Mz;L ngg;GUtup khjk; 09 Me; jpfjp jpq;fl;fpoik
(murhq;fj;jpd; mjpfhuj;Jld; gpuRupf;fg;gl;lJ)
gFjp IV(M) - cs;~uhl;rp
உஉள்ள்ளூளூர்ர் அஅதிதிிிகாகாாாரர சசபைபைைைகாகாள்ள் தேதேதிதிர்ர்திதில்ல்காகாள்ள் காகாட்ட்டடபைபைைைச்ச் சசட்ட்டட அஅறிறிிிவிவிிித்த்திதில்ல்காகாள்ள்
உஉள்ள்ளூளூர்ர் அஅதிதிிிகாகாாாரர சசபைபைைைகாகாள்ள் தேதேதிதிர்ர்திதில்ல்காகாள்ள் காகாட்ட்டடபைபைைைச்ச் சசட்ட்டடத்த்திதிிின்ன் 1100அஅ((11))((அஅ)) ஆஆம்ம்
ைைிிாாிிவிவிிின்ன் காகாீீழாழாாானன அஅறிறிிிவிவிிித்த்திதில்ல்
கககாகாாாழுழும்ம்புபு மாமாாாநநகாகாரர சசபைபைைை
கககாகாாாழுழும்ம்புபு மாமாாாநநகாகாரர சசபைபைைை உஉறுறுப்ப்ைைிினனககரராாருருவிவிரராானன திதிிிருருமாமாதிதிிி ககமாமாாாஹஹமாமாட்ட் புபுஹஹாாாாிி ைைாாத்த்திதிிிமாமாாா ககசசாாஹஹாாரராா அஅவிவிர்ர்காகாள்ள் ஸ்ரீஸ்ரீ லலங்ங்காகாாா முமுஸ்ஸ்லிலிம்ம்
காகாாாங்ங்காகாிிரரஸ்ஸ் காகாட்ட்சசிியியிிின்ன் உஉறுறுப்ப்ைைிினனரராாகாகா உஉள்ள்ைைபைபைமாமா இஇல்ல்லலாாககதிதிாாழாழாிிந்ந்துதுள்ள்ைைதிதிாால்ல் தேதேமாமாற்ற்ைைடிடி சசபைபைைையியிிின்ன் அஅவிவிரரதுது உஉறுறுப்ப்ைைிினனர்ர் ைைதிதிவிவிிிபைபையியி
அஅவிவிர்ர் இஇழாழாந்ந்துதுள்ள்ைைாாககரரனன கககாகாாாழுழும்ம்புபு மாமாாாநநகாகாரர சசபைபைைையியிிின்ன் ககதிதிாாிிவிவித்த்திதிாாட்ட்சசிி அஅலுலுவிவிலலரராானன ைைிியுயுமாமாிி ஆஆட்ட்டிடிகாகாலல ஆஆகாகாிியியி நநாான்ன்,, ((226622 ஆஆம்ம்
அஅத்த்திதிிியியிாாயியிமாமாாானன)) உஉள்ள்ளூளூர்ர் அஅதிதிிிகாகாாாரர சசபைபைைைகாகாள்ள் தேதேதிதிர்ர்திதில்ல்காகாள்ள் காகாட்ட்டடபைபைைைச்ச் சசட்ட்டடத்த்திதிிின்ன் 1100அஅ((11))((அஅ)) எஎன்ன்னுனும்ம் ைைிிாாிிவிவிிின்ன் காகாீீழ்ழ் இஇத்த்திதிாால்ல்
ககவிவிைைிிப்ப்ைைடுடுத்த்துதுகாகாிின்ன்தேதேறிறின்ன்..
ைைிியுயுமாமாிி ஆஆட்ட்டிடிகாகாலல,,
ககதிதிாாிிவிவித்த்திதிாாட்ட்சசிி அஅலுலுவிவிலலர்ர் ,,
கககாகாாாழுழும்ம்புபு மாமாாாநநகாகாரர சசபைபைைை..
மாமாாாவிவிட்ட்டடத்த் தேதேதிதிர்ர்திதில்ல்காகாள்ள் அஅலுலுவிவிலலகாகாம்ம்,,
கககாகாாாழுழும்ம்புபு நநகாகாரர தேதேதிதிர்ர்திதில்ல் அஅலுலுவிவிலலகாகாம்ம்..
22002266,, ககைைப்ப்புபுருருவிவிாாிி 0099..
EEOOGG 0022 -- 00007733
1A - PG 7517 — 08 (2026/02) ,yq;if murhq;f mr;Rj; jpizf;fsj;jpw; gjpg;gpf;fg;ngw;wJ.
,t; mjptpNrl tu;j;jkhdpia www.documents.gov.lk vDk; ,izaj;jsj;jpypUe;J gjptpwf;fk; nra;a KbAk;.</t>
  </si>
  <si>
    <t>b7bb8a24-24e9-4549-aff9-067882ecef78</t>
  </si>
  <si>
    <t>2475_06</t>
  </si>
  <si>
    <t>2475/06</t>
  </si>
  <si>
    <t>Notice under Section 6(2) and 21(2) of Act No. 94/47 (IX) of 2003 (Gazette 2475/06)</t>
  </si>
  <si>
    <t>2003 අංක 94/47 (IX) දරන පනත, 6(2) සහ 21(2) වගන්ති යටතේ දැන්වීම</t>
  </si>
  <si>
    <t>2003 ஆம் ஆண்டின் 94/47 (IX) ஆம் இலக்க சட்டம், 6(2) மற்றும் 21(2) ஆம் பிரிவுகளின் கீழ் அறிவித்தல்</t>
  </si>
  <si>
    <t>Notice issued by the relevant Minister under Sections 6(2) and 21(2) of the relevant Act No. 94/47 (IX) of 2003. Part I — General. Dated 5 February 2026.</t>
  </si>
  <si>
    <t>Act No. 94/47 (IX) of 2003</t>
  </si>
  <si>
    <t>m1/raw/2475_06.pdf</t>
  </si>
  <si>
    <t>Y%S ,xld m%cd;dka;%sl iudcjd§ ckrcfha .eiÜ m;%h
w;s úfYI
,yq;ifr; rdehaf Nrhryprf; FbauR th;j;jkhdg; gj;jphpif
mjp tpNr\khdJ
wxl 2475$06 - 2026 fmnrjdß ui 10 jeks w`.yrejdod - 2026'02'10
2475/ 06 Mk; ,yf;fk; - 2026 Mk; Mz;L ngg;GUtup khjk; 10 Me; jpfjp nrt;tha;f;fpoik
(murhq;fj;jpd; mjpfhuj;Jld; gpuRupf;fg;gl;lJ)
gFjp I : njhFjp (I) - nghJ
murhq;f mwptpj;jy;fs;
ச.வ.பிி. 94/ 47 (IX)
((226699 ஆஆம்ம் அஅத்த்திதிிியாயாாாயாயாமாமாாானன )) நாநாாாடுடு,, நாநாககரரத்த் திதிிிட்ட்டடமாமாிிடடல்ல் ககட்ட்டடளைளைைைச்ச் சசட்ட்டடம்ம்
பிிாிவு 6(2) (ஆ) மாற்றும் பிிாிவு 21(2) (ஆ) என்பிவற்றிின் கீழாான கட்டளைை
(269 ஆம் அத்திியாாயாமாான ) நாாடு, நாகரத் திிட்டமாிடல் கட்டளைைச் சட்டத்திின் 6(2) (ஆ) என்னும் பிிாிவாலும் மாற்றும்
21(2)(ஆ) என்னும் பிிாிவாலும் எனக்குாித்திாக்கப்பிட்டுள்ை தித்துவங்கைின் பியாளைனக்ககாண்டு பபிாக்குவரத்து, கநாடுஞ்சாளைைகள்,
துளைறிமுகங்கள் மாற்றும் சிவில் விமாான பசளைவகள் அளைமாச்சர், பிிமால் நாிபராஷன் ரத்நாாயாக்க ஆகியா நாான், இக் கட்டளைை மூைம்.-
(அ) இதிற்கான அட்டவளை�யாில் குறிித்துளைரக்கப்பிட்ட “ஸ்ரீ பபிாதிிருக்காராமா விஹாாளைரப் பிிரபதிசம்” எனவளைழாக்கப்பிடும்
கா�ி இடப்பிரப்பு, பமாற் கசால்ைப்பிட்ட கட்டளைைச் சட்டத்திின் பநாாக்கத்துக்காக நாகர அபிிவிருத்திி இடப்பிரப்கபிான்றிாக
இருத்தில் பவண்டுகமான கவைிப்பிடுத்துகின்பறின்; அத்துடன்
(ஆ) ஒரு நாகர அபிிவிருத்திி இடப்பிரப்கபிான்றிாக பமாபையுள்ைவாறு கவைிப்பிடுத்திப்பிடும் “ஸ்ரீ பபிாதிிருக்காராமா விஹாாளைரப்
பிிரபதிசத்துக்காக” உருவளைர கபிௌதிீக வளைரபிடகமாான்று தியாாாிக்கப்பிடுதில் பவண்டுகமானப் பி�ிக்கின்பறின்.
பிபிிிமாமால்ல் நாநாிிபபரராாஷஷன்ன் ரரத்த்நாநாாாயாயாக்க்கக,,
பபிாக்குவரத்து, கநாடுஞ்சாளைைகள்,
மாற்றும் நாகர அபிிவிருத்திி அளைமாச்சர்.
ககாழும்பு,
2026, சனவாி 05.
1A - G 46266— 13 (2026/02)
,t; mjptpNrl tu;j;jkhdpia www.documents.gov.lk vDk; ,izaj;jsj;jpypUe;J gjptpwf;fk; nra;a KbAk;.
2A I fldgi ( ^I&amp; fPoh - YS% ,xld m%cd;dka;s%l iudcjd§ ckrcfha w;s úfYI .eiÜ m;%h - 2026'02'10
gFjp I : njhFjp (I) - ,yq;ifr; rdehaf Nrhryprf; FbauR tu;j;jkhdg; gj;;jpupif - mjp tpNr\khdJ - 2026.02.10
அஅட்ட்டடவவளைளை��
ஸ்ரீஸ்ரீ பபபிபிாாதிதிிிருருக்க்ககாாரராாமாமா வவிிஹாஹாாாளைளைரரளைளையாயாக்க் ககககாாண்ண்டுடுள்ள்ைை ககாா��ிி இஇடடப்ப்பிபிரரப்ப்புபு
வடபமால் மாாகா�த்திில், குருநாாகல் நாிருவாக மாாவட்டத்திிலுள்ை, மாாபஹாா பிிரபதிச கசயாைகப் பிிாிவினுள், இபிபைாகமாவில் உள்ை
இபிபைாகமா கிராமாத்திில் (கி.அ.பிிாிவு 167) அளைமாந்துள்ைளைவயும், 2024, நாகவம்பிர் 27 ஆந் திிகதிியா பகயூ/எம்எச்/ டபிிள்யூ/2024/93
ஆம் இைக்க நாிை அைளைவயாாைர் திளைைளைமாயாதிிபிதிியாின் சுவடு வளைரவில் குறிித்துக்காட்டப்பிட்டவாறிானளைவயும், கா�ித்துண்டம்
“ஏ” (0.0940 கஹாக்டயார்), கா�ித்துண்டம் “பிி” (0.0227 கஹாக்டயார்), கா�ித்துண்டம் “சீ” (0.9111 கஹாக்டயார்), கா�ித்துண்டம்
“ஈ” (0.0214 கஹாக்டயார்) , கா�ித்துண்டம் “எவ்” (0.2021 கஹாக்டயார்) என்பிவற்ளைறிக் ககாண்டுள்ைளைவயும், பிரப்பிைவில் (1.2513
கஹாக்டயாார்) ககாண்டுள்ைதுமாான அக்கா�ி இடப்பிரப்புகள் அடங்கலும் ; அவற்றிின் எல்ளைைகள் பிின்வருமாாறு:
ககாா��ிித்த்துதுண்ண்டுடு ‘‘ஏஏ’’ -- திதிிிம்ம்பிபிிிாாிிவவைைபபஹாஹானன ((00..00994400 ககஹாஹாக்க்டடயாயார்ர்))
வடக்கு : வீதிி (பிிரபதிச சளைபி) ;
கிழாக்கு : கா�ித்துண்டம் ‘பிி’, ஆர்.ஐ. பிி. கமானிக்ராை மாற்றும் ஏளைனபயாாாினால் உாிளைமா பகாரப்பிட்ட பபிாகஹாஎஸ்வத்துமா
அத்துடன் கா�ித்துண்டம் ‘டி’ (கால்வாய்);
கதிற்கு : கா�ித்துண்டம் ‘சீ’ மாற்றும் ஆர்.ஐ. பிி. பசனாரத்னவினால் உாிளைமாபகாரப்பிட்ட சூாியாகஹாமுைவத்தி ; அத்துடன்
பமாற்கு : அரசாங்கத்திினால் உாிளைமாபகாரப்பிட்ட திிம்பிிகவைபஹான.
ககாா��ிித்த்துதுண்ண்டுடு ‘‘பிபிிி’’ -- பபபிபிாாககஹாஹாககவவைை மாமாற்ற்றுறும்ம் பபபிபிாாககஹாஹானனபபஹாஹானன ((00..00222277 ககஹாஹாக்க்டடயாயார்ர்))
வடக்கு : வீதிி (பிிரபதிச சளைபி) ;
கிழாக்கு : ஆர். ஐ. பிி. கமானிக்ராை மாற்றும் ஏளைனபயாாாினால் உாிளைமா பகாரப்பிட்ட பபிாகஹாஎஸ்வத்தும் அத்துடன்
கா�ித்துண்டம் ‘டி’ (கால்வாய்) மாற்றும் கா�ித்துண்டம் ‘ஏ’;
கதிற்கு : கா�ித்துண்டம் ‘டீ’ (கால்வாய்) மாற்றும் கா�ித்துண்டம் ‘ஏ’ (கால்வாய்) ; அத்துடன்
பமாற்கு : கா�ித்துண்டம் ‘ஏ’.
ககாா��ிித்த்துதுண்ண்டுடு ‘‘சசீீ’’ -- சசிியாயாம்ம்பிபிைைாாககஹாஹாவவத்த்திதி மாமாற்ற்றுறும்ம் பபபிபிாாககஹாஹாபபஹாஹானன ((00..99111111 ககஹாஹாக்க்டடயாயார்ர்))
வடக்கு : அரசாங்கத்திினால் உாிளைமாபகாரப்பிட்ட திிம்பிிாிவைபஹான மாற்றும் கா�ித்துண்டம் ‘ஏ’ ;
கிழாக்கு : கா�ித்துண்டம் ‘டீ’ (கால்வாய்) ;
கதிற்கு : கா�ித்துண்டம் ‘டீ’ (கால்வாய்) மாற்றும் வீதிி ; அத்துடன்
பமாற்கு : வீதிி, ஆர். ஐ. பிி. யாபசகர மாற்றும் ஏளைனபயாாாினால் உாிளைமா பகாரப்பிட்ட சூாியாகஹாமுைவத்தி அத்துடன் ஆர். ஐ. பிி.
பசனாரத்னவினால் உாிளைமா பகாரப்பிட்ட சூாியாகஹாமுைவத்தி.
ககாா��ிித்த்துதுண்ண்டுடு ‘‘ஈஈ’’ -- சசிியாயாம்ம்பிபிைைாாககஹாஹாவவத்த்திதி மாமாற்ற்றுறும்ம் பபபிபிாாககஹாஹாபபஹாஹானன ((00..00221144 ககஹாஹாக்க்டடயாயார்ர்))
வடக்கு : கா�ித்துண்டம் ‘டி’ கால்வாய் ;
கிழாக்கு : கா�ித்துண்டம் ‘டி’ கால்வாய் ;
கதிற்கு : கா�ித்துண்டம் ‘டி’ கால்வாய் ; அத்துடன்
பமாற்கு : கால்வாய் மாற்றும் கா�ித்துண்டம் ‘டி’ (கால்வாய்).
I fldgi ( ^I&amp; fPoh - YS% ,xld m%cd;dka;s%l iudcjd§ ckrcfha w;s úfYI .eiÜ m;%h - 2026'02'10 3A
gFjp I : njhFjp (I) - ,yq;ifr; rdehaf Nrhryprf; FbauR tu;j;jkhdg; gj;;jpupif - mjp tpNr\khdJ - 2026.02.10
ககாா��ிித்த்துதுண்ண்டுடு ‘‘எஎவ்வ்’’ -- பபபிபிாாககஹாஹாபபஹாஹானன மாமாற்ற்றுறும்ம் பிபிிின்ன்லிலியாயாத்த்திதி ((00..22002211 ககஹாஹாக்க்டடயாயார்ர்))
வடக்கு : கா�ித்துண்டம் ‘டி’ (கால்வாய்) மாற்றும் ;கா�ித்துண்டம் ‘ஜீீ’;
கிழாக்கு : ஆர். எம். புஞ்சிபிண்டா மாற்றும் ஏளைனபயாாாினால் உாிளைமா பகாரப்பிட்ட கதுருகஹாகும்புர, ஆர். ஐ. பிி.
கபுருபிண்டாரவினால் உாிளைமா பகாரப்பிட்ட கதுருகஹாகும்புர மாற்றும் கால்வாய்;
கதிற்கு : கால்வாய் ; அத்துடன்
பமாற்கு : கா�ித்துண்டம் ‘டி’ (கால்வாய்).
EOG 02 - 0074
,yq;if murhq;f mr;Rj; jpizf;fsj;jpw; gjpg;gpf;fg;ngw;wJ.</t>
  </si>
  <si>
    <t>b9ca6acc-e457-49a7-ad5d-70f314a8ae50</t>
  </si>
  <si>
    <t>2475_07</t>
  </si>
  <si>
    <t>2475/07</t>
  </si>
  <si>
    <t>Land Acquisition Act (Chapter 460), Section 5 — Notice of Intended Acquisition (Gazette 2475/07)</t>
  </si>
  <si>
    <t>m1/raw/2475_07.pdf</t>
  </si>
  <si>
    <t>III ෙක(cid:675)ටස - (cid:636) ලංකා (cid:541)ජාතා(cid:486)(cid:437)ක සමාජවා(cid:463) ජනරජෙ(cid:591) අ(cid:431) (cid:618)ෙශෂ ගැස(cid:376) ප(cid:436)ය - 2026.02.10 1A
பகுதி III - இலங்ைகச் சனநாயக ேசாச(cid:8098)சக் கு(cid:8074)யரசு வர்த்தமானப் பத்திாிைக - அதி விேசஷமான(cid:8080) - 2026.02.10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22447755//0077 -- 22002266 ෙෙපපබබරරවවාා(cid:604)(cid:604) මමසස 1100 වවැැ(cid:487)(cid:487) අඅඟඟහහ(cid:606)(cid:606)වවාාදදාා -- 22002266..0022..1100
22447755//0077 ஆஆம்ம் இஇலலக்க்ககம்ம் -- 22002266 ஆஆம்ம் ஆஆண்ண்(cid:8076)(cid:8076) ெ ெபபப்ப்(cid:8087)(cid:8087)(cid:8094)(cid:8094)வவாாிி மமாாததம்ம் 1100 ஆஆந்ந் ததிிககதத ெெசசவ்வ்வவாாய்ய்க்க்ககிிழழைைமம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மற்(cid:8096)ம் அரச ெப(cid:8094)ந்ேதாட்டக் கூட்(cid:8076)த்தாபனம் உாிைம
ேகா(cid:8094)ம் மாஉஸ்ஸாவ ேதாட்டம் ேமற் பிாி(cid:8107); ெதற்கு:
5 ஆம் பிாிவின் ப(cid:8074)யான பிரகடனம் அரச ெப(cid:8094)ந்ேதாட்டக் கூட்(cid:8076)த்தாபனம் உாிைம ேகா(cid:8094)ம்
மாஉஸ்ஸாவ ேதாட்டம் ேமற் பிாி(cid:8107) மற்(cid:8096)ம் உாிைமயாளைரக்
கீழ்க்கா(cid:8078)ம் காணி ஒ(cid:8094) பகிரங்கத் ேதைவக்கு ேவண்(cid:8074)யதாய் கண்(cid:8076)பி(cid:8074)க்க (cid:8089)(cid:8074)யாத மாஉஸ்ஸாவ ேதாட்டம் ேமற்
இ(cid:8094)க்கின்றெதன்(cid:8096)ம் காணி எ(cid:8076)த்தற் சட்டத்தின் ஏற்பா(cid:8076)களின் பிாி(cid:8107); ேமற்கு: உாிைமயாளைரக் கண்(cid:8076) பி(cid:8074)க்க (cid:8089)(cid:8074)யாத
பிரகாரம் அ(cid:8080) எ(cid:8076)த்(cid:8080)க் ெகாள்ளப்ப(cid:8076)ெமன்(cid:8096)ம் காணி மாஉஸ்ஸாவ ேதாட்டம் ேமற் பிாி(cid:8107).
எ(cid:8076)த்தற் சட்டத்தின் 5 ஆம் பிாிவின் (1) ஆம் உபபிாிவின்
பிரகாரம் கமத்ெதாழில், கால்நைட வளங்கள், காணி மற்(cid:8096)ம் ேக.(cid:8074).லால் காந்த,
நீர்ப்பாசன அைமச்சர் குரகமேக ெதான் லால் காந்த ஆகிய கமத்ெதாழில், கால்நைட வளங்கள்,
நான், இத்தால் பிரகடனம் ெசய்கின்ேறன். காணி மற்(cid:8096)ம் நீர்ப்பாசன அைமச்சர்.
மத்திய மாகாணத்தில் கண்(cid:8074) மாவட்டத்தில் பன்வில என(cid:8080) இல. : 4-3/23/2023/FR/26.
பிரேதச ெசயலகத்தில் இலக்கம் 733, மஹபதன கிராம கமத்ெதாழில், கால்நைட வளங்கள்,
அதிகாரப் பிாிவில், மஹபதன கிராமத்தில் அைமந்(cid:8080)ள்ள, காணி மற்(cid:8096)ம் நீர்ப்பாசன அைமச்சு,
நில அளைவயாளர் நாயகத்தினால் 2024.12.31 ஆம் திகதி “மிஹிகத ெம(cid:8080)ர”,
தயாாிக்கப்பட்ட (cid:8089)தற்சுவட்(cid:8076) வைரபட இலக்கம் MAHA/ இல. 1200/6, இரஜமல்வத்த (cid:8106)தி,
PNW/2024/487 இல் விபரமாகக் காட்டப்பட்(cid:8076)ள்ள கீழ்க் பத்தர(cid:8089)ல்ல,
குறிப்பிடப்பட்(cid:8076)ள்ள ெபயர் மற்(cid:8096)ம் விஸ்தீரணத்ைதக் 2025, திெசம்பர் 19.
ெகாண்ட காணித்(cid:8080)ண்(cid:8074)ன் எல்ைலகள் :
0011.. (cid:8080)(cid:8080)ண்ண்(cid:8076)(cid:8076) “A” -- மமாாஉஉஸ்ஸ்ஸஸாாவவ ேேததாாட்ட்டடம்ம்,,ேேமமற்ற்பபிிாாிி(cid:8107)(cid:8107) --
EOG 02- 0075
வவிிஸ்ஸ்ததீீரரணணம்ம் :: 1100..55558899 ெெஹஹக்க்டடயயாார்ர்
வடக்கு: உாிைமயாளைரக் கண்(cid:8076)பி(cid:8074)க்க (cid:8089)(cid:8074)யாத
மாஉஸ்ஸாவ ேதாட்டம் ேமற்பிாி(cid:8107); கிழக்கு: பாைத
1A - G46267- 33 (2026/02)
இவ் அதிவி ேஷட வர்த்தமானிைய www.documents.gov.lk எ(cid:8084)ம் இைணயத்தளத்தி(cid:8098)(cid:8094)ந்(cid:8080) பதிவிறக்கம் ெசய்ய (cid:8089)(cid:8074)(cid:8092)ம்.
2A III ෙක(cid:675)ටස - (cid:636) ලංකා (cid:541)ජාතා(cid:486)(cid:437)ක සමාජවා(cid:463) ජනරජෙ(cid:591) අ(cid:431) (cid:618)ෙශෂ ගැස(cid:376) ප(cid:436)ය - 2026.02.10
பகுதி III - இலங்ைகச் சனநாயக ேசாச(cid:8098)சக் கு(cid:8074)யரசு வர்த்தமானப் பத்திாிைக - அதி விேசஷமான(cid:8080) - 2026.02.10
ககாாணணிி எஎ(cid:8076)(cid:8076)த்த்ததற்ற் சசட்ட்டடம்ம் ((அஅத்த்ததிியயாாயயம்ம் 446600)) 0011.. (cid:8080)(cid:8080)ண்ண்(cid:8076)(cid:8076) “A” -- பபிிடடாாாாிி ேேககாாயயிில்ல் வவைைளள(cid:8107)(cid:8107) -- வவிிஸ்ஸ்ததீீரரணணம்ம் ::
சுசுமமாார்ர் 00..11002299 ெெஹஹக்க்டடயயாார்ர்
5 ஆம் பிாிவின் ப(cid:8074)யான பிரகடனம் வடக்கு: பிடாாி ேகாயில் வைள(cid:8107); கிழக்கு: ேதசிய
நீா்வழங்கல் மற்(cid:8096)ம் வ(cid:8074)காலைமப்(cid:8087) சைப உாிைம ேகா(cid:8094)ம்
பிடாாி ேகாயில் வைள(cid:8107); ெதற்கு: கந்ைதயாவின் மைனவி
கீழ்க்கா(cid:8078)ம் காணி ஒ(cid:8094) பகிரங்கத் ேதைவக்கு ேவண்(cid:8074)யதாய்
கற்பகம், இன்(cid:8084)ம் சிலர் உாிைம ேகா(cid:8094)ம் பிடாாி ேகாயில்
இ(cid:8094)க்கின்றெதன்(cid:8096)ம் காணி எ(cid:8076)த்தற் சட்டத்தின் ஏற்பா(cid:8076)களின்
வைள(cid:8107); ேமற்கு: கந்ைதயாவின் மைனவி கற்பகம், இன்(cid:8084)ம்
பிரகாரம் அ(cid:8080) எ(cid:8076)த்(cid:8080)க் ெகாள்ளப்ப(cid:8076)ெமன்(cid:8096)ம் காணி
சிலர் உாிைம ேகா(cid:8094)ம் பிடாாி ேகாயில் வைள(cid:8107).
எ(cid:8076)த்தற் சட்டத்தின் 5 ஆம் பிாிவின் (1) ஆம் உபபிாிவின்
பிரகாரம் கமத்ெதாழில், கால்நைட வளங்கள், காணி மற்(cid:8096)ம் ேக.(cid:8074).லால் காந்த,
நீர்ப்பாசன அைமச்சர் குரகமேக ெதான் லால் காந்த ஆகிய கமத்ெதாழில், கால்நைட வளங்கள்,
நான், இத்தால் பிரகடனம் ெசய்கின்ேறன். காணி மற்(cid:8096)ம் நீர்ப்பாசன அைமச்சர்.
என(cid:8080) இல. : 4-3/18/2020/WS/118.
வடக்கு மாகாணம், யாழ்ப்பாணம் மாவட்டம், ெந(cid:8076)ந்தீ(cid:8107)
கமத்ெதாழில், கால்நைட வளங்கள்,
பிரேதச ெசயலாளர் பிாிவில் இல. J/05 கிராம அ(cid:8100)வலர்
காணி மற்(cid:8096)ம் நீர்ப்பாசன அைமச்சு,
பிாிவில் கிழக்கு கிராமத்தில் அைமந்(cid:8080)ள்ள நில அளைவயாளர் “மிஹிகத ெம(cid:8080)ர”,
நாயகத்தினால் 2021.05.19 ஆம் திகதி தயாாிக்கப்பட்ட 1200/6, இரஜமல்வத்த (cid:8106)தி,
YA/DLF/2020/236 ஆம் இலக்க (cid:8089)தற் சுவட்(cid:8076) வைரபடத்தில் பத்தர(cid:8089)ல்ல,
(cid:8080)ண்(cid:8076) 'A' எனக் காட்டப்பட்ட சுமார் 0.1029 ெஹக்டயார் 2025, திெசம்பர் 15.
விஸ்தீரண(cid:8089)ைடய கீழ் விபாிக்கப்பட்ட காணித் (cid:8080)ண்(cid:8074)ன்
EOG 02 - 0076
எல்ைலகள் :
இலங்ைக அரசாங்க அச்சுத் திைணக்களத்தில் அச்சிடப்பட்ட(cid:8080).</t>
  </si>
  <si>
    <t>60db9bc1-1649-4199-becb-a2a4e617bea7</t>
  </si>
  <si>
    <t>2475_08</t>
  </si>
  <si>
    <t>2475/08</t>
  </si>
  <si>
    <t>Land Acquisition Act (Chapter 460), Section 5/7 — Land Acquisition Notice (Gazette 2475/08)</t>
  </si>
  <si>
    <t>m1/raw/2475_08.pdf</t>
  </si>
  <si>
    <t>(cid:636) ලංකා (cid:541)ජාතා(cid:486)(cid:437)ක සමාජවා(cid:463) ජනරජෙ(cid:591) ගැස(cid:376) ප(cid:436)ය
අ(cid:431) (cid:618)ෙශෂ
இல(cid:8113)ைக(cid:8114) சனநாயக ேசாச(cid:8098)ச(cid:8112) (cid:8065)(cid:8074)யர(cid:8070) வ(cid:8125)(cid:8119)தமான(cid:8122) ப(cid:8119)திாிைக
அதி விேசஷமான(cid:8080)
අංක 2475/08 - 2026 ෙපබරවා(cid:604) මස 10 වැ(cid:487) අඟහ(cid:606)වාදා - 2026.02.10
2475/08 ஆ(cid:8123) இல(cid:8112)க(cid:8123) - 2026 ஆ(cid:8123) ஆ(cid:8118)(cid:8076) ெப(cid:8122)(cid:8087)(cid:8094)வாி மாத(cid:8123) 10 ஆ(cid:8120) திகதி ெச(cid:8130)வா(cid:8124)(cid:8112)கிழைம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பிாிவி(cid:8121) இல(cid:8112)க(cid:8123) 447, (cid:8065)(cid:8104)க(cid:8123)மன கிராம அ(cid:8100)வல(cid:8125)
பிாிவி(cid:8121) (cid:8065)(cid:8104)க(cid:8123)மன கிராம(cid:8119)தி(cid:8127) அைம(cid:8120)(cid:8080)(cid:8128)ள க(cid:8118)(cid:8074)
7 ஆ(cid:8123) பிாிவி(cid:8121) கீ(cid:8129) அறிவி(cid:8119)த(cid:8127) மாவ(cid:8117)ட சிேர(cid:8131)ட நில அளைவயாள(cid:8125) நாயக(cid:8119)தினா(cid:8127)
அள(cid:8120)(cid:8080) தயாாி(cid:8112)க(cid:8122)ப(cid:8117)ட இல(cid:8112)க(cid:8123) 320505 ெகா(cid:8118)ட
என(cid:8080) (cid:8065)றி(cid:8122)பில(cid:8112)க(cid:8123).: KDS/HAR/4/2/1/58. கட(cid:8119)திர(cid:8127) வைரபட(cid:8119)தி(cid:8127) பிாி(cid:8107) இல(cid:8112)க(cid:8123) 07 இ(cid:8127)
கம(cid:8119)ெதாழி(cid:8127), கா(cid:8127)நைட வள(cid:8113)க(cid:8128), காணி ம(cid:8126)(cid:8096)(cid:8123) ப(cid:8119)திர இல(cid:8112)க(cid:8123) 2 இ(cid:8127) இ.வி.ேல. 1 இ(cid:8127) (cid:8080)(cid:8118)(cid:8076)
நீ(cid:8125)(cid:8122)பாசன அைம(cid:8114)சி(cid:8121) (cid:8065)றி(cid:8122)பில(cid:8112)க(cid:8123).: 4-3/18/2022/ இல(cid:8112)க(cid:8123) 1 என(cid:8112) காண(cid:8122)ப(cid:8076)கி(cid:8121)ற கீ(cid:8129) விபாி(cid:8112)க(cid:8122)
WS/56. ப(cid:8117)(cid:8076)(cid:8128)ள காணி(cid:8119)(cid:8080)(cid:8118)(cid:8074)(cid:8121) விபர(cid:8113)க(cid:8128) பி(cid:8121)வ(cid:8094)மா(cid:8096):
க(cid:8118)(cid:8074) வட(cid:8112)(cid:8065) - பாத(cid:8080)(cid:8123)பர ஒ(cid:8121)றிைண(cid:8120)த நீ(cid:8125)
01. (cid:8080)(cid:8118)(cid:8076) இல. 1 - காணியி(cid:8121) ெபய(cid:8125):
விநிேயாக தி(cid:8117)ட(cid:8119)தி(cid:8121) கீழான (cid:8065)(cid:8104)க(cid:8123)மன ப(cid:8123)(cid:8122) அைற
ப(cid:8121)ச(cid:8127)வ(cid:8119)த எ(cid:8121)றைழ(cid:8112)க(cid:8122)ப(cid:8076)(cid:8123) ப(cid:8121)ச(cid:8127) அர(cid:8123)ப,
நி(cid:8125)மாணி(cid:8122)பத(cid:8126)கான ேமலதிக காணி(cid:8119) (cid:8080)(cid:8118)ெடா(cid:8121)
வலகடவ(cid:8119)த (cid:8065)(cid:8123)(cid:8087)ர, கஜுகஹெகா(cid:8076)வ, வலகடவ(cid:8119)த
றிைன எ(cid:8076)(cid:8119)(cid:8080)(cid:8112)ெகா(cid:8128)ள அரசா(cid:8117)சியா(cid:8125) எ(cid:8118)ணி
அர(cid:8123)ப ம(cid:8126)(cid:8096)(cid:8123) பி(cid:8098)(cid:8116)சகஹெகா(cid:8076)வ; உாிைம
யி(cid:8094)(cid:8112)கிறா(cid:8125)க(cid:8128) எ(cid:8121)பைத 1964 ஆ(cid:8123) ஆ(cid:8118)(cid:8074)(cid:8121) 28
ேகா(cid:8094)பவ(cid:8125): அர(cid:8070); ஆர(cid:8123)ப உாிைம ேகா(cid:8094)பவ(cid:8125):
ஆ(cid:8123) இல(cid:8112)க காணி எ(cid:8076)(cid:8119)த(cid:8127) தி(cid:8094)(cid:8119)த(cid:8114) ச(cid:8117)ட(cid:8122)ப(cid:8074)
(cid:8065)(cid:8104)க(cid:8123)மன விகாைர விகாராதிபதி வண(cid:8112)க(cid:8119)தி(cid:8126)(cid:8065)ாிய
தி(cid:8094)(cid:8119)த(cid:8122)ப(cid:8117)டவாறான காணி எ(cid:8076)(cid:8119)த(cid:8126) ச(cid:8117)ட(cid:8119)தி(cid:8121)
எகிாிேய ச(cid:8119)தான(cid:8120)த ஹிமி ம(cid:8126)(cid:8096)(cid:8123) ெகா(cid:8104)(cid:8123)(cid:8087) ெபா(cid:8080)
(அ(cid:8119)தியாய(cid:8123) 460) 7 ஆ(cid:8123) பிாிவி(cid:8121) (1) ஆ(cid:8123) உ(cid:8117)
ந(cid:8123)பி(cid:8112)ைக(cid:8122) ெபா(cid:8096)(cid:8122)பாள(cid:8125) திைண(cid:8112)கள(cid:8119)தி(cid:8121) ெபா(cid:8080)
பிாிவி(cid:8121) கீ(cid:8129), நா(cid:8121) இ(cid:8119)தா(cid:8127) அறிவி(cid:8112)கி(cid:8121)ேற(cid:8121).
ந(cid:8123)பி(cid:8112)ைக(cid:8122) ெபா(cid:8096)(cid:8122)பாள(cid:8125); வி(cid:8132)தீரண(cid:8123): 0.0072
எ(cid:8076)(cid:8119)(cid:8080)(cid:8112) ெகா(cid:8128)ளவி(cid:8094)(cid:8112)(cid:8065)(cid:8123) காணியி(cid:8121) விபர(cid:8123): ெஹ(cid:8112)டயா(cid:8125)
வட(cid:8112)(cid:8065): (cid:8080)(cid:8118)(cid:8076) இல. 2 ம(cid:8126)(cid:8096)(cid:8123) ப(cid:8119)திர(cid:8123) 1 இ(cid:8127)
க(cid:8118)(cid:8074) மாவ(cid:8117)ட(cid:8119)தி(cid:8121) ஹாாி(cid:8132)ப(cid:8119)(cid:8080)வ பிரேதச (cid:8080)(cid:8118)(cid:8076) இல(cid:8112)க(cid:8123) 1; கிழ(cid:8112)(cid:8065): ப(cid:8119)திர(cid:8123) 1 இ(cid:8127) (cid:8080)(cid:8118)(cid:8076)
ெசயலாள(cid:8125) பிாிவி(cid:8121), (cid:8065)(cid:8104)க(cid:8123)மன சியப(cid:8119)(cid:8080) சி(cid:8096) இல(cid:8112)க(cid:8123) 1 ம(cid:8126)(cid:8096)(cid:8123) 3; ெத(cid:8126)(cid:8065): ப(cid:8119)திர(cid:8123) 1 இ(cid:8127) (cid:8080)(cid:8118)(cid:8076)
1A - G 46268 — 31 (2026/02)
இ(cid:8130) அதிவிேசட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- 2026.02.10
ப(cid:8065)தி III - இல(cid:8113)ைக(cid:8114) சனநாயக ேசாச(cid:8098)ச(cid:8112) (cid:8065)(cid:8074)யர(cid:8070) வ(cid:8125)(cid:8119)தமான(cid:8122) ப(cid:8119)திாிைக - அதி விேசஷமான(cid:8080) - 2026.02.10
இல(cid:8112)க(cid:8123) 3 ம(cid:8126)(cid:8096)(cid:8123) இ(cid:8130)வைரபட(cid:8119)தி(cid:8127) (cid:8080)(cid:8118)(cid:8076) 01. (cid:8080)(cid:8118)(cid:8076) இல. 513
இல(cid:8112)க(cid:8123) 2; ேம(cid:8126)(cid:8065): (cid:8080)(cid:8118)(cid:8076) இல. 2. காணியி(cid:8121) ெபய(cid:8125): ெட(cid:8127)கஹவ(cid:8119)ைத; விபர(cid:8123):
ேதா(cid:8117)ட(cid:8123), நிர(cid:8120)தர(cid:8112) க(cid:8117)(cid:8074)ட(cid:8119)தி(cid:8121) ப(cid:8065)தி, சீெம(cid:8120)தா(cid:8127)
ேம(cid:8126)(cid:8065)றி(cid:8119)த காணி(cid:8112)(cid:8065) உாி(cid:8119)(cid:8080)(cid:8122) ேப(cid:8070)கி(cid:8121)ற சகல(cid:8094)(cid:8123) க(cid:8117)ட(cid:8122)ப(cid:8117)ட கிண(cid:8096) ம(cid:8126)(cid:8096)(cid:8123) மலசல(cid:8066)ட(cid:8123) எ(cid:8121)பன
தாமாக அ(cid:8127)ல(cid:8080) (cid:8089)ைற(cid:8122)ப(cid:8074) எ(cid:8104)(cid:8119)(cid:8080) (cid:8090)ல(cid:8123) அதிகார காண(cid:8122)ப(cid:8076)கி(cid:8121)றன; உாிைம ேகா(cid:8094)பவ(cid:8125): அர(cid:8070);
மளி(cid:8112)க(cid:8122)ப(cid:8117)ட காாிய(cid:8112)கார(cid:8125) (cid:8090)லமாக 2026 ஆ(cid:8123) ஆர(cid:8123)ப உாிைம ேகா(cid:8094)பவ(cid:8125): (cid:8093). (cid:8086). சி. ஜயந(cid:8120)தன,
ஆ(cid:8118)(cid:8076) மா(cid:8114)(cid:8070) மாத(cid:8123) 23 ஆ(cid:8120) திகதி (cid:8089).ப. 10.00 இல. 47, க(cid:8118)(cid:8074) (cid:8106)தி, நி(cid:8117)ட(cid:8123)(cid:8087)வ. (காணி எ(cid:8076)(cid:8119)த(cid:8127)
மணி(cid:8112)(cid:8065) ஹாாி(cid:8132)ப(cid:8119)(cid:8080)வ பிரேதச ெசயலக(cid:8119)தி(cid:8127) எ(cid:8121) (cid:8089)(cid:8074)வைட(cid:8120)(cid:8080)(cid:8128)ள(cid:8080)); வி(cid:8132)தீரண(cid:8123): 0.0313 ெஹ(cid:8112)ட
(cid:8089)(cid:8121)பாக ெவளி(cid:8122)ப(cid:8076)(cid:8119)(cid:8080)(cid:8123)ப(cid:8074)(cid:8092)(cid:8123) ேம(cid:8100)(cid:8123), அ(cid:8112)காணி யா(cid:8125).
யி(cid:8127) அவ(cid:8125)க(cid:8102)(cid:8112)(cid:8065)(cid:8128)ள உட(cid:8120)ைதகளி(cid:8121) த(cid:8121)ைம
ைய(cid:8092)(cid:8123) (cid:8065)றி(cid:8119)த காணிைய எ(cid:8076)(cid:8119)த(cid:8126)கான ந(cid:8117)டஈ(cid:8076) 02. (cid:8080)(cid:8118)(cid:8076) இல. 514
ப(cid:8126)றிய அவ(cid:8125)களி(cid:8121) ேகாாி(cid:8112)ைககளி(cid:8121) விபர(cid:8113) காணியி(cid:8121) ெபய(cid:8125): ெட(cid:8127)கஹவ(cid:8119)ைத; விபர(cid:8123):
கைள(cid:8092)(cid:8123) ந(cid:8117)ட ஈ(cid:8117)(cid:8076)(cid:8119) ெதாைகைய(cid:8092)(cid:8123) அ(cid:8119) ெதாைக ேதா(cid:8117)ட(cid:8123), நிர(cid:8120)தர(cid:8112) க(cid:8117)(cid:8074)ட(cid:8119)தி(cid:8121) ப(cid:8065)தி காண(cid:8122)ப(cid:8076)
கணி(cid:8112)க(cid:8122)ப(cid:8117)ட வித(cid:8119)ைத(cid:8092)(cid:8123) 2026 ஆ(cid:8123) ஆ(cid:8118)(cid:8076) மா(cid:8114)(cid:8070) கி(cid:8121)ற(cid:8080); உாிைம ேகா(cid:8094)பவ(cid:8125): அர(cid:8070); ஆர(cid:8123)ப உாிைம
16 ஆ(cid:8120) திகதி(cid:8112)(cid:8065) (cid:8089)(cid:8121)ன(cid:8125) எ(cid:8104)(cid:8119)தி(cid:8127) இ(cid:8094)பிரதிகளாக ேகா(cid:8094)பவ(cid:8125): (cid:8093). (cid:8086). சி. ஜயந(cid:8120)தன, இல. 47, க(cid:8118)(cid:8074)
என(cid:8112)(cid:8065) அறிவி(cid:8112)(cid:8065)(cid:8123)ப(cid:8074)(cid:8092)(cid:8123) இ(cid:8119)தா(cid:8127) ேக(cid:8117)(cid:8076)(cid:8112) (cid:8106)தி, நி(cid:8117)ட(cid:8123)(cid:8087)வ. (ஆர(cid:8123)ப வைரபட(cid:8119)தி(cid:8127) (cid:8080)(cid:8118)(cid:8076)
ெகா(cid:8128)ள(cid:8122)ப(cid:8076)கி(cid:8121)றன(cid:8125). இல(cid:8112)க(cid:8113)க(cid:8128) பாவி(cid:8119)(cid:8080) (cid:8089)(cid:8074)(cid:8120)(cid:8080)(cid:8128)ள(cid:8080)); வி(cid:8132)தீரண(cid:8123):
0.1855 ெஹ(cid:8112)ட யா(cid:8125).
ெமாஹா(cid:8121) த(cid:8125)மதாஸ,
பிரேதச ெசயலாள(cid:8125), எ(cid:8132). (cid:8086). (cid:8065)ணவ(cid:8125)(cid:8119)தன,
ஹாாி(cid:8132)ப(cid:8119)(cid:8080)வ. பிரேதச ெசயலாள(cid:8125),
அ(cid:8119)தனகைல.
பிரேதச ெசயலக(cid:8123),
ஹாாி(cid:8132)ப(cid:8119)(cid:8080)வ, பிரேதச ெசயலக(cid:8123),
(cid:8082)கெவல, அ(cid:8119)தனகைல.
2026, சனவாி 30. 2026, சனவாி 30.
EOG 02 - 0077 EOG 02 - 0078
தி(cid:8094)(cid:8119)த(cid:8123) தி(cid:8094)(cid:8119)த(cid:8123)
காணி எ(cid:8076)(cid:8119)த(cid:8126) ச(cid:8117)ட(cid:8123) (அ(cid:8119)தியாய(cid:8123) 460) காணி எ(cid:8076)(cid:8119)த(cid:8126) ச(cid:8117)ட(cid:8123) (அ(cid:8119)தியாய(cid:8123) 460)
7 ஆ(cid:8123) பிாிவி(cid:8121) கீ(cid:8129) அறிவி(cid:8119)த(cid:8127) 7 ஆ(cid:8123) பிாிவி(cid:8121) கீ(cid:8129) அறிவி(cid:8119)த(cid:8127)
என(cid:8080) இல.: 3/2/3/10/276. காணி எ(cid:8076)(cid:8119)த(cid:8126) ச(cid:8117)ட(cid:8119)தி(cid:8121) (அ(cid:8119)தியாய(cid:8123) 460) 7 ஆ(cid:8123)
காணி அைம(cid:8114)சி(cid:8121) (cid:8065)றி(cid:8122)(cid:8087) இல.: 4-3/7/2019/ பிாிவி(cid:8121) கீ(cid:8129) அறிவி(cid:8122)பி(cid:8121) 3A ப(cid:8112)க(cid:8119)தி(cid:8127) ம(cid:8126)(cid:8096)(cid:8123)
எ(cid:8114)டபி(cid:8128)(cid:8093)/186. 2022.04.08 ஆ(cid:8120) திகதிய(cid:8121)(cid:8096) ெவளியிட(cid:8122)ப(cid:8117)ட
இல(cid:8113)ைக(cid:8114) சனநாயக ேசாச(cid:8098)ச(cid:8112) (cid:8065)(cid:8074)யரசி(cid:8121)
காணி எ(cid:8076)(cid:8119)த(cid:8126) ச(cid:8117)ட(cid:8119)தி(cid:8121) (அ(cid:8119)தியாய(cid:8123) 460) 7 ஆ(cid:8123)
அதிவிேசட வ(cid:8125)(cid:8119)தமானி இல(cid:8112)க(cid:8123) 2274/28 இ(cid:8100)(cid:8123),
பிாிவி(cid:8121) கீ(cid:8129) இல(cid:8113)ைக(cid:8114) சனநாயக ேசாச(cid:8098)ச(cid:8112)
2022, ெச(cid:8119)ெத(cid:8123)ப(cid:8125) மாத(cid:8123) 15 ஆ(cid:8120) திகதிய(cid:8121)(cid:8096)
(cid:8065)(cid:8074)யரசி(cid:8121) 17.11.2021 ஆ(cid:8120) திகதிய 2254/27 ஆ(cid:8123)
ெவளியிட(cid:8122)ப(cid:8117)ட தினமின, ெட(cid:8124)(cid:8098) நி(cid:8093)(cid:8132) ம(cid:8126)(cid:8096)(cid:8123)
இல(cid:8112)க அதிவிேசஷ வ(cid:8125)(cid:8119)தமானி ப(cid:8112)க(cid:8123) 15ஏ இ(cid:8127)
தினகர(cid:8121) ெச(cid:8124)தி(cid:8119)தா(cid:8128)களி(cid:8100)(cid:8123) ெவளியிட(cid:8122)ப(cid:8117)ட
பிர(cid:8070)ாி(cid:8112)க(cid:8122)ப(cid:8117)ட அறிவி(cid:8119)த(cid:8098)(cid:8127) நி(cid:8117)ட(cid:8123)(cid:8087)வ - ப(cid:8132)யால
அறிவி(cid:8122)பி(cid:8121) ப(cid:8074) 142 - கிாிெம(cid:8117)(cid:8074)யாவ கிராம
(cid:8106)தி(cid:8119) தி(cid:8117)ட(cid:8119)தி(cid:8121) கீ(cid:8129) காணி எ(cid:8076)(cid:8112)க(cid:8122)ப(cid:8076)கி(cid:8121)ற(cid:8080).
அ(cid:8100)வல(cid:8125) பிாிவி(cid:8126)(cid:8065)(cid:8117)ப(cid:8117)ட தல(cid:8113)ேகதர கிராம(cid:8119)தி(cid:8127)
கட(cid:8119)திர(cid:8127) வைரபட இல. 510607, வலய இல. 01,
அைம(cid:8120)(cid:8080)(cid:8128)ள இ(cid:8096)தி கிராம வைரபட இல(cid:8112)க(cid:8123) 3691
தா(cid:8128) இல. 16 இ(cid:8127) (cid:8080)(cid:8118)(cid:8076) இல(cid:8112)க(cid:8113)க(cid:8128) 513 ம(cid:8126)(cid:8096)(cid:8123)
இ(cid:8121) இைண(cid:8122)(cid:8087) இல(cid:8112)க(cid:8123) 02, தா(cid:8128) இல(cid:8112)க(cid:8123) 02 இ(cid:8127)
514 பி(cid:8121)வ(cid:8094)மா(cid:8096) தி(cid:8094)(cid:8119)த(cid:8123) ெச(cid:8124)ய(cid:8122)ப(cid:8076)கி(cid:8121)ற(cid:8080) என
கா(cid:8117)ட(cid:8122)ப(cid:8117)(cid:8076)(cid:8128)ள 0.6943 ெஹ(cid:8112)டயா(cid:8125) வி(cid:8132)தீரண(cid:8123)
இ(cid:8119)தா(cid:8127) அறிவி(cid:8112)கி(cid:8121)ேற(cid:8121).
ெகா(cid:8118)ட "ெகா(cid:8113)கஹ(cid:8089)ைலயாய" என அைழ(cid:8112)க(cid:8122)
III ෙක(cid:675)ටස - (cid:636) ලංකා (cid:541)ජාතා(cid:486)(cid:437)ක සමාජවා(cid:463) ජනරජෙ(cid:591) අ(cid:431) (cid:618)ෙශෂ ගැස(cid:376) ප(cid:436)ය - 2026.02.10 3A
ப(cid:8065)தி III - இல(cid:8113)ைக(cid:8114) சனநாயக ேசாச(cid:8098)ச(cid:8112) (cid:8065)(cid:8074)யர(cid:8070) வ(cid:8125)(cid:8119)தமான(cid:8122) ப(cid:8119)திாிைக - அதி விேசஷமான(cid:8080) - 2026.02.10
ப(cid:8076)(cid:8123) காணி(cid:8119)(cid:8080)(cid:8118)(cid:8076) இல(cid:8112)க(cid:8123) 173, வைரபட(cid:8119)ைத அைழ(cid:8112)க(cid:8122)ப(cid:8076)(cid:8123) காணி (cid:8080)(cid:8118)(cid:8076) இல(cid:8112)க(cid:8123) 850,
(cid:8088)(cid:8125)(cid:8119)தி ெச(cid:8124)வத(cid:8126)காக ேச(cid:8125)(cid:8112)க(cid:8122)ப(cid:8117)(cid:8074)(cid:8094)(cid:8120)த ேபாதி(cid:8100)(cid:8123), பிாி(cid:8112)க(cid:8122)ப(cid:8117)ட காணி ப(cid:8065)தியாக இ(cid:8094)(cid:8122)பதா(cid:8127) (cid:8065)றி(cid:8119)த
(cid:8065)றி(cid:8119)த காணி வடேம(cid:8126)(cid:8065) மாகாண பிரதான காணி வடேம(cid:8126)(cid:8065) மாகாண பிரதான கா(cid:8127)வா(cid:8124)(cid:8112)காக
கா(cid:8127)வா(cid:8124)(cid:8112)காக ைகயக(cid:8122)ப(cid:8076)(cid:8119)த(cid:8122)படமா(cid:8117)டா(cid:8080) என ைகயக(cid:8122)ப(cid:8076)(cid:8119)த(cid:8122)படமா(cid:8117)டா(cid:8080) என இத(cid:8121) (cid:8090)ல(cid:8123)
இத(cid:8121) (cid:8090)ல(cid:8123) அறிவி(cid:8112)க(cid:8122)ப(cid:8076)கிற(cid:8080). ேம(cid:8100)(cid:8123) அறிவி(cid:8112)க(cid:8122)ப(cid:8076)கிற(cid:8080).
ேம(cid:8100)(cid:8123), ேம(cid:8126)(cid:8065)றி(cid:8119)த வ(cid:8125)(cid:8119)தமானியி(cid:8121) 6A ஆ(cid:8123) பி. எ(cid:8123). ந(cid:8080)(cid:8121) ஆ(cid:8125). ச(cid:8123)ப(cid:8119),
ப(cid:8112)க(cid:8119)தி(cid:8100)(cid:8123) ெச(cid:8124)தி(cid:8119)தா(cid:8128) அறிவி(cid:8122)(cid:8087)களி(cid:8100)(cid:8123) (cid:8065)றி(cid:8122) பிரேதச ெசயலாள(cid:8125),
பிட(cid:8122)ப(cid:8117)(cid:8076)(cid:8128)ளப(cid:8074) 142 - கிாிெம(cid:8117)(cid:8074)யாவ கிராம மஹவ.
அ(cid:8100)வல(cid:8125) பிாிவி(cid:8126)(cid:8065)(cid:8117)ப(cid:8117)ட கிாிெம(cid:8117)(cid:8074)யாவ கிராம(cid:8119)
பிரேதச ெசயலக(cid:8123),
தி(cid:8127) அைம(cid:8120)(cid:8080)(cid:8128)ள கிராம வைரபட இல(cid:8112)க(cid:8123) 3683
மஹவ.
இ(cid:8121) இைண(cid:8122)(cid:8087) இல(cid:8112)க(cid:8123) 25, தா(cid:8128) இல(cid:8112)க(cid:8123) 25 இ(cid:8127)
2026, ெப(cid:8122)(cid:8087)(cid:8094)வாி 02.
கா(cid:8117)ட(cid:8122)ப(cid:8117)(cid:8076)(cid:8128)ள 0.0476 ெஹ(cid:8112)டயா(cid:8125) வி(cid:8132)தீரண(cid:8123)
ெகா(cid:8118)ட "உணகஹயாய/ ேபாகஹ(cid:8089)லேஹன" என EOG 02 - 0079
இல(cid:8113)ைக அரசா(cid:8113)க அ(cid:8114)(cid:8070)(cid:8119) திைண(cid:8112)கள(cid:8119)தி(cid:8127) அ(cid:8114)சிட(cid:8122)ப(cid:8117)ட(cid:8080).</t>
  </si>
  <si>
    <t>3d9c9c16-2281-4260-9ac8-d0537f71ddad</t>
  </si>
  <si>
    <t>2475_09</t>
  </si>
  <si>
    <t>2475/09</t>
  </si>
  <si>
    <t>1979 Act No. 40, Section 27 — Notice (Gazette 2475/09)</t>
  </si>
  <si>
    <t>1979 අංක 40 දරන පනත, 27 වැනි වගන්තිය යටතේ දැන්වීම</t>
  </si>
  <si>
    <t>1979 ஆம் ஆண்டின் 40 ஆம் இலக்க சட்டம், 27 ஆம் பிரிவின் கீழ் அறிவித்தல்</t>
  </si>
  <si>
    <t>Notice issued under Section 27 of Act No. 40 of 1979 (Sri Lanka Ports Authority Act). Part I — General. Dated 10 February 2026.</t>
  </si>
  <si>
    <t>m1/raw/2475_09.pdf</t>
  </si>
  <si>
    <t>Y%S ,xld m%cd;dka;%sl iudcjd§ ckrcfha .eiÜ m;%h
w;s úfYI
,yq;ifr; rdehaf Nrhryprf; FbauR th;j;jkhdg; gj;jphpif
mjp tpNr\khdJ
wxl 2475$09 - 2026 fmnrjdß ui 10 jeks wÕyrejdod - 2026'02'10
2475/ 09 Mk; ,yf;fk; - 2026 Mk; Mz;L ngg;GUtup khjk; 10 Me; jpfjp nrt;tha;f;fpoik
(murhq;fj;jpd; mjpfhuj;Jld; gpuRupf;fg;gl;lJ)
gFjp I : njhFjp (I) - nghJ
murhq;f mwptpj;jy;fs;
11997788 ஆஆம்ம் ஆஆண்ண்டிடின்ன் 1166 ஆஆம்ம் இஇலலக்க்கக,, பபல்ல்ககலைலைலலக்க்ககழழககங்ங்ககள்ள் சசட்ட்டடம்ம்
25அ என்னும் பிரிிவிின் கீழரின கட்டலைை
1978 ஆம் ஆண்டின் 16 ஆம் இலக்க, பல்கலைலக்கழகங்கள் சட்டத்திின் 25அ என்னும் பிரிிவிினரில் எனக்குரிித்திரிக்கப்பட்ட
தித்துவிங்கைின் பயலைனக்ககரிண்டு, கல்விி, உயர் கல்விி மற்றும் கதிரிழிற்கல்விி அலைமச்சர் கலரிநிிதிி ஹரிிணிி அமரசூரிிய ஆகிய நிரின்,
2007 ஆம் ஆண்டின் 7 ஆம் இலக்க, கம்கபனிகள் சட்டத்திின்கீழ் இலங்லைகயில் கூட்டிலைணிக்கப்பட்ட கம்கபனிகயரின்றாரிகவுள்ைதும்,
PV 3052 ஆம் பதிிவிிலக்கத்லைதிக் ககரிண்டதும் இல. 388, யூனியன் இடம், ககரிழும்பு 02 மற்றும் இல. 85, பிறறாபுரூக் இடம்,
ககரிழும்பு 02 இல் அலைமந்துள்ைதுமரின "ஆசியரி பசுபிக் இன்ஸ்டிடியூட் ஒப் இன்றபரிறமஷன் கடக்றனரிகலரிஜிி (பிலைறாறவிட்)
லிமிட்கடட்" கதிரிடர்பில், றமற்கூறாப்பட்ட சட்டத்திின் 70இ என்னும் பிரிிவிின் கீழரின அறாிக்லைககயரின்லைறாப் கபற்றுக்ககரிண்டு,
இக்கட்டலைை மூலமும் இதிற்கரின அட்டவிலைணி I இல் குறாித்துலைரக்கப்பட்ட நிிபந்திலைனகளுக்கலைமயவும், இதிற்கரின அட்டவிலைணி
II இன் நிிரல் I இல் குறாித்துலைரக்கப்பட்டதும் அதின் சுருக்கீடு இதிற்கரின அட்டவிலைணி II இன் நிிரல் II இலுள்ை றநிகரரித்தி பதிிவிில்
திரப்பட்டுள்ைதுமரின பட்டத்லைதி அைிப்பதிற்கு இட்டுச் கசல்கின்றாதிரிக "ஆசியரி பசுபிக் இன்ஸ்டிடியூட் ஒப் இன்றபரிறமஷன்
கடக்றனரிகலரிஜிி (பிலைறாறவிட்) லிமிட்கடட்டின்" இலைன உயர்கல்விிலைய அபிவிிருத்திி கசய்யும் றநிரிக்கத்துக்கரிக அதிலைனப் பட்டம்
அைிக்கின்றா நிிறுவினகமரின்றாரிக ஏற்றாங்கீகரிிக்கின்றறான்.
அஅட்ட்டடவிவிலைலைணிணி II
நிிபந்தன�கள்
1. (இதினகத்துப் பின்னர் "நிிறுவினம்" எனக் குறாிப்பீடு கசய்யப்படும்) ஆசியரி பசுபிக் இன்ஸ்டிடியூட் ஒப் இன்றபரிறமஷன்
கடக்றனரிகலரிஜிி (பிலைறாறவிட்) லிமிட்கடட் ஆனது, குலைறாந்திபட்சம் 120 திிறாலைம மதிிப்பீடுகளுடன், லைசபர் பரிதுகரிப்பில்
விிஞ்ஞாரின இைமரிணிி சிறாப்பு (இலங்லைக திலைகலைம கட்டலைமப்பு மட்டம் 06) மற்றும் கமன்கபரிருள் கபரிறாியியலில்
விிஞ்ஞாரின இைமரிணிி சிறாப்பு (இலங்லைக திலைகலைம கட்டலைமப்பு மட்டம் 06) கதிரிடர்பில் இதிற்கரின அட்டவிலைணி II இல்
குறாித்துலைரக்கப்பட்ட பட்ட நிிகழ்ச்சித்திிட்டத்துக்கு மரிணிவிர்கலைைச் றசர்த்துக் ககரிள்ளும் றபரிது, பின்விரும் குலைறாந்திபட்ச
நுலைழவுத் திலைகலைமக்கு அலைமந்கதிரிழுகுதில் றவிண்டும்;
1A - PG 7518 — 283 (2026/02)
,t; mjptpNrl tu;j;jkhdpia www.documents.gov.lk vDk; ,izaj;jsj;jpypUe;J gjptpwf;fk; nra;a KbAk;.
2A I fldgi ( ^I&amp; fPoh - YS% ,xld m%cd;dka;s%l iudcjd§ ckrcfha w;s úfYI .eiÜ m;%h - 2026'02'10
gFjp I : njhFjp (I) - ,yq;ifr; rdehaf Nrhryprf; FbauR tu;j;jkhdg; gj;;jpupif - mjp tpNr\khdJ - 2026.02.10
(அ) இலங்லைகப் பரிீட்லைசகள் திிலைணிக்கைத்திினரில் நிடரித்திப்படும் க.கபரி.தி. (உயர் திரத்திில்) கபௌதிீக விிஞ்ஞாரின
பரிடத்துலைறாயில் அல்லது கபரிறாியியல் கதிரிழினுட்ப பரிடத்துலைறாயில் ஒறர மற்றும் அறதி அமர்விில் மூன்று (03)
சரிதிரிரணி சித்திி (S) அல்லது அதிற்குச் சமமரின திலைகலைமகள்; அல்லது
(ஆ) இலங்லைகப் பரிீட்லைசகள் திிலைணிக்கைத்திினரில் நிடரித்திப்படும் க.கபரி.தி. (உயர் திரத்திில்) ஏறதினும் பரிடத்துலைறாயில்
ஒறர மற்றும் அறதி அமர்விில் குலைறாந்திபட்சம் மூன்று (3) சரிதிரிரணி சித்திிகள் (S) அல்லது அதிற்குச் சமமரின திலைகலைமகள்
மற்றும் இலங்லைக பரிீட்லைசகள் திிலைணிக்கைத்திினரில் நிடரித்திப்படும் க.கபரி.தி. (உயர் திரத்திில்) ஏறதினும் அமர்விில்
திகவில் மற்றும் கதிரிடர்பரிடல் கதிரிழினுட்பத்திில் சரிதிரிரணி சித்திி (S) அல்லது அதிற்குச் சமமரின திலைகலைமகள்
அத்துடன் இலங்லைக பரிீட்லைசகள் திிலைணிக்கைத்திினரில் நிடரித்திப்படும் க.கபரி.தி. (சரிதிரிரணி திரத்திில்) கணிிதிப்
பரிடத்திில் திிறாலைமச் சித்திி (C) அல்லது அதிற்குச் சமமரின திலைகலைமகள்; அல்லது
(இ) இலங்லைகப் பரிீட்லைசகள் திிலைணிக்கைத்திினரில் நிடரித்திப்படும் க.கபரி.தி. (உயர் திரத்திில்) ஏறதினும் பரிடத்துலைறாயில்
ஒறர மற்றும் அறதி அமர்விில் குலைறாந்திபட்சம் மூன்று (3) சரிதிரிரணி சித்திிகள் (S) அல்லது அதிற்குச் சமமரின
திலைகலைமகள் அத்துடன் இலங்லைகப் பரிீட்லைசகள் திிலைணிக்கைத்திினரில் நிடரித்திப்படும் க.கபரி.தி. (சரிதிரிரணி திரத்திில்)
கணிிதிப் பரிடத்திில் திிறாலைமச் சித்திி (C) அல்லது குறாித்துலைரக்கப்பட்ட அதிிகரிர சலைபயினரில் அங்கீகரிிக்கப்பட்ட
இலைணிப்பு நிிகழ்ச்சித் திிட்டகமரின்றுடன் அதிற்குச் சமமரின திலைகலைமகள்.
2. இந்நிிறுவினமரினது இதிற்கரின அட்டவிலைணி II இல் குறாித்துலைரக்கப்பட்ட நிிகழ்ச்சித்திிட்டத்திிலைன இல. 388, யூனியன்
இடம், ககரிழும்பு 02 மற்றும் இல. 85, பிறறாபுரூக் இடம், ககரிழும்பு 02 இல் மரித்திிரறம நிடரித்துதில் றவிண்டும்.
3. ஆசியரி பசுபிக் இன்ஸ்டிடியூட் ஒப் இன்றபரிறமஷன் கடக்றனரிகலரிஜிி (ப ிலைறாறவிட்) லிமிட்கடட் ஆனது,
குறாித்துலைரக்கப்பட்ட அதிிகரிரிியினரில் நிடரித்திப்படும் ஐந்து (5) ஆண்டு மீைரிய்வுக்கு அலைமய இதிற்கரின அட்டவிலைணி II
இல் குறாித்துலைரக்கப்பட்ட பட்டத்லைதி விழங்குவிதிற்கு ஏற்றாங்கீகரிிக்கப்படுதில் றவிண்டும்.
அஅட்ட்டடவிவிலைலைணிணி IIII
நிிரல் I நிிரல் II
பட்டம் பட்டத்துக்கரின சுருக்கீடு
லைசபர் பரிதுகரிப்பில் விிஞ்ஞாரின இைமரிணிி சிறாப்பு பீஎஸ்சீ சிறாப்பு (லைசபர் பரிதுகரிப்பு)
கமன்கபரிருள் கபரிறாியியலில் விிஞ்ஞாரின இைமரிணிி பீஎஸ்சீ சிறாப்பு (கமன்கபரிருள்
சிறாப்பு கபரிறாியியல்)
கலரிநிிதிி ஹஹரிரிிிணிணிிி அஅமமரரசூசூரிரிிியய,,
கல்விி, உயர் கல்விி மற்றும் கதிரிழிற்கல்விி
அலைமச்சர்.
ககரிழும்பு,
2026, சனவிரிி 27.
EOG 02 - 0080
,yq;if murhq;f mr;Rj; jpizf;fsj;jpw; gjpg;gpf;fg;ngw;wJ.</t>
  </si>
  <si>
    <t>6ad4c450-e236-4982-806c-eb2e983c3a12</t>
  </si>
  <si>
    <t>2475_10</t>
  </si>
  <si>
    <t>2475/10</t>
  </si>
  <si>
    <t>Public Performances Ordinance (1978 Act No. 16), Section 27(1) — Notice (Gazette 2475/10)</t>
  </si>
  <si>
    <t>1978 අංක 16 දරන රාජ්‍ය ප්‍රසංග ආඥාපනත, 27(1) වගන්තිය යටතේ දැන්වීම</t>
  </si>
  <si>
    <t>1978 ஆம் ஆண்டின் 16 ஆம் இலக்க பொது நிகழ்ச்சிக் கட்டளைச் சட்டம், 27(1) ஆம் பிரிவின் கீழ் அறிவித்தல்</t>
  </si>
  <si>
    <t>Notice issued under Section 27(1) of the Public Performances Ordinance Act No. 16 of 1978. References Gazettes 1/13 etc. Part I — General. Dated 10 February 2026.</t>
  </si>
  <si>
    <t>Public Performances Act, No. 16 of 1978</t>
  </si>
  <si>
    <t>m1/raw/2475_10.pdf</t>
  </si>
  <si>
    <t>I fldgi ( ^I&amp; fPoh - YS% ,xld m%cd;dka;s%l iudcjd§ ckrcfha w;s úfYI .eiÜ m;%h - - 2026. 02.10 1
gFjp I : njhFjp (I) - ,yq;ifr; rdehaf Nrhryprf; FbauR tu;j;jkhdg; gj;;jpupif - mjp tpNr\khdJ - 2026.02.10
ශ්‍රී ලංකා ප්‍රජාතාන්ත්්‍රික සමාජවාදී ජනරජයේ ගැසට් පත්‍රය
w;s úfYI
இஇலலங்ங்்க்ககைகைச்ச் சசனனநநாாயயகைகை சசசசாாசசலிலிசசக்க் குகுடிடியயரரசுசு வவர்ர்்த்்த்்த்தமமாானனப்ப் பப்த்்த்்த்ததிதிாாதிதி்க்ககைகை
அஅ்த்ததிதி வவதிதிசசசசஷஷமமாானனதுது
wxl 2475$10 - 2026 fmnrjdß ui 10 jeks wÕyrejdod - 2026'02'10
2475/ 10 Mk; ,yf;fk; - 2026 Mk; Mz;L ngg;GUtup khjk; 10 Me; jpfjp nrt;tha;f;fpoik
(அரசாங்கை்த்்ததின் அ்ததிகைார்த்துடன் பதிரசுாதிக்கைப்பட்டது)
பபகுகு்த்ததிதி II :: தத்த்தாாகுகு்த்ததிதி ((II)) -- ததபபாாதுது
அஅரரசசாாங்ங்கைகை அஅறறதிதிவவதிதி்த்்த்்த்தல்ல்கைகைள்ள்
11997788 ஆஆம்ம் ஆஆண்ண்டிடின்ன் 1166 ஆஆம்ம் இஇலலக்க்கைகை,, பபல்ல்கைகை்க்கலலக்க்கைகைழழகைகைங்ங்கைகைள்ள் சசட்ட்டடம்ம்
2255அஅ எஎன்ன்னுனும்ம் பபதிதிாாதிதிவுவுடடன்ன் சசசசாா�்த்�்த்துது வவாாசசதிதிக்க்கைகைப்ப்பபடுடும்ம் 2277 ((11)) ((ஆஆ)) எஎன்ன்னுனும்ம் பபதிதிாாதிதிவவதிதின்ன் கைகைீீழழாானன கைகைட்ட்டட்க்கைை
1978 ஆம் ஆண்டின் 16 ஆம் இலக்கை, பல்கை்கலக்கைழகைங்கைள் சட்ட்த்்ததின் 25அ என்னும் பதிாதிவுடன் சசா�்த்து வாசதிக்கைப்படும்
27(1) (ஆ) என்னும் பதிாதிவதினால் எனக்குாதி்த்்தாக்கைப்பட்ட ்த்த்துவங்கைைதின் பய்கனக் தகைாண்டு, கைல்வதி, உயா� கைல்வதி மற்றும்
த்தாழதிற்கைல்வதி அ்கமச்சா� கைலாநதி்ததி ஹாிாதிணிதி அமரசூாிாதிய ஆகைதிய நான், 2007 ஆம் ஆண்டின் 7 ஆம் இலக்கை, கைம்பனதிகைள்
சட்ட்த்்ததின் கைீழ் இலங்்ககையதில் கூட்டி்கணிக்கைப்பட்ட கைம்பனதிதயான்றாகைவுள்ைதும், பட்ட்த்்க்த அைதிக்கைதின்ற நதிறுவகைதமான்றாகை
ஏற்றங்கைீகைாதிக்கைப்பட்ட PV 109910 ஆம் ப்ததிவதிலக்கை்த்்க்தக் தகைாண்டதும் இல. 278, ்கஹாிதலவல் வீ்ததி, மஹாிரகைம மற்றும் ச்த்்தார
பதில்டிஹாிங், 1/1/3, மஹாிசமகைவ்த்்க்த வீ்ததி, மஹாிரகைம இல் அ்கமந்துள்ைதுமான லங்கைா நதிசபான் பதிஸ்தடக் இன்ஸ்டிடியுட்
(பதி்கறசவட்) லிமதிதடட் த்தாடர்பதில், சமற்கூறப்பட்ட சட்ட்த்்ததின் 70இ என்னும் பதிாதிவதின் கைீழான அறதிக்்ககைதயான்்கறப்
தபற்றுக்தகைாண்டு, தசால்லப்பட்ட சட்ட்த்்ததின் கைீழ் ஆக்கைப்பட்டதும், 2022, யூன் 27 ஆந் ்ததிகை்ததிய 2286/08 ஆம் இலக்கை
அ்ததிவதிசசட வர்்த்்தமானதியதில் தவிதியதிடப்பட்டதுமான கைட்ட்கைக்கைான II ஆம் அட்டவ்கணி்கய அ்தற்கைான நதிரல் I இல்
கைாணிப்படும் “தமன்தபாருள் மற்றும் இைங்கை்கல வதிஞ்ஞாானமானதி (தகைிரவப்பட்டம்)” என்னும் ப்ததி்கவயும் நதிரல் II இலுள்ை
அ்தன் சநரதரா்த்்த ப்ததி்கவயும் உடனடு்த்து, அ்தற்கைான அட்டவ்கணி I இல் குறதி்த்து்கரக்கைப்பட்ட நதிபந்்த்கனகைளுக்கை்கமவாகை
1 - PG 7519 - 283 (2026/02)
,t; mjptpNrl tu;j;jkhdpia www.documents.gov.lk vDk; ,izaj;jsj;jpypUe;J gjptpwf;fk; nra;a KbAk;.
2 I fldgi ( ^I&amp; fPoh - YS% ,xld m%cd;dka;s%l iudcjd§ ckrcfha w;s úfYI .eiÜ m;%h - - 2026. 02.10
gFjp I : njhFjp (I) - ,yq;ifr; rdehaf Nrhryprf; FbauR tu;j;jkhdg; gj;;jpupif - mjp tpNr\khdJ - 2026.02.10
இ்தற்கைான அட்டவ்கணி II இன் மு்கறசய நதிரல் I இன் கைீழும் நதிரல் II இன் கைீழும் குறதி்த்து்கரக்கைப்பட்ட ப்ததிவுகை்கைச் சசர்ப்ப்தன்
மூலம் இக்கைட்ட்கையதினால் ்ததிரு்த்துகைதின்சறன்.
அஅட்ட்டடவவ்க்கணிணி II
நதிபந்்த்கனகைள்
1. லங்கைா நதிசபான் பதிஸ்தடக் இன்ஸ்டிடியுட் (பதி்கறசவட்) லிமதிதடட் ஆனது, ்தகைவல் த்தாழதினுட்ப்த்்ததில் இைமாணிதி
(இலங்்ககை ்த்ககை்கம கைடட்கமப்பு மட்டம் 5) த்தாடர்பதில் இ்தற்கைான அட்டவ்கணி II இல் குறதி்த்து்கரக்கைப்பட்ட பட்ட
நதிகைழ்ச்சதி்த்்ததிட்ட்த்துக்கு மாணிவர்கை்கை சசர்்த்துக்தகைாள்ளும் சபாது, பதின்வரும் கு்கறந்்தபட்ச நு்கழவு்த் ்த்ககை்கமகைளுக்கு
அ்கமந்த்தாழுகு்தல் சவண்டும் ;-
(i) இலங்்ககை பாீட்்கசகைள் ்ததி்கணிக்கைை்த்்ததினால் நடா்த்்தப்படும் கை.தபா.்த. (உயர்்தர்த்்ததில்) ஏச்தனும் பாட்த்து்கறயதில்
ஒசர மற்றும் அச்த அமர்வதில் கு்கறந்்தபட்சம் மூன்று (03) சா்தாரணி சதி்த்்ததிகைள் (S) அல்லது அ்தற்குச் சமமான
்த்ககை்கமகைள்; அல்லது
2. லங்கைா நதிசபான் பதிஸ்தடக் இன்ஸ்டிடியுட் (பதி்கறசவட்) லிமதிதடட் ஆனது, குறதி்த்து்கரக்கைப்பட்ட அ்ததிகைாாதியதினால்
நடா்த்்தப்படும் ஐந்து (5) ஆண்டு மீள் மீைாய்வுக்கு அ்கமய இ்தற்கைான அட்டவ்கணி II இல் குறதி்த்து்கரக்கைப்பட்ட
பட்ட்த்்க்த வழங்குவ்தற்கு ஏற்றங்கைீகைாதிக்கைப்படு்தல் சவண்டும்.
அஅட்ட்டடவவ்க்கணிணி IIII
நதிரல் I நதிரல் II
பட்டம் பட்ட்த்துக்கைான சுருக்கைீடு
்தகைவல் த்தாழதினுட்ப்த்்ததில் இைமாணிதி (பீஐறீ)
கைலாநதி்ததி ஹாிஹாிாாதிதிணிணிதிதி அஅமமரரசூாிசூாிாாதிதியய,,
கைல்வதி, உயா� கைல்வதி மற்றும்
த்தாழதிற்கைல்வதி அ்கமச்சா�.
தகைாழும்பு,
2026, சனவாதி 26.
EOG 02 - 0081
இலங்்ககை அரசாங்கை அச்சு்த் ்ததி்கணிக்கைை்த்்ததில் ப்ததிப்பதிக்கைப்தபற்றது</t>
  </si>
  <si>
    <t>5a2a341b-b9e7-441f-93ce-573a624d0f53</t>
  </si>
  <si>
    <t>2475_11</t>
  </si>
  <si>
    <t>2475/11</t>
  </si>
  <si>
    <t>Sri Lanka Ports Authority Act No. 40 of 1979, Section 2(7) — Notice (Gazette 2475/11)</t>
  </si>
  <si>
    <t>m1/raw/2475_11.pdf</t>
  </si>
  <si>
    <t>Y%S ,xld m%cd;dka;%sl iudcjd§ ckrcfha .eiÜ m;%h
w;s úfYI
,yq;ifr; rdehaf Nrhryprf; FbauR th;j;jkhdg; gj;jphpif
mjp tpNr\khdJ
wxl 2475$11 - 2026 fmnrjdß ui 10 jeks wÕyrejdod - 2026'02'10
2475/ 11 Mk; ,yf;fk; - 2026 Mk; Mz;L ngg;GUtup khjk; 10 Me; jpfjp nrt;tha;f;fpoik
(murhq;fj;jpd; mjpfhuj;Jld; gpuRupf;fg;gl;lJ)
gFjp I : njhFjp (I) - nghJ
murhq;f mwptpj;jy;fs;
ப ப��ொொதுதுமமக்க்ககள்ள் ��ொொதுதுககொொப்ப்புபுக்க் ககட்ட்டடளைளைைைச்ச் சசட்ட்டடம்ம் ((4400 ஆஆம்ம் அஅத்த்திதிிியாயாொொயாயாம்ம்))
2(7) ஆம் �ிொிவிின் கீழாொன அறிிவிித்தில்
(40 ஆம் அத்திியாொயாமொன) ப�ொதுமக்கள் �ொதுகொப்புக் கட்டளைைச் சட்டத்திின் 2 ஆம் �ிொிவிின் கீழ், பகௌரவி சனொதிி�திி அவிர்கைொல்
மமற்குறிிப்�ிட்ட கட்டளைைச் சட்டத்திின் II ஆம் �குதிியாின் ஏற்�ொடுகளைை 2026, சனவிொி மொதிம் 28 ஆம் திிகதிியாிலிருந்து இலங்ளைக
முழுவிதும் நளைடமுளைறிப்�டுத்திிச் பசய்யாப்�ட்ட �ிரகடனம், 2026 ப�ப்புருவிொி மொதிம் 06 ஆம் திிகதிி �ொரொளுமன்றிப் �ிமரரளை�
ஆமமொதிித்திலினொல் அங்கீகொிக்கப்�ட்டபதின்�து இத்திொல் அறிிவிிக்கப்�டுகின்றிது.
கலொநிதிி. எஎன்ன்.. எஎஸ்ஸ்.. குகுமமொொநநொொயாயாக்க்கக,
சனொதிி�திியாின் பசயாலொைர்.
பகொழும்பு,
2026, ப�ப்புருவிொி 09.
EOG 02 - 0083
1A - G 46270 — 04 (2026/02) ,yq;if murhq;f mr;Rj; jpizf;fsj;jpw; gjpg;gpf;fg;ngw;wJ.
,t; mjptpNrl tu;j;jkhdpia www.documents.gov.lk vDk; ,izaj;jsj;jpypUe;J gjptpwf;fk; nra;a KbAk;.</t>
  </si>
  <si>
    <t>b9bbfa2a-517a-4d28-8ce9-91334771e128</t>
  </si>
  <si>
    <t>2475_12</t>
  </si>
  <si>
    <t>2475/12</t>
  </si>
  <si>
    <t>Title Registration Act, No. 21 of 1998, Section 14 — Commissioner of Title Settlement's decision under Section 14 (Gazette 2475/12)</t>
  </si>
  <si>
    <t>m1/raw/2475_12.pdf</t>
  </si>
  <si>
    <t>0c8908d0-191b-4186-bd30-9ac4240f543b</t>
  </si>
  <si>
    <t>2475_13</t>
  </si>
  <si>
    <t>2475/13</t>
  </si>
  <si>
    <t>Title Registration Act, No. 21 of 1998, Section 14 — Commissioner of Title Settlement's decision under Section 14 (Gazette 2475/13)</t>
  </si>
  <si>
    <t>m1/raw/2475_13.pdf</t>
  </si>
  <si>
    <t>c8f35450-8826-4cc3-bedc-f2d434f0d206</t>
  </si>
  <si>
    <t>2475_14</t>
  </si>
  <si>
    <t>2475/14</t>
  </si>
  <si>
    <t>Title Registration Act, No. 21 of 1998, Section 14 — Commissioner of Title Settlement's decision under Section 14 (Gazette 2475/14)</t>
  </si>
  <si>
    <t>m1/raw/2475_14.pdf</t>
  </si>
  <si>
    <t>6e6e3bc5-fd83-4caf-a61a-35f3a7ef442b</t>
  </si>
  <si>
    <t>2475_15</t>
  </si>
  <si>
    <t>2475/15</t>
  </si>
  <si>
    <t>Title Registration Act, No. 21 of 1998, Section 14 — Commissioner of Title Settlement's decision under Section 14 (Gazette 2475/15)</t>
  </si>
  <si>
    <t>m1/raw/2475_15.pdf</t>
  </si>
  <si>
    <t>dd71db03-6e7c-4c92-a705-b98375a11865</t>
  </si>
  <si>
    <t>2475_16</t>
  </si>
  <si>
    <t>2475/16</t>
  </si>
  <si>
    <t>General Government Notification — Section 41(1) (Gazette 2475/16)</t>
  </si>
  <si>
    <t>රජයේ දැන්වීම — 41(1) වගන්තිය</t>
  </si>
  <si>
    <t>அரசாங்க அறிவித்தல் — 41(1) ஆம் பிரிவு</t>
  </si>
  <si>
    <t>Notice under Section 41(1) with deadline 5 February 2028 for claims/objections. Reference PS/CFest/00/1/10/1. Part I — General.</t>
  </si>
  <si>
    <t>deadline_change</t>
  </si>
  <si>
    <t>m1/raw/2475_16.pdf</t>
  </si>
  <si>
    <t>Y%S ,xld m%cd;dka;%sl iudcjd§ ckrcfha .eiÜ m;%h
w;s úfYI
,yq;ifr; rdehaf Nrhryprf; FbauR tu;j;jkhdg; gj;jpupif
mjp tpNr\khdJ
wxl 2475$16 - 2026 fmnrjdß ui 11 jeks nodod - 2026'02'11
2475/ 16 Mk; ,yf;fk; - 2026 Mk; Mz;L ngg;GUtup khjk; 11 Me; jpfjp Gjd;fpoik
(murhq;fj;jpd; mjpfhuj;Jld; gpuRupf;fg;gl;lJ)
gFjp I : njhFjp (I) - nghJ
rdhjpgjpapd; epakdq;fSk; gpwTk;
2026 இன் இல. 98/1
சனாா.அலு.இலக்கம் : பிிஎஸ்/சீஎஸ்ஏ/00/1/10/1
ககௌரவ சனாாதிிபிதிியவர்களாால் இலங்கைகச் சனாநாாயக சசாசலிசக் குடியரசு அரசியலகைைப்பிின் 153(1) ஆம் உறுப்புகைரயுடன்
சசர்த்து வாசிக்கப்பிட சவண்டிய 41இ(1) ஆம் உறுப்புகைரயின் பிிரகாரம், 2026.02.05 ஆம் திிகதிியிலிருந்து நாகைடமுகைைக்கு
வரத்திக்கதிாக திிருைதிி எல். சமுதிிகா இசராஷனாீ ஜயரத்னா அவர்கள் கணக்காய்வாளார் திகைலகைை அதிிபிதிியாக நாியைனாம்
கசய்யப்பிட்டுள்ளாாகரனா இத்திால் அைிவிக்கப்பிடுகின்ைது.
ககௌரவ சனாாதிிபிதிியவர்களாின் ஆகைணப்பிடி,
கலாநாிதிி எஎன்ன்.. எஎஸ்ஸ்.. குகுைைாாநாநாாாயயக்க்கக,
சனாாதிிபிதிியின் கசயலாளார்.
சனாாதிிபிதிி அலுவலகம்,
ககாழும்பு 01,
2026, கபிப்புருவாி 10.
EOG 02-0096
,yq;if murhq;f mr;Rj; jpizf;fsj;jpw; gjpg;gpf;fg;ngw;wJ.
1A - G 46280 — 354 (2026/02)
,t; mjptpNrl tu;j;jkhdpia www.documents.gov.lk vDk; ,izaj;jsj;jpypUe;J gjptpwf;fk; nra;a KbAk;.</t>
  </si>
  <si>
    <t>02aa16a8-3f81-4846-a461-ccbafd80692f</t>
  </si>
  <si>
    <t>2475_17</t>
  </si>
  <si>
    <t>2475/17</t>
  </si>
  <si>
    <t>Title Registration Act, No. 21 of 1998, Section 14 — Commissioner of Title Settlement's decision under Section 14 (Gazette 2475/17)</t>
  </si>
  <si>
    <t>m1/raw/2475_17.pdf</t>
  </si>
  <si>
    <t>fb868d06-9bbb-4291-868c-f2e4c19fc31e</t>
  </si>
  <si>
    <t>2475_18</t>
  </si>
  <si>
    <t>2475/18</t>
  </si>
  <si>
    <t>Title Registration Act, No. 21 of 1998, Section 14 — Commissioner of Title Settlement decision (Gazette 2475/18)</t>
  </si>
  <si>
    <t>Commissioner of Title Settlement's decision under Section 14 of the Title Registration Act No. 21 of 1998. Part III — Lands. Decision references Gazettes 2322 etc.; covers cadastral plots 1:18, 165, 166, 167; signed by B.D.D. Mihela, Commissioner of Title Settlement, 27 February 2025.</t>
  </si>
  <si>
    <t>m1/raw/2475_18.pdf</t>
  </si>
  <si>
    <t>ශී ලංකා පජාතාන්තික සමාජවාදී ජනරජෙය් ගැසට් පතය
අති විෙශෂ
අංක 2475/18 - 2026 ෙපබරවාරි මස 11 වැනි බදාදා - 2026.02.11
(රජෙය් බලයපිට පසිද්ධ කරන ලදී)
III වැනි ෙකොටස - ඉඩම්
හිමිකම් ලියාපදිංචි කිරීම
1998 අංක 21 දරන හිමිකම් ලියාපදිංචි කිරීෙම් පනත
14 වැනි වගන්තිය යටෙත් හිමිකම් නිරවුල් කිරීෙම් ෙකොමසාරිස්ෙග් තීරණ පකාශය
දකුණු පළාෙත්, ගාල්ල දිස්තික්කෙය්, ෙනළුව පාෙද්ශීය ෙල්කම් ෙකොට්ඨාසෙය්, අංක 232එෆ් - ඉහල ෙල්ල්වල ගාම නිලධාරි ෙකොට්ඨාසය තුළ
ෙල්ල්වල නමැති ගෙම් පිහිටියා වූ ද අංක 810673 දරන කැඩැස්තර සිතියෙම් කලාප අංක 2 හි කැබලි අංක 1:18, 1:65, 1:66, 1:67 දරන ඉඩම්
ෙකොටස් ෙලස ෙපන්නුම් ෙකොට ඇත්තා වූ ද, හිමිකම් පෑම් ඉදිරිපත් කරන ෙලස දැනුම් ෙදමින් 1998 අංක 21 දරන හිමිකම් ලියාපදිංචි කිරීෙම්
පනෙත් 12 වැනි වගන්තිය පකාර 2024-07-01 වැනි දින අංක 2391/08 දරන ගැසට් පතෙය් යථා පරිදි පළකරන ලද අංක 81/0348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ෙනොවැම්බර් මස 27 වැනි දින,
බත්තරමුල්ල,
රජමල්වත්ත පාර,
"මිහිකත මැදුර", අංක 1200/6,
ඉඩම් හිමිකම් නිරවුල් කිරීෙම් ෙදපාර්තෙම්න්තුෙව් දී ය.
1A - G 46274 - 03 (2026/02)
සැ.යු.- ෙමම අති විෙශෂ ගැසට් පතය www.documents.gov.lk ෙවබ් අඩවිෙයන් බාගත කළ හැක.
2 A III ෙකොටස : ශී ලංකා පජාතාන්තික සමාජවාදී ජනරජෙය් අති විෙශෂ ගැසට් පතය - 2026.02.11
උපෙල්ඛනය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(ෙහක්ටයාර්)
1:18 0.0552 රජය _ සම්පූර්ණ පථම පන්තිය _ _
1:65 0.0893 රජය _ සම්පූර්ණ පථම පන්තිය _ _
1:66 0.0194 රජය _ සම්පූර්ණ පථම පන්තිය _ _
1:67 0.0758 රජය _ සම්පූර්ණ පථම පන්තිය _ _
EOG 02 - 0090
ශී ලංකා රජෙය් මුදණ ෙදපාර්තෙම්න්තුෙව් මුදණය කරන ලදී.</t>
  </si>
  <si>
    <t>5dd5b933-f345-41b0-a1a6-d5c7bc3f2991</t>
  </si>
  <si>
    <t>2475_19</t>
  </si>
  <si>
    <t>2475/19</t>
  </si>
  <si>
    <t>Title Registration Act, No. 21 of 1998, Section 14 — Commissioner of Title Settlement decision (Gazette 2475/19)</t>
  </si>
  <si>
    <t>m1/raw/2475_19.pdf</t>
  </si>
  <si>
    <t>III �ක ස�ටස - ශ්‍රී ��ක ස� ‍රා���්ත්‍රික ස සම�ා�� ජ ාජයා�� ි ව ශෙ��ග ��ස ප ්‍ර� - 2026.02.11 1 A
பகுத� III - இலங்�கச் சனந�யக �ச�சலிசக் குடியரசு வர்த்தம�னப் பத்த����க - அத� வ��சஷம�னது - 2026.02.11
ශ්‍රී ��ක� ප්‍රජ���්ත්‍රික ස��ජ��දී ජනරජ�� ��සට් පත්‍රය
இலங்�கச் சனந�யக �ச�சலிசக் குடியரசு வர்த்தம�னப் பத்த����க
ි ව ශෙ��ග அத� வ��சஷம�னது
ි�ක ස 2475/19 - 2026 �්බය��රි මස 11 ��නි බ���� - 2026.02.11
2475/19 ஆம் இலக்கம் - 2026 ஆம் ஆண்டு �பப்புருவ�� ம�தம் 11 ஆந் த�கத� புதன்க�ழ�ம
(அரச�ங்கத்த�ன் அத�க�ரத்துடன் ப�ரசு��க்கப்பட்டது)
பகுத� III - க�ண�கள்
உ��த்துப் பத�வு �சய்தல்
1998 ஆம் ஆண்டின் 21 ஆம் இலக்க உ��த்துப் பத�வுச் சட்டம்
14 ஆம் ப���வ�ன் க�ழ் உ��த்து ந�ர்ணய ஆ�ணய�ள��ன் த�ர்ம�னத்�த �வள�ப்படுத்தல்
1998 ஆம் ஆண்டின் 21 ஆம் இலக்க உ��த்துப் பத�வுச் சட்டத்த�ன் 14 ஆம் ப���வ�ன் க�ழ் எனக்கு��த்த�க்கப்பட்டுள்ள தத்துவங்கள�ன்
பய�னக்�க�ண்டு, க��ழ ஒப்பம�ட்டுள்ள ந�ன், 1998 ஆம் ஆண்டின் 21 ஆம் இலக்க உ��த்துப் பத�வுச் சட்டத்த�ன் 12 ஆம் ப���வ�ன்
ந�யத�கள�ன்படி 2024.06.15 ஆந் த�கத�ய, 2388/36 ஆம் இலக்க வர்த்தம�ன�ய�ல் உ��ய மு�றய�ல் �வள�ய�டப்பட்டதும், க�ண�க்க�ன
உ���மக் �க���க்�கக�ளக் �க�ருக�ன்றதும�ன 61/0259 ஆம் இலக்க அற�வ�த்தலில் குற�ப்பீடு �சய்யப்பட்ட சப்ப�ரகமுவ ம�க�ணத்த�ல்,
�கக��ல ம�வட்டத்த�ல், ருவன்�வல்ல ப�ர�தச �சயல�ளர் ப���வ�ல், இல. 105 ஏ - ருவன்�வல்ல க�ர�ம அலுவலர் ப���வ�னுள் கரவ்�தன�ய
க�ர�மத்த�ல் அ�மந்துள்ளதும் 610442 ஆம் இலக்க கடத்த�ரல் அள�வ வ�ரபடத்த�ல் ப���வு இல. 1 இல் அடங்க�யுள்ளதும�ன 1:32 ஆம்
இலக்க க�ண�த்துண்டுகளுக்க�ன உ��த்து �த�டர்ப�க இத�ன�டு இ�ணக்கப்பட்ட அட்டவ�ணய�ல் தரப்பட்டுள்ளவ�ற�ன எனது
த�ர்ம�னத்�த இத்த�ல் �வள�ப்படுத்துக�ன்�றன்.
பீ.ச�.டீ. ச��கர�,
க�ண� உ��த்து ந�ர்ணய ஆ�ணய�ளர் ந�யகம்.
க�ண� உ��த்து ந�ர்ணயத் த��ணக்களம்,
இல. 1200/6, “ம�ஹ�கத �மதுர”,
இரஜமல்வத்த வீத�,
பத்தரமுல்�ல,
2025 ஆம் ஆண்டு ந�வம்பர் ம�தம் 26 ஆம் த�கத�.
1A - G 46275 - 03 (2026/02)
மு. கு. - இவ் அத�வ��ஷட வர்த்தம�ன��ய www.documents.gov.lk எனும் இ�ணயத்தளத்த�லிருந்து பத�வ�றக்கம் �சய்ய முடியும்.
2 A III �ක ස�ටස - ශ්‍රී ��ක ස� ‍රා���්ත්‍රික ස සම�ා�� ජ ාජයා�� ි ව ශෙ��ග ��ස ප ්‍ර� - 2026.02.11
பகுத� III - இலங்�கச் சனந�யக �ச�சலிசக் குடியரசு வர்த்தம�னப் பத்த����க - அத� வ��சஷம�னது - 2026.02.11
அட்டவ�ண
க�ண� வ��சட
வழக்க�ற்கு அல்லது
த�ள் வ�ஸ்த�ரணம் �ச�ந்தக்க�ரர்/ �ச�ந்தக் �தச�ய உ��த்துக்கு��ய உ��த்த�னது உட்பட்ட தன�ய�ருக்
மற்றும் க�ரர்கள�ன் முழுப் �பயர்களும் அ�டய�ள இடத்த�ன் வகுப்பும் ஈடு, குத் கு��ய சட்டங்
க�ண�த் (�ஹக்டய�ர்) முகவ��யும் அட்�ட வ�ஸ்த�ரணம் இயல்பும் த�க களுள் எவ்
துண்டின் இல. தடுப்புக் வ�கக்கும்
இல. கட்ட�ள அ�மந்த�ருப்
பற்ற�ய ப�ன் வ�பரங்
வ�பரங்கள் கள்
1:32 0.0210 1.�ம�ஹமட் மஹருப் ச�த்த� ஹலீம� 666693507V முழுவதும் 1வது வகுப்பு - -
2. �ம�ஹமட் �பருஸ் �ம�ஹமட் 199105902823 சம
ப���க் உ��த்து
3.�ம�ஹமட் �பருஸ் �ம�ஹமட் 952140981V
��ய�ஸ்
4.�ம�ஹமட் �பருஸ் �ம�ஹமட் 199202703483
��க�ஸ்
260/28பீ, அங்குரு�வல்ல,
ருவன்�வல்ல.
EOG 02 - 0091
இலங்�க அரச�ங்க அச்சுத் த��ணக்களத்த�ல் பத�ப்ப�க்கப்�பற்றது.</t>
  </si>
  <si>
    <t>ff0a649f-ef8e-44cb-aabb-fbb352fc4964</t>
  </si>
  <si>
    <t>2475_20</t>
  </si>
  <si>
    <t>2475/20</t>
  </si>
  <si>
    <t>Title Registration Act, No. 21 of 1998, Section 14 — Commissioner of Title Settlement's decision under Section 14 (Gazette 2475/20)</t>
  </si>
  <si>
    <t>m1/raw/2475_20.pdf</t>
  </si>
  <si>
    <t>fa8a1648-94b9-47ac-a24c-03ce7666b7e5</t>
  </si>
  <si>
    <t>2475_21</t>
  </si>
  <si>
    <t>2475/21</t>
  </si>
  <si>
    <t>Title Registration Act, No. 21 of 1998, Section 14 — Commissioner of Title Settlement's decision under Section 14 (Gazette 2475/21)</t>
  </si>
  <si>
    <t>m1/raw/2475_21.pdf</t>
  </si>
  <si>
    <t>551dcde1-98c7-4047-bdc9-8182be27fa89</t>
  </si>
  <si>
    <t>2475_22</t>
  </si>
  <si>
    <t>2475/22</t>
  </si>
  <si>
    <t>Title Registration Act, No. 21 of 1998, Section 14 — Commissioner of Title Settlement's decision under Section 14 (Gazette 2475/22)</t>
  </si>
  <si>
    <t>m1/raw/2475_22.pdf</t>
  </si>
  <si>
    <t>d8a372a9-52e8-44d7-ac28-3c3b1d14a79e</t>
  </si>
  <si>
    <t>2475_23</t>
  </si>
  <si>
    <t>2475/23</t>
  </si>
  <si>
    <t>Title Registration Act, No. 21 of 1998, Section 14 — Commissioner of Title Settlement's decision under Section 14 (Gazette 2475/23)</t>
  </si>
  <si>
    <t>m1/raw/2475_23.pdf</t>
  </si>
  <si>
    <t>33e2f6ef-fc77-45c9-93ad-b01bd162a4c7</t>
  </si>
  <si>
    <t>2475_24</t>
  </si>
  <si>
    <t>2475/24</t>
  </si>
  <si>
    <t>General Notification under Lands authority (Gazette 2475/24)</t>
  </si>
  <si>
    <t>ඉඩම් අධිකාරිය යටතේ දැන්වීම</t>
  </si>
  <si>
    <t>காணி அதிகார சபையின் கீழ் அறிவித்தல்</t>
  </si>
  <si>
    <t>Land/Lands related general notification published in Part III. Part III — Lands.</t>
  </si>
  <si>
    <t>m1/raw/2475_24.pdf</t>
  </si>
  <si>
    <t>(cid:636) ලංකා (cid:541)ජාතා(cid:486)(cid:437)ක සමාජවා(cid:463) ජනරජෙ(cid:591) ගැස(cid:376) ප(cid:436)ය
අ(cid:431) (cid:618)ෙශෂ
இல(cid:8113)ைக(cid:8114) சனநாயக ேசாச(cid:8098)ச(cid:8112) (cid:8065)(cid:8074)யர(cid:8070) வ(cid:8125)(cid:8119)தமான(cid:8122) ப(cid:8119)திாிைக
அதி விேசஷமான(cid:8080)
අංක 2475/24 - 2026 ෙපබරවා(cid:604) මස 11 වැ(cid:487) බදාදා - 2026.02.11
2475/24 ஆ(cid:8123) இல(cid:8112)க(cid:8123) - 2026 ஆ(cid:8123) ஆ(cid:8118)(cid:8076) ெப(cid:8122)(cid:8087)(cid:8094)வாி மாத(cid:8123) 11 ஆ(cid:8120) திகதி (cid:8087)த(cid:8121)கிழைம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இல(cid:8112)க (cid:8106)ர(cid:8123)(cid:8087)ெகதர கிராம அ(cid:8100)வல(cid:8125) பிாிவி(cid:8127)
நாவாேஹேனெகதர கிராம(cid:8119)தி(cid:8127) நில அளைவயாள(cid:8125)
7 ஆ(cid:8123) பிாிவி(cid:8121) கீ(cid:8129) அறிவி(cid:8119)த(cid:8127)
நாயக(cid:8119)தி(cid:8126)(cid:8065)(cid:8122) பதிலாக (cid:8065)(cid:8094)நாக(cid:8127) மாவ(cid:8117)ட சிேர(cid:8131)ட
நில அளைவயாள(cid:8125) நாயக(cid:8123) அவ(cid:8125)களா(cid:8127) தயா(cid:8125)
என(cid:8080) (cid:8065)றி(cid:8122)(cid:8087) இல(cid:8112)க(cid:8123): DIVE/LND/ACQUI/5/10.
ப(cid:8076)(cid:8119)த(cid:8122)ப(cid:8117)ட 2025.12.09 ஆ(cid:8120) திகதிய 420267 ஆ(cid:8123)
காணி அைம(cid:8114)சி(cid:8121) (cid:8065)றி(cid:8122)(cid:8087) இல(cid:8112)க(cid:8123).: 4-3/11/2022/
இல(cid:8112)க ஆர(cid:8123)ப வைரபட(cid:8119)தி(cid:8127) 9.8454 ெஹ(cid:8112)டயா(cid:8125)
CEB/72.
வி(cid:8132)தீரண(cid:8119)ைத(cid:8092)ைடய கீ(cid:8129) விபாி(cid:8112)க(cid:8122)ப(cid:8117)(cid:8076)(cid:8128)ள
ஒ(cid:8094) பகிர(cid:8113)க(cid:8119) ேதைவ(cid:8112)(cid:8065) (எாிச(cid:8112)தி (cid:8089)ைறைமயிைன காணி(cid:8119)(cid:8080)(cid:8118)(cid:8074)(cid:8121) விபர(cid:8113)க(cid:8128) பி(cid:8121)வ(cid:8094)மா(cid:8096):
ந(cid:8123)பக(cid:8119) த(cid:8121)ைமைய ேம(cid:8123)ப(cid:8076)(cid:8119)த(cid:8127) தி(cid:8117)ட(cid:8119)தி(cid:8121) கீ(cid:8129)
ெகா.ேவா.220/132 வஹ(cid:8096) (cid:8080)ைண மி(cid:8121) நிைலய 01. (cid:8080)(cid:8118)(cid:8076) இல. 1 - காணியி(cid:8121) ெபய(cid:8125):
ெமா(cid:8121)ைற நி(cid:8125)மாணி(cid:8122)பத(cid:8126)காக காணி எ(cid:8076)(cid:8119)த(cid:8127)) ப(cid:8123)ேபவ(cid:8119)த, ப(cid:8123)ேபெவல, ேந(cid:8119)திர(cid:8121)(cid:8089)(cid:8127)ல வ(cid:8119)த
ேவ(cid:8118)(cid:8074)யதாயி(cid:8094)(cid:8112)கி(cid:8121)ற கீ(cid:8129)(cid:8112) கா(cid:8078)(cid:8123) காணிைய அ(cid:8127)ல(cid:8080) ெம(cid:8127)லெகா(cid:8127)ேலேஹன; விபர(cid:8123): ேதா(cid:8117)ட(cid:8123),
எ(cid:8076)(cid:8119)(cid:8080)(cid:8112) ெகா(cid:8128)ள அரசா(cid:8117)சியா(cid:8125) எ(cid:8118)ணியி(cid:8094)(cid:8112) (cid:8070)மா(cid:8125) 20 - 25 வ(cid:8094)ட(cid:8113)கைள(cid:8092)ைடய ெத(cid:8121)ைன(cid:8122)
கிறா(cid:8125)க(cid:8128) எ(cid:8121)பைத 1964 ஆ(cid:8123) ஆ(cid:8118)(cid:8074)(cid:8121) 28 ஆ(cid:8123) பயி(cid:8125)(cid:8114)ெச(cid:8124)ைக ம(cid:8126)(cid:8096)(cid:8123) நிர(cid:8120)தர(cid:8112) க(cid:8117)டடெமா(cid:8121)(cid:8096)
இல(cid:8112)க காணி எ(cid:8076)(cid:8119)த(cid:8127) தி(cid:8094)(cid:8119)த(cid:8114) ச(cid:8117)ட(cid:8122)ப(cid:8074) எ(cid:8121)பன இ(cid:8094)(cid:8112)கி(cid:8121)றன; உாிைம ேகா(cid:8094)பவ(cid:8125):
தி(cid:8094)(cid:8119)த(cid:8122)ப(cid:8117)டவாறான காணி எ(cid:8076)(cid:8119)த(cid:8126) ச(cid:8117)ட(cid:8119)தி(cid:8121) வைரய(cid:8096)(cid:8112)க(cid:8122)ப(cid:8117)ட எ(cid:8132). ேக. இ(cid:8121)ெவ(cid:8132)(cid:8117)ம(cid:8121)(cid:8117)
(அ(cid:8119)தியாய(cid:8123) 460) 7 ஆ(cid:8123) பிாிவி(cid:8121) (1) ஆ(cid:8123) உ(cid:8117) ெசா(cid:8098)(cid:8093)ஷ(cid:8121)(cid:8132) தனியா(cid:8125) க(cid:8123)பனி, இல(cid:8112)க(cid:8123) 96,
பிாிவி(cid:8121) கீ(cid:8129), நா(cid:8121) இ(cid:8119)தா(cid:8127) அறிவி(cid:8112)கி(cid:8121)ேற(cid:8121). (cid:8087)(cid:8119)தள(cid:8123) (cid:8106)தி, (cid:8065)(cid:8094)நாக(cid:8127); வி(cid:8132)தீரண(cid:8123): 9.8454
ெஹ(cid:8112)டயா(cid:8125) (24 ஏ(cid:8112)க(cid:8125), 01 (cid:8097)(cid:8117) , 12.6 ேப(cid:8125)(cid:8114))
எ(cid:8076)(cid:8119)(cid:8080)(cid:8112) ெகா(cid:8128)ளவி(cid:8094)(cid:8112)(cid:8065)(cid:8123) காணியி(cid:8121) விபர(cid:8123):
வட(cid:8112)(cid:8065): ஆ.வ. 895 இ(cid:8127) 12 ஆ(cid:8123) இல(cid:8112)க காணி(cid:8119)
(cid:8080)(cid:8118)(cid:8074)(cid:8121) ஒ(cid:8094) ப(cid:8065)தி, உ.வ. 220109 இ(cid:8121) ஒ(cid:8094) ப(cid:8065)தி
வடேம(cid:8127) மாகாண(cid:8119)தி(cid:8127) (cid:8065)(cid:8094)நாக(cid:8127) மாவ(cid:8117)ட(cid:8119)தி(cid:8127)
ம(cid:8126)(cid:8096)(cid:8123) பிரேதச சைப(cid:8122) பாைத; கிழ(cid:8112)(cid:8065): பிரேதச
(cid:8106)ர(cid:8123)(cid:8087)ெகதர பிரேதச ெசயலாள(cid:8125) பிாிவி(cid:8127) 869 ஆ(cid:8123)
1A - G 46281 — 13 (2026/02)
இ(cid:8130) அதிவிேசட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- 2026.02.11
ப(cid:8065)தி III - இல(cid:8113)ைக(cid:8114) சனநாயக ேசாச(cid:8098)ச(cid:8112) (cid:8065)(cid:8074)யர(cid:8070) வ(cid:8125)(cid:8119)தமான(cid:8122) ப(cid:8119)திாிைக - அதி விேசஷமான(cid:8080) - 2026.02.11
சைப(cid:8122) பாைத, கா(cid:8127)வா(cid:8124), ஆ.வ.(cid:8065). 1755 இ(cid:8127) 1 ஆ(cid:8123) யி(cid:8127) அவ(cid:8125)க(cid:8102)(cid:8112)(cid:8065)(cid:8128)ள உட(cid:8120)ைதகளி(cid:8121) த(cid:8121)ைம
இல(cid:8112)க காணி(cid:8119)(cid:8080)(cid:8118)(cid:8076) ம(cid:8126)(cid:8096)(cid:8123) ஆ.வ. 82 இ(cid:8127) 4 (உ.வ. ைய(cid:8092)(cid:8123) (cid:8065)றி(cid:8119)த காணிைய எ(cid:8076)(cid:8119)த(cid:8126)கான ந(cid:8117)டஈ(cid:8076)
267759) ஆ(cid:8123) இல(cid:8112)க காணி(cid:8119)(cid:8080)(cid:8118)(cid:8074)(cid:8121) ஒ(cid:8094) ப(cid:8065)தி; ப(cid:8126)றிய அவ(cid:8125)களி(cid:8121) ேகாாி(cid:8112)ைககளி(cid:8121) விபர(cid:8113)
ெத(cid:8126)(cid:8065): கா(cid:8127)வா(cid:8124), ஆ.வ.(cid:8065). 1755 இ(cid:8127) 1 ஆ(cid:8123) இல(cid:8112)க கைள(cid:8092)(cid:8123) ந(cid:8117)ட ஈ(cid:8117)(cid:8076)(cid:8119) ெதாைகைய(cid:8092)(cid:8123) அ(cid:8119) ெதாைக
காணி(cid:8119)(cid:8080)(cid:8118)(cid:8076), ஆ.வ. 82 இ(cid:8127) 4 (உ.வ. 267759) ஆ(cid:8123) கணி(cid:8112)க(cid:8122)ப(cid:8117)ட வித(cid:8119)ைத(cid:8092)(cid:8123) 2026 ஆ(cid:8123) ஆ(cid:8118)(cid:8076)
இல(cid:8112)க காணி(cid:8119)(cid:8080)(cid:8118)(cid:8074)(cid:8121) ஒ(cid:8094) ப(cid:8065)தி, ஆ.வ. 82 இ(cid:8127) 8 ஏ(cid:8122)பிற(cid:8127) மாத(cid:8123) 27 ஆ(cid:8120) திகதி(cid:8112)(cid:8065) (cid:8089)(cid:8121)ன(cid:8125) எ(cid:8104)(cid:8119)தி(cid:8127)
(உ.வ. 256561) ஆ(cid:8123) இல(cid:8112)க காணி(cid:8119)(cid:8080)(cid:8118)(cid:8074)(cid:8121) ஒ(cid:8094) இ(cid:8094)பிரதிகளாக என(cid:8112)(cid:8065) அறிவி(cid:8112)(cid:8065)(cid:8123)ப(cid:8074)(cid:8092)(cid:8123) இ(cid:8119)தா(cid:8127)
ப(cid:8065)தி ம(cid:8126)(cid:8096)(cid:8123) ஆ.வ.(cid:8065). 1092 இ(cid:8127) 22, 23, 26, 27, 30, ேக(cid:8117)(cid:8076)(cid:8112) ெகா(cid:8128)ள(cid:8122)ப(cid:8076)கி(cid:8121)றன(cid:8125).
31 ஆ(cid:8123) இல(cid:8112)க காணி(cid:8119)(cid:8080)(cid:8118)(cid:8076)க(cid:8128); ேம(cid:8126)(cid:8065): 1092 இ(cid:8127)
22, 23, 26, 27, 30, 31 ஆ(cid:8123) இல(cid:8112)க காணி(cid:8119)(cid:8080)(cid:8118)(cid:8076)க(cid:8128) ேஜ. ஜி. ஜி. அேயாமி (cid:8106)ரவ(cid:8125)தன,
ம(cid:8126)(cid:8096)(cid:8123) 895 இ(cid:8127) 12 ஆ(cid:8123) இல(cid:8112)க காணி(cid:8119)(cid:8080)(cid:8118)(cid:8074)(cid:8121) பிரேதச ெசயலாள(cid:8125) ம(cid:8126)(cid:8096)(cid:8123)
ஒ(cid:8094) ப(cid:8065)தி. காணி எ(cid:8076)(cid:8119)த(cid:8127) உ(cid:8119)திேயாக(cid:8119)த(cid:8125),
(cid:8106)ர(cid:8123)(cid:8087)ெகதர.
ேம(cid:8126)(cid:8065)றி(cid:8119)த காணி(cid:8112)(cid:8065) உாி(cid:8119)(cid:8080)(cid:8122) ேப(cid:8070)கி(cid:8121)ற சகல(cid:8094)(cid:8123)
தாமாக அ(cid:8127)ல(cid:8080) (cid:8089)ைற(cid:8122)ப(cid:8074) எ(cid:8104)(cid:8119)(cid:8080) (cid:8090)ல(cid:8123) அதிகார
பிரேதச ெசயலக(cid:8123),
மளி(cid:8112)க(cid:8122)ப(cid:8117)ட காாிய(cid:8112)கார(cid:8125) (cid:8090)லமாக 2026 ஆ(cid:8123)
(cid:8106)ர(cid:8123)(cid:8087)ெகதர,
ஆ(cid:8118)(cid:8076) ஏ(cid:8122)பிற(cid:8127) மாத(cid:8123) 27 ஆ(cid:8120) திகதி (cid:8089).ப. 10.00 2026, ெப(cid:8122)(cid:8087)(cid:8094)வாி 10.
மணி(cid:8112)(cid:8065) (cid:8106)ர(cid:8123)(cid:8087)ெகதர பிரேதச ெசயலக(cid:8119)தி(cid:8127) எ(cid:8121)
(cid:8089)(cid:8121)பாக ெவளி(cid:8122)ப(cid:8076)(cid:8119)(cid:8080)(cid:8123)ப(cid:8074)(cid:8092)(cid:8123) ேம(cid:8100)(cid:8123), அ(cid:8112)காணி EOG 02 - 0097
இல(cid:8113)ைக அரசா(cid:8113)க அ(cid:8114)(cid:8070)(cid:8119) திைண(cid:8112)கள(cid:8119)தி(cid:8127) அ(cid:8114)சிட(cid:8122)ப(cid:8117)ட(cid:8080).</t>
  </si>
  <si>
    <t>1478b309-97d0-40d2-8184-5348a54ce41c</t>
  </si>
  <si>
    <t>2475_25</t>
  </si>
  <si>
    <t>2475/25</t>
  </si>
  <si>
    <t>Land Acquisition Act (Chapter 460), Section 5 — Notice of Intended Acquisition (Gazette 2475/25)</t>
  </si>
  <si>
    <t>m1/raw/2475_25.pdf</t>
  </si>
  <si>
    <t>a56ba83b-7053-4af7-9536-64220c963cd8</t>
  </si>
  <si>
    <t>2475_26</t>
  </si>
  <si>
    <t>2475/26</t>
  </si>
  <si>
    <t>Title Registration Act, No. 21 of 1998, Section 14 — Commissioner of Title Settlement decision (Gazette 2475/26)</t>
  </si>
  <si>
    <t>m1/raw/2475_26.pdf</t>
  </si>
  <si>
    <t>ශ්‍රී ��ක� ප්‍රජ���්ත්‍රික සම�ජ��දී ජනරජ�� ��සට් පත්‍රය
අති වි��ෂ
இலங்�கச் சனந�யக �ச�சலிசக் குடியரசு வர்த்தம�னப் பத்த����க
அத� வ��சஷம�னது
අ�ක 2475/26 - 2026 �්බර��රි මස 11 ��නි බ���� - 2026.02.11
2475/26 ஆம் இலக்கம் - 2026 ஆம் ஆண்டு �பப்புருவ�� ம�தம் 11 ஆந் த�கத� புதன்க�ழ�ம
(அரச�ங்கத்த�ன் அத�க�ரத்துடன் ப�ரசு��க்கப்பட்டது)
பகுத� III - க�ண�கள்
க�ண� �க�ள்வனவு பற்ற�ய அற�வ�த்தல்கள்
க�ண� எடுத்தற் சட்டம் (அத்த�ய�யம் 460) 1. துண்டு இல. 289; க�ண�ய�ன் �பயர்:
�ச�லன்ட்ஸ் �த�ட்டம்; வ�பரம்: �த�ட்டம் (5-10
7 ஆம் ப���வ�ன் க�ழ் அற�வ�த்தல் வயது�டய கலப்ப�னத் த�வரங்கள் க�ணப்படு
க�ன்றன); உ���ம �க�ரு�வ�ர்: அரசு, சட்டபூர்வம�ன
வ�த�கள் மற்றும் அள�வக்க�ன க�ரணம் - பது�ள
எனது இல.: BD/LG/LND/2/අත්පත් කර��නීම 344 - 380.
�சங்கலடி ப��த அப�வ�ருத்த� �சய்வதற்க�க
க�ண� அ�மச்ச�ன் இல.: 4-3/7/2010/HW/225.
�த�வப்படுக�ன்றது; வ�ஸ்த�ரணம்: 0.0138
��க்டய�ர்
ஒரு பக�ரங்கத் �த�வக்கு �வண்டியத�ன க�ழ்க்க�ணும்
வடக்கு: துண்டு இல. 250, 277 மற்றும் 290;
க�ண��ய எடுத்துக் �க�ள்ள அரச�ட்ச�ய�ர் எண்ண�
க�ழக்கு: துண்டு இல. 290; �தற்கு: துண்டு இல. 24,
ய�ருக்க�ற�ர்கள் என்ப�த 1964 ஆம் ஆண்டின் 28 ஆம்
285 மற்றும் 287; �மற்கு: துண்டு இல. 285, 287
இலக்க க�ண� எடுத்தற் (த�ருத்தம்) சட்டத்த�ன�ல்
மற்றும் 250.
த�ருத்தப்பட்டவ�ற�ன க�ண� எடுத்தற் சட்டத்த�ன்
(அத்த�ய�யம் 460) 7 ஆம் ப���வ�ன் (1) ஆம் உட்
2. துண்டு இல. 292; க�ண�ய�ன் �பயர்: குற�ப்
ப���வ�ன் க�ழ், ந�ன் இத்த�ல் அற�வ�க்க�ன்�றன்.
ப�டப்படவ�ல்�ல; வ�பரம்: �த�ட்டம் (5-10 வயத�ற்
குட்பட்ட கலப்ப�னத் த�வரங்கள் க�ணப்படுக�ன்றன);
எடுத்துக்�க�ள்ளவ�ருக்கும் க�ண�ய�ன் வ�பரம்:
உ���ம �க�ரு�வ�ர்: அரசு, சட்டபூர்வம�ன வ�த�கள்
ஊவ� ம�க�ணம், பது�ள ம�வட்டம், லுணுக�ல மற்றும் அள�வக்க�ன க�ரணம் - பது�ள �சங்கலடி
ப�ர�தச �சயல�ளர் ப���வ�ல், 94G சுமுதுகம க�ர�ம ப��த அப�வ�ருத்த� �சய்வதற்க�க �த�வப்படு
அலுவலர் ப���வ�ல், ம�ப� எல்ல க�ர�மத்த�ல் இ.க�.வ. க�ன்றது; வ�ஸ்த�ரணம்: 0.0005 ��க்டய�ர்
535 இல், ப�ற்�சர்க்�க இல. 7 இல், த�ள் இல.7 இல் வடக்கு: துண்டு இல. 291, 72 மற்றும் 293; க�ழக்கு:
துண்டு இல. 289, 292, 293 மற்றும் 294 ஆக�ய துண்டு இல. 293; �தற்கு: துண்டு இல. 293 மற்றும்
வற்ற�ன் எல்�லகள் வ�பரங்கள் ப�ன்வரும�று: 290; �மற்கு: துண்டு இல. 290 மற்றும் 291.
1A - G 46283 — 08 (2026/02)
இவ் அத�வ��சட வர்த்தம�ன��ய www.documents.gov.lk எனும் இ�ணயத்தளத்த�லிருந்து பத�வ�றக்கம் �சய்ய முடியும்.
2A III �ක�ටස - ශ්‍රී ��ක� ‍රා���්ත්‍රික සම�ා�� ජ ාජරා�� අති වි��ෂ ��ස ප ්‍ර� - 2026.02.11
பகுத� III - இலங்�கச் சனந�யக �ச�சலிசக் குடியரசு வர்த்தம�னப் பத்த����க - அத� வ��சஷம�னது - 2026.02.11
3. துண்டு இல. 293; க�ண�ய�ன் �பயர்: �ப�ல் �பத்த �மதகங்�க�ட); �தற்கு: இ. க�. வ. 536
�லத்�த�வல �த�ட்டம்; வ�பரம்: �த�ட்டம் (5-10 (�க�ட்டல்�பத்த �மதகங்�க�ட) மற்றும் துண்டு
வயத�ற்குட்பட்ட கலப்ப�னத் த�வரங்கள் க�ணப்படு இல. 290; �மற்கு: துண்டு இல. 290 மற்றும் 293.
க�ன்றன); உ���ம �க�ரு�வ�ர்: அரசு, சட்டபூர்வம�ன
வ�த�கள் மற்றும் அள�வக்க�ன க�ரணம் - க�ண�
�மற்குற�த்த க�ண�க்கு உ��த்துப் �பசுக�ன்ற
எடுத்தற் சட்டத்த�ன் 38 ஆவது அத்த�ய�யத்த�ன் (அ)
சகலரும் த�ம�க அல்லது மு�றப்படி எழுத்த�ல்
இ�டக்க�ல உத்தரவ�ன் க�ழ் �கப்பற்றப்பட்டது;
அத�க�ரம் அள�க்கப்பட்ட க���யக்க�ரர் மூலம�க
ஆரம்ப உ���ம �க�ரு�வ�ர்: �சனவ�த�ஸ்ஸபுர,
2026 ஆம் ஆண்டு பங்குன� ம�தம் 30 ஆந் த�கத�
லுணுக�லய�ல் வச�க்கும் வ�மலரத்ன லியனவ�க்ரம
மு.ப. 9.30 மண�க்கு லுணுக�ல ப�ர�தச �சயலகத்
ச�ங்க, பது�ள �சங்கலடி ப��த அப�வ�ருத்த�
த�ல் என் முன்ப�க �வள�ப்படுத்தும்படியும், அக்க�ண�
�சய்வதற்க�க �த�வப்படுக�ன்றது; வ�ஸ்த�ரணம்:
ய�ல் அவர்களுக்குள்ள உடந்�தகள�ன் தன்�ம�யயும்
0.0031 ��க்டய�ர்
குற�த்த க�ண��ய எடுத்தற்க�ன நஷ்டஈடு பற்ற�ய
வடக்கு: துண்டு இல. 72; க�ழக்கு: துண்டு இல. 72
அவர்கள�ன் �க���க்�ககள�ன் வ�பரங்க�ளயும்,
மற்றும் 294; �தற்கு: துண்டு இல. 294, 290 மற்றும்
நஷ்ட ஈட்டுத் �த��க�யயும் அத்�த��க கண�க்கப்
292; �மற்கு: துண்டு இல. 290, 292, 291 மற்றும் 72.
பட்ட வ�தத்�தயும் 2026 ஆம் ஆண்டு பங்குன� ம�தம்
03 ஆந் த�கத�க்கு முன்னர் எழுத்த�ல் இரு ப�ரத�கள�க
4. துண்டு இல. 294; க�ண�ய�ன் �பயர்: �ப�ல்
எனக்கு அற�வ�க்கும்படியும் இத்த�ல் �கட்டுக்
�லத்�த�வல �த�ட்டம்; வ�பரம்: �த�ட்டம் (5-10
�க�ள்ளப்படுக�ன்றனர்.
வயத�ற்குட்பட்ட கலப்ப�னத் த�வரங்கள் க�ணப்படு
க�ன்றன); உ���ம �க�ரு�வ�ர்: அரசு, சட்டபூர்வம�ன
வ�த�கள் மற்றும் அள�வக்க�ன க�ரணம் - க�ண� ச�. புவ�னந்த�ரன்,
எடுத்தற் சட்டத்த�ன் 38 ஆவது அத்த�ய�யத்த�ன் (அ) ப�ர�தச �சயல�ளர்,
இ�டக்க�ல உத்தரவ�ன் க�ழ் �கப்பற்றப்பட்டது; லுணுக�ல.
ஆரம்ப உ���ம �க�ரு�வ�ர்: �சனவ�த�ஸ்ஸபுர
வ�க��ர, பது�ள �சங்கலடி ப��த அப�வ�ருத்த� ப�ர�தச �சயலகம்,
�சய்வதற்க�க �த�வப்படுக�ன்றது; வ�ஸ்த�ரணம்: லுணுக�ல,
0.0031 ��க்டய�ர்
2026, �பப்புருவ�� 05.
வடக்கு: துண்டு இல. 293 மற்றும் 72; க�ழக்கு:
துண்டு இல. 72 மற்றும் இ. க�. வ. 536 (�க�ட்டல் EOG 02 - 0099
இலங்�க அரச�ங்க அச்சுத் த��ணக்களத்த�ல் அச்ச�டப்பட்டது.</t>
  </si>
  <si>
    <t>eeb58f9b-b82b-4c42-96dc-afcf2b172dbd</t>
  </si>
  <si>
    <t>2475_27</t>
  </si>
  <si>
    <t>2475/27</t>
  </si>
  <si>
    <t>Provincial Councils Act, No. 42 of 1987 — Appointment under Section 32(1) (Gazette 2475/27)</t>
  </si>
  <si>
    <t>m1/raw/2475_27.pdf</t>
  </si>
  <si>
    <t>Y%S ,xld m%cd;dka;%sl iudcjd§ ckrcfha .eiÜ m;%h
w;s úfYI
,yq;ifr; rdehaf Nrhryprf; FbauR th;j;jkhdg; gj;jphpif
mjp tpNr\khdJ
wxl 2475$27 - 2026 fmnrjdß ui 12 jeks n%yiam;skaod - 2026'02'12
2475/ 27 Mk; ,yf;fk; - 2026 Mk; Mz;L ngg;GUtup khjk; 12 Me; jpfjp tpahof;fpoik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6666அஅ((11))((அஅ)) ஆஆம்ம்
ைைிிாாிிவிவிிின்ன் காகாீீழ்ழ் விவிலிலிகாகாாாமமம்ம் விவிடடக்க்குகு ைைிிரரதேதேதிதிசச சசபைபைைையாயாிின்ன் உஉறுறுப்ப்ைைிினனர்ர் ஒஒருருவிவிாாிின்ன் ைைதிதிவிவிிியாயாிிலாலாாானன வவவிவிற்ற்றிறிிிடடத்த்பைபைதிதி நிநிிிரரப்ப்புபுதிதில்ல்
விவிலிலிகாகாாாமமம்ம் விவிடடக்க்குகு ைைிிரரதேதேதிதிசச சசபைபைைையாயாிின்ன் உஉறுறுப்ப்ைைிினனர்ர் ஒஒருருவிவிாாிின்ன் ைைதிதிவிவிிி,, அஅனுனுமமதிதிிி வவைைறிறிாாதுது வவதிதிாாடடர்ர்ச்ச்சசிியாயாாாகாகா மூமூன்ன்றுறு சசபைபைைைக்க் கூகூட்ட்டடங்ங்காகாளுளுக்க்குகு
சசமூமூகாகாமமைைிிக்க்காகாாாபைபைமம காகாாாரரணணமமாாகாகா வவவிவிற்ற்றிறிிிடடமமாாகாகாிியாயாிிருருக்க்காகாிின்ன்றிறிதிதிாாதிதிலாலாாாலுலும்ம்;;
தேதேமமற்ற்குகுறிறிிித்த்திதி காகாட்ட்டடபைபைைைச்ச் சசட்ட்டடத்த்திதிிின்ன் 6666அஅ((11))((அஅ)) ஆஆம்ம் ைைிிாாிிவிவிிின்ன் காகாீீழ்ழ்,, விவிலிலிகாகாாாமமம்ம் விவிடடக்க்குகு ைைிிரரதேதேதிதிசச சசபைபைைையாயாிின்ன் இஇலாலாக்க்காகாம்ம்
1199அஅைைவவவிவிட்ட்டிடி வவதிதின்ன்தேதேமமற்ற்குகு விவிட்ட்டடாாரரத்த்திதிிிற்ற்குகு வவதிதிாாிிவுவு வவசசய்ய்யாயாப்ப்ைைட்ட்டட காகாந்ந்திதிசசாாமமிி மமயூயூரரதிதின்ன் எஎன்ன்ைைவிவிர்ர் அஅங்ங்காகாம்ம் விவிகாகாிிக்க்காகாிின்ன்றிறி இஇலாலாங்ங்பைபைகாகாத்த்
திதிமமிிழ்ழ் அஅரரசுசுக்க் காகாட்ட்சசிி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தேதேசசர்ர்ந்ந்திதிவிவிருருமமாானன விவி லிலிகாகாாாமமம்ம்
விவிடடக்க்குகு ைைிிரரதேதேதிதிசச சசபைபைைையாயாிின்ன் இஇலாலாக்க்காகாம்ம் 1199 அஅைைவவவிவிட்ட்டிடி வவதிதின்ன்தேதேமமற்ற்குகு விவிட்ட்டடாாரரத்த்திதிிின்ன் உஉறுறுப்ப்ைைிினனர்ர் வவதிதிாாடடர்ர்ைைாாகாகா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அஅரரசசிியாயாற்ற் காகாட்ட்சசிியாயாிின்ன் வவசசயாயாலாலாாாைைாாிினனாால்ல் அஅவ்வ்வவவிவிற்ற்றிறிிிடடத்த்பைபைதிதி நிநிிிரரப்ப்புபுவிவிதிதிற்ற்காகாாாகாகா
இஇரரவீவீந்ந்திதிிிரரன்ன் திதினுனுஷிஷிிியாயான்ன் எஎன்ன்ைைவிவிபைபைரரப்ப் வவைையாயார்ர் குகுறிறிிித்த்துது நிநிிியாயாமமிிக்க்குகும்ம் திதிமமதுது முமுடிடிவிவிிிபைபைனன அஅறிறிிிவிவிிித்த்துதுள்ள்ைைாாரராாதிதிலாலாாாலுலும்ம் ;;
வி விலிலிகாகாாாமமம்ம் விவிடடக்க்குகு ைைிிரரதேதேதிதிசச சசபைபைைையாயாிின்ன் வவதிதிாாிிவிவித்த்திதிாாட்ட்சசிி அஅலுலுவிவிலாலாரராானன இஇரராாதேதே��ந்ந்திதிிிரராா சசசசீீலாலான்ன்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6666அஅ((11))((அஅ)) எஎன்ன்னுனும்ம் ைைிிாாிிவிவிிின்ன் நிநிிியாயாதிதிிிகாகாைைிின்ன்ைைடிடி வவசசயாயாற்ற்ைைட்ட்டுடு
இஇரரவீவீந்ந்திதிிிரரன்ன் திதினுனுஷிஷிிியாயான்ன் எஎன்ன்ைைவிவிர்ர் வி விலிலிகாகாாாமமம்ம் விவிடடக்க்குகு ைைிிரரதேதேதிதிசச சசபைபைைையாயாிின்ன் இஇலாலாக்க்காகாம்ம் 1199 அஅைைவவவிவிட்ட்டிடி வவதிதின்ன்தேதேமமற்ற்குகு விவிட்ட்டடாாரரத்த்திதிிின்ன்
உஉறுறுப்ப்ைைிினனர்ர் ஒஒருருவிவிரராாகாகாத்த் தேதேதிதிர்ர்ந்ந்வவதிதிடுடுக்க்காகாப்ப்ைைட்ட்டுடுள்ள்ைைதிதிாாகாகா இஇத்த்திதிாால்ல் வவவிவிைைிிப்ப்ைைடுடுத்த்துதுகாகாிின்ன்தேதேறிறின்ன்..
இஇ.. சசசசீீலாலான்ன்,,
வவதிதிாாிிவிவித்த்திதிாாட்ட்சசிி அஅலுலுவிவிலாலார்ர் ,,
விவிலிலிகாகாாாமமம்ம் விவிடடக்க்குகு ைைிிரரதேதேதிதிசச சசபைபைைை..
மமாாவிவிட்ட்டடத்த் தேதேதிதிர்ர்திதில்ல்காகாள்ள் அஅலுலுவிவிலாலாகாகாம்ம்,,
யாயாாாழ்ழ்ப்ப்ைைாாணணம்ம்,,
EE
2200
OO
22
GG
66 ,,
00
வவ
22
ைை
--
ப்ப்
00
புபு
1100
ருரு
00
விவிாாிி 1111 ஆஆம்ம் திதிிிகாகாதிதிிி..
1A - PG 7522 — 08 (2026/02) ,yq;if murhq;f mr;Rj; jpizf;fsj;jpw; gjpg;gpf;fg;ngw;wJ.
,t; mjptpNrl tu;j;jkhdpia www.documents.gov.lk vDk; ,izaj;jsj;jpypUe;J gjptpwf;fk; nra;a KbAk;.</t>
  </si>
  <si>
    <t>eb986f23-03fc-4ff2-9693-dc312be3bdcf</t>
  </si>
  <si>
    <t>2475_28</t>
  </si>
  <si>
    <t>2475/28</t>
  </si>
  <si>
    <t>Foreign Exchange Act No. 11 of 2021, Section 52 — Notice (Gazette 2475/28)</t>
  </si>
  <si>
    <t>2021 අංක 11 දරන විදේශ විනිමය පනත, 52 වැනි වගන්තිය යටතේ දැන්වීම</t>
  </si>
  <si>
    <t>2021 ஆம் ஆண்டின் 11 ஆம் இலக்க அந்நிய செலாவணிச் சட்டம், 52 ஆம் பிரிவின் கீழ் அறிவித்தல்</t>
  </si>
  <si>
    <t>Notice issued by the Hon. Minister of Finance under Section 52 of the Foreign Exchange Act No. 11 of 2021 (71 sub-section). References Gazette 2381/24 of 22 February 2024. Part I — General. Dated 13 February 2026.</t>
  </si>
  <si>
    <t>Foreign Exchange Act, No. 11 of 2021</t>
  </si>
  <si>
    <t>SMEs engaged in import/export, foreign currency loans, or cross-border services must comply with any updated reporting / permission requirements under Section 52 of the FX Act.</t>
  </si>
  <si>
    <t>m1/raw/2475_28.pdf</t>
  </si>
  <si>
    <t>Y%S ,xld m%cd;dka;%sl iudcjd§ ckrcfha .eiÜ m;%h
w;s úfYI
,yq;ifr; rdehaf Nrhryprf; FbauR th;j;jkhdg; gj;jphpif
mjp tpNr\khdJ
wxl 2475$28 - 2026 fmnrjdß ui 13 jeks isl=rdod - 2026'02'13
2475/ 28 Mk; ,yf;fk; - 2026 Mk; Mz;L ngg;GUtup khjk; 13 Me; jpfjp nts;spf;fpoik
(murhq;fj;jpd; mjpfhuj;Jld; gpuRupf;fg;gl;lJ)
gFjp I : njhFjp (I) - nghJ
murhq;f mwptpj;jy;fs;
சச..வவ..பீபீ..--33//22002211((IIVV))
22002211 ஆஆம்ம் ஆஆண்ண்டிடின்ன் 1111 ஆஆம்ம் இஇலலக்க்கக,, ககககொொழுழும்ம்புபுத்த் துதுறைறைைைமுமுகக நநககரரப்ப் கக��ொொருருளாளாொொதாதாொொரர ஆஆறைறை��க்க்குகுழுழுச்ச் சசட்ட்டடம்ம்
2021 ஆம் ஆண்டின் 11 ஆம் இலக்க, ககொழும்புத் துறைைமுக நகரப் க�ொருளாொதாொர ஆறை�க்குழுச் சட்டத்தாின் 52 ஆம் �ிொிவுடன்
சேசர்த்து வொசிக்கப்�டும் சே�ற்கூைப்�ட்ட சட்டத்தாின் 71 ஆம் �ிொிவின் கீழ், ககொழும்புத் துறைைமுக நகரப் க�ொருளாொதாொர
ஆறை�க்குழுவின் கலந்தாொசேலொசறை�யுடன் நிதாி, தாிட்ட�ிடல் �ற்றும் க�ொருளாொதாொர அ�ிவிருத்தாி அறை�ச்சொி�ொல் ஆக்கப்�ட்ட
ஒழுங்குவிதாிகள்.
அஅநுநுரர குகு��ொொரர தாதாிிசசொொநநொொயயக்க்கக,,
நிதாி, தாிட்ட�ிடல் �ற்றும் க�ொருளாொதாொர
அ�ிவிருத்தாி அறை�ச்சர்.
ககொழும்பு,
2026, க�ப்புருவொி 13.
ஒஒழுழுங்ங்குகுவவிிதாதாிிககள்ள்
2024, ஏப்�ிைல் �ொதாம் 22 ஆந் தாிகதாிய 2381/24 ஆம் இலக்க, அதாிவிசேசட வர்த்தா�ொ�ியில் கவிியிடப்�ட்ட, 2024 ஆம் ஆண்டின்
1 ஆம் இலக்க, ககொழும்புத் துறைைமுக நகர (கசயல்நுணுக்க முக்கியத்துவம் வொய்ந்தா வியொ�ொரங்களுக்கு விலக்களாிப்புக்கறைளா
1A - PG 7525— 378 (2026/02)
,t; mjptpNrl tu;j;jkhdpia www.documents.gov.lk vDk; ,izaj;jsj;jpypUe;J gjptpwf;fk; nra;a KbAk;.
2A I fldgi ( ^I&amp; fPoh - YS% ,xld m%cd;dka;s%l iudcjd§ ckrcfha w;s úfYI .eiÜ m;%h - 2026'02'13
gFjp I : njhFjp (I) - ,yq;ifr; rdehaf Nrhryprf; FbauR tu;j;jkhdg; gj;;jpupif - mjp tpNr\khdJ - 2026.02.13
அல்லது ஊக்குவிப்புக்கறைளா வழங்குதால் �ற்ைிய வழிகொட்டுகநைிகள் - தாீர்றைவயற்ை கதாொழிற்�ொடுகள்) ஒழுங்குவிதாிகள், அவ்
கவொழுங்கு விதாிகளாின் அட்டவறை� II இல் இத்தாொல் �ின்வரு�ொறு தாிருத்தாப்�டுகின்ை� :-
(1) அவ்வட்டவறை�யின் நிரல் II இல் -
(அ) அனு�தாிக்கப்�ட்ட க�ொருட்களாின் அனு�தாிக்கப்�ட்ட கதாொறைக (�ொர்க்க அட்டவறை� I) என்�தாறை�க்
குைித்துக்கொட்டுகின்ை வொிறைச இல. 2 இல், “அட்டவறை� Iஇல் குைிப்�ிடப்�ட்டுள்ளாவொறு” என்னும் கசொற்களுக்கும்
இலக்கத்தாிற்கும் �தாிலொக “கவிிநொட்டுப் �ய�த்தாின் �ின்�ர் இலங்றைகக்கு வருறைக தாரும் ஒவ்கவொரு சந்தார்ப்�ம்
கதாொடர்�ிலும் அட்டவறை� Iஇல் தாரப்�ட்டவொைொக” என்னும் கசொற்கறைளாயும் எண்றை�யும் இடுவதான் மூலமும் ;
(ஆ) �டியின் ஆரம்�த்றைதாக் குைித்துக்கொட்டுகின்ை வொிறைச இல. 3 இல், “இலங்றைகக்கு வருறைக தாந்தா முதாலொவது
தாி�த்தாிலிருந்து 04 நொட்களுக்குள்” என்னும் கசொற்களுக்கும் இலக்கத்தாிற்கும் �தாிலொக “நுறைழவுப் �தாிவின் சே�ல்,
இலங்றைகக்கு வருறைக தாந்தா தாிகதாியிலிருந்து 4 நொட்களுக்குள்” என்னும் கசொற்கறைளாயும் எண்றை�யும் இடுவதான்
மூலமும் ;
(இ) �டியின் கசல்லு�டியொகும் கொலத்றைதாக் குைித்துக்கொட்டுகின்ை வொிறைச இல. 4 இல், “இலங்றைகக்கு வருறைக தாந்தா
முதாலொவது தாி�த்தாிலிருந்து வருடொந்தா சலுறைக” என்னும் கசொற்களுக்குப் �தாிலொக “�டியின் ஆரம்�த்தாிலிருந்து
ஓரொண்டு” என்னும் கசொற்கறைளா இடுவதான் மூலமும் ;\
(ஈ) ககொள்வ�வுக் கொலத்றைதாக் குைித்துக்கொட்டுகின்ை வொிறைச இல. 5 இல், “இலங்றைகக்கு வருறைக தாந்தா முதால் 4 நொட்களுக்குள்
ஒற்றைை வருறைக” என்னும் கசொற்களுக்கும் எண்ணுக்கும் �தாிலொக “ஒவ்கவொரு கவிிநொட்டுப் �ிரயொ�ம் கதாொடர்�ிலும்,
இலங்றைகக்கு வருறைக தாந்தா தாிகதாியிலிருந்து 4 நொட்களுக்குள்” என்னும் கசொற்கறைளாயும் எண்றை�யும் இடுவதான்
மூலமும் ; அத்துடன்
(உ) வருறைககளாின் எண்�ிக்றைக (ககொள்வ�வு கொலத்தாிற்குள்) என்�றைதாக் குைித்துக்கொட்டுகின்ை வொிறைச இல. 6 இல்,
“இலங்றைகக்கு வருறைக தாந்தா முதால் 4 நொட்களுக்குள் வருடொந்தாம் ஒற்றைை வருறைக” என்னும் கசொற்களுக்கும் எண்ணுக்கும்
�தாிலொக “கவிிநொட்டுப் �ிரயொ�த்தாின் �ின்�ர் இலங்றைகக்கு வருறைகதாரும் ஒவ்கவொரு சந்தார்ப்�ம் கதாொடர்�ிலும், 4
நொட்கறைளாக் ககொண்ட ககொள்வ�வுக் கொலப்�குதாிக்குள் இரண்டு வருறைககள்” என்னும் கசொற்கறைளாயும் எண்றை�யும்
இடுவதான் மூலமும் ; அத்துடன்
(2) “அட்டவறை� II இல் வி�ொிக்கப்�ட்ட அனு�தாிக்கப்�ட்ட சலுறைககள் கதாொடர்�ில் விற்�றை� நி�ந்தாறை�கள்” என்�தான்
விடய இல. 2ஐ நீக்கிவிட்டு அதாற்குப் �தாிலொக �ின்வரும் விடயத்றைதா இடுவதான் மூலமும் -
“2 அட்டவறை� II இல் குைித்துறைரக்கப்�ட்ட 2,000 ஐ.அ.கடொ. வருடொந்தா தாீர்றைவயற்ை �டியொ�து,
�டியின் ஆரம்�த் தாிகதாியிலிருந்து ஓரொண்டு கொலப்�குதாிகயொன்றுக்கு கசல்லு�டியொக இருத்தால்
சேவண்டுக�ன்�துடன் தாீர்றைவயற்ை�டியின் ஏசேதானும் எஞ்சியுள்ளா கதாொறைகயொ�து அத்தாறைகய
கொலப்�குதாியின் முடிவில் கொலொவதாியொதாலும் சேவண்டும்.”.
EOG 02 - 0110
,yq;if murhq;f mr;Rj; jpizf;fsj;jpw; gjpg;gpf;fg;ngw;wJ.</t>
  </si>
  <si>
    <t>1f6e2023-3811-4e65-8cdb-274b68baf00b</t>
  </si>
  <si>
    <t>2475_29</t>
  </si>
  <si>
    <t>2475/29</t>
  </si>
  <si>
    <t>Land Acquisition Act (Chapter 460), Section 5 — Notice of Intended Acquisition (Gazette 2475/29)</t>
  </si>
  <si>
    <t>m1/raw/2475_29.pdf</t>
  </si>
  <si>
    <t>III ෙකාටස - (cid:636) ලංකා (cid:541)ජාතා(cid:486)(cid:437)ක සමාජවා(cid:463) ජනරජෙ(cid:591) අ(cid:431) (cid:618)ෙශෂ ගැස(cid:376) ප(cid:436)ය - 2026.02.13 1A
பகுதி III - இலங்ைகச் சனநாயக ேசாச(cid:8098)சக் கு(cid:8074)யரசு வர்த்தமானப் பத்திாிைக - அதி விேசஷமான(cid:8080) - 2026.02.13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22447755//2299 –– 22002266 ෙෙපපබබරරවවාා(cid:604)(cid:604) මමසස 1133 වවැැ(cid:487)(cid:487) (cid:646)(cid:646)(cid:253)(cid:253)රරාාදදාා –– 22002266..0022..1133
22447755//2299 ஆஆம்ம் இஇலலக்க்ககம்ம் –– 22002266 ஆஆம்ம் ஆஆண்ண்(cid:8076)(cid:8076) ெெபபப்ப்(cid:8087)(cid:8087)(cid:8094)(cid:8094)வவாாிி மமாாததம்ம் 1133 ஆஆந்ந் ததிிககததிி ெெவவௗௗ்ள்ளிிக்க்ககிிழழைைமம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01. (cid:8080)(cid:8080)ண்ண்(cid:8076)(cid:8076) ‘‘AA’’ –– பபன்ன்சசல்ல் வவத்த்தத மமற்ற்(cid:8096)(cid:8096)ம்ம் ெெமமாாரரககஹஹ(cid:8089)(cid:8089)லல வவத்த்தத ––
வவிிஸ்ஸ்ததீீரரணணம்ம்:: 00..00225533 ெெஹஹக்க்டடயயாார்ர்
5 ஆம் பிாிவின் ப(cid:8074)யான பிரகடனம் வடக்கு: பன்சல் வத்த, ெமாரகஹ(cid:8089)ல வத்த மற்(cid:8096)ம் (cid:8106)தி
(பிரேதச சைப); கிழக்கு: (cid:8106)தி (பிரேதச சைப), பன்சல் வத்த,
ெமாரகஹ(cid:8089)ல வத்த; ெதற்கு:பன்சல் வத்த, ெமாரகஹ(cid:8089)ல
இங்ேக கீேழ விபாிக்கப்பட்(cid:8076)ள்ள காணி ஒ(cid:8094) ெபா(cid:8080)
வத்த; ேமற்கு: பன்சல் வத்த, ெமாரகஹ(cid:8089)ல வத்த.
விடயத்திற்குத் ேதைவ என(cid:8107)ம், அதைன காணி எ(cid:8076)த்தற்
சட்டத்தின் ஏற்பா(cid:8076)களின் பிரகாரம் எ(cid:8076)க்கப்ப(cid:8076)ெமன(cid:8107)ம்,
காணி எ(cid:8076)த்தற் சட்டத்தின் 5 ஆம் பிாிவின் (1) உப பிாிவின் ேக.(cid:8074). லால் காந்த,
கீழ், கமத்ெதாழில், கால்நைட வளங்கள், காணி மற்(cid:8096)ம் கமத்ெதாழில், கால்நைட வளங்கள், காணி
நீர்ப்பாசன அைமச்சர் குரகமேக ெதான் லால் காந்த ஆகிய மற்(cid:8096)ம் நீர்ப்பாசன அைமச்சர்.
நான், இத்தால் பிரகடனம் ெசய்கின்ேறன்.
என(cid:8080) இல. : 4–3/5/2019/HA/555.
கமத்ெதாழில், கால்நைட வளங்கள், காணி
சப்பிரக(cid:8089)வ மாகாணத்தின் ேககாைல மாவட்டத்தில்
மற்(cid:8096)ம் நீர்ப்பாசன அைமச்சு,
ரம்(cid:8087)க்கைன பிரேதச ெசயலாளர் பிாிவில் ெமத்ேத ெமதி(cid:8098)ய
மிஹிகத ெம(cid:8080)ர,
பத்(cid:8080)வ சி(cid:8096) பிாிவில் இலக்கம் 09 கிாிவன்ெதனிய கிராம
இல. 1200/ 6, ரஜமல்வத்த (cid:8106)தி,
அ(cid:8100)வலர் பிாிவில் கிாிவன்ெதனிய கிராமத்தில் அைமந்(cid:8080)ள்ள,
பத்தர(cid:8089)ல்ைல,
நில அளைவயாளர் நாயகத்தின் KE/RMB/2020/52 ஆம்
2025, திெசம்பர் 19.
இலக்க மற்(cid:8096)ம் 2020.06.17 ஆம் திகதிய சுவட்(cid:8076) வைரபடத்தில்
விபரமாக காட்டப்பட்(cid:8076)ள்ள காணித் (cid:8080)ண்(cid:8074)ன் எல்ைலகள் : EOG 02–0101
1A – G46284 – 21(2026/02)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- 2026.02.13
பகுதி III - இலங்ைகச் சனநாயக ேசாச(cid:8098)சக் கு(cid:8074)யரசு வர்த்தமானப் பத்திாிைக - அதி விேசஷமான(cid:8080) - 2026.02.13
ககாாணணிி எஎ(cid:8076)(cid:8076)த்த்ததற்ற் சசட்ட்டடம்ம் ((அஅத்த்ததிியயாாயயம்ம் 446600)) ஆந் திகதியிடப்பட்ட ேமம்ப(cid:8076)த்தப்பட்ட வைரபடத்தில்
விபரமாக குறிப்பிடப்பட்(cid:8076)ள்ள பின்வ(cid:8094)ம் ெபயர்களினால்
5 ஆம் பிாிவின் ப(cid:8074)யான பிரகடனம் குறிக்கப்ப(cid:8076)ம் மற்(cid:8096)ம் விஸ்தீரணங்கைளக் ெகாண்ட காணித்
(cid:8080)ண்(cid:8074)ன் எல்ைலகள் :
இங்கு I இன் கீழ் விபாிக்கப்பட்(cid:8076)ள்ள ஆதனம் ஒ(cid:8094) பகிரங்க
ேதைவக்கு ேவண்(cid:8074)யதான கீழ்க்கா(cid:8078)ம் ஆதனத்ைத காணி 01. (cid:8080)(cid:8080)ண்ண்(cid:8076)(cid:8076) ‘‘AA’’ –– ககல்ல்ெெலலனனவவத்த்தத ஜஜனனபபததயய–– வவிிஸ்ஸ்ததீீரரணணம்ம்::
எ(cid:8076)த்தற் சட்டத்தின் ஏற்பா(cid:8076)களின் பிரகாரம் எ(cid:8076)த்(cid:8080)க்ெகாள்ள 00..00111122 ெெஹஹக்க்டடயயாார்ர்
அரசாட்சியார் எண்ணியி(cid:8094)க்கிரார்கள் என்(cid:8096)ம் காணி வடக்கு: ப(cid:8074)க்கட்(cid:8076) மற்(cid:8096)ம் பிரேதச சைப பாைத; கிழக்கு:
எ(cid:8076)த்தற் சட்டத்தின் 5 ஆம் பிாிவின் (1) ஆம் உப பிாிவின் பிரேதச சைப பாைத மற்(cid:8096)ம் எம். ஜீ. லீலாவதி உாிைம
கீழ், கமத்ெதாழில், கால்நைட வளங்கள், காணி மற்(cid:8096)ம்
ேகா(cid:8094)ம் கல்ெலனவத்த ஜனபதய; ெதற்கு:எம். ஜீ. லீலாவதி
நீர்ப்பாசன அைமச்சா் குரகமேக ெதான் லால் காந்த ஆகிய
உாிைம ேகா(cid:8094)ம் கல்ெலனவத்த ஜனபதய பிரேதச சைப
நான், இத்தால் அறிவிக்கின்ேறன். அந்த ஆதனம் எ(cid:8076)த்(cid:8080)க்
பாைத மற்(cid:8096)ம் பிரேதச சைப பாைத; ேமற்கு: பிரேதச சைப
ெகாள்ளப்ப(cid:8076)வ(cid:8080) எந்தக் காணியி(cid:8098)(cid:8094)ந்(cid:8080) என்பதைன II இன்
பாைத மற்(cid:8096)ம் ப(cid:8074)க்கட்(cid:8076).
கீழ் விபாிக்கப்பட்(cid:8076)ள்ள(cid:8080).
ேக.(cid:8074). லால் காந்த,
அஅட்ட்டடவவைைணண
கமத்ெதாழில், கால்நைட வளங்கள், காணி
மற்(cid:8096)ம் நீர்ப்பாசன அைமச்சர்.
I. ஆஆததனனத்த்ததிின்ன் வவிிபபரரம்ம் :: ககண்ண்(cid:8074)(cid:8074) வவடடக்க்குகு -- பபாாத்த்தத(cid:8080)(cid:8080)ம்ம்பபைைரர
ஒஒன்ன்றறிிைைணணந்ந்தத நநீீர்ர் வவிிநநிிேேயயாாகக ததிிட்ட்டடத்த்ததிின்ன் ககல்ல்ெெலலனனவவத்த்தத
ேேசசைைவவத்த் ததடடாாககம்ம் வவைைரரயயாானன வவிிநநிிேேயயாாகக குகுழழாாய்ய் பபததிிப்ப்பபததற்ற்குகு என(cid:8080) இல. : 4–3/18/2021/WS/161.
மமற்ற்(cid:8096)(cid:8096)ம்ம் அஅங்ங்ககிி(cid:8094)(cid:8094)ந்ந்(cid:8080)(cid:8080) வவிிநநிிேேயயாாகக குகுழழாாய்ய் அஅைைமமப்ப்பபததற்ற்ககாானன கமத்ெதாழில், கால்நைட வளங்கள், காணி
ககாாணணிித்த்(cid:8080)(cid:8080)ண்ண்(cid:8074)(cid:8074)ன்ன் ஆஆததனன உஉாாிித்த்ைைதத எஎ(cid:8076)(cid:8076)த்த்(cid:8080)(cid:8080)க்க் ெெககாாள்ள்ளளல்ல்.. மற்(cid:8096)ம் நீர்ப்பாசன அைமச்சு,
மிஹிகத ெம(cid:8080)ர,
II. ககாாணணிியயிின்ன் வவிிபபரரம்ம் :: மத்திய மாகாணத்தின், கண்(cid:8074)
இல. 1200/ 6, ரஜமல்வத்த (cid:8106)தி,
மாவட்டத்தின், (cid:8080)ம்பைன பிரேதச ெசயலகப் பிாிவின், உட
பத்தர(cid:8089)ல்ைல,
பலாத்த கிழக்கு ேகாரைள சி(cid:8096) பிாிவின் கல்ெலனவத்த
2025, திெசம்பர் 19.
(364) கிராம அ(cid:8100)வலர் பிாிவின் கல்ெலனவத்த ஜனபதய
கிராமத்தில் அைமந்(cid:8080)ள்ள, நில அளைவயாளர் நாயகத்தினால்
தயாாிக்கப்பட்ட MAHA/TMP/2021/673 மற்(cid:8096)ம் 2021.12.21 EOG 02–0102
இலங்ைக அரசாங்க அச்சுத் திைணக்களத்தில் அச்சிடப்பட்ட(cid:8080).</t>
  </si>
  <si>
    <t>6bf67d9d-a7a2-48e1-a9b6-4d84107ea5f5</t>
  </si>
  <si>
    <t>2475_31</t>
  </si>
  <si>
    <t>2475/31</t>
  </si>
  <si>
    <t>Land Reform Commission Act No. 28 of 1981 — Notice (Gazette 2475/31)</t>
  </si>
  <si>
    <t>1981 අංක 28 දරන ඉඩම් සංස්කරණ කොමිසම පනත යටතේ දැන්වීම</t>
  </si>
  <si>
    <t>1981 ஆம் ஆண்டின் 28 ஆம் இலக்க காணி சீர்திருத்த ஆணைக்குழுச் சட்டத்தின் கீழ் அறிவித்தல்</t>
  </si>
  <si>
    <t>Notice under the Land Reform Commission Act No. 28 of 1981 regarding land transfer/regularisation. Part III — Lands.</t>
  </si>
  <si>
    <t>Land Reform Commission Act, No. 28 of 1981</t>
  </si>
  <si>
    <t>m1/raw/2475_31.pdf</t>
  </si>
  <si>
    <t>III ෙකාටස - (cid:636) ලංකා (cid:541)ජාතා(cid:486)(cid:437)ක සමාජවා(cid:463) ජනරජෙ(cid:591) අ(cid:431) (cid:618)ෙශෂ ගැස(cid:376) ප(cid:436)ය - 2026.02.13 1A
பகுதி III - இலங்ைகச் சனநாயக ேசாச(cid:8098)சக் கு(cid:8074)யரசு வர்த்தமானப் பத்திாிைக - அதி விேசஷமான(cid:8080) - 2026.02.13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22447755//3311 –– 22002266 ෙෙපපබබරරවවාා(cid:604)(cid:604) මමසස 1133 වවැැ(cid:487)(cid:487) (cid:646)(cid:646)(cid:253)(cid:253)රරාාදදාා –– 22002266..0022..1133
22447755//3311 ஆஆம்ம் இஇலலக்க்ககம்ம் –– 22002266 ஆஆம்ம் ஆஆண்ண்(cid:8076)(cid:8076) ெ ெ பபப்ப்(cid:8087)(cid:8087)(cid:8094)(cid:8094)வவாாிி மமாாததம்ம் 1133 ஆஆந்ந் ததிிககததிி ெெவவௗௗ்ள்ளிிக்க்ககிிழழைைமம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01. (cid:8080)(cid:8080)ண்ண்(cid:8076)(cid:8076) ‘‘AA’’ –– ககலல(cid:8089)(cid:8089)(cid:8080)(cid:8080)னனவவத்த்தத 11005500 மமிியயனனெெககாால்ல்லல––
வவிிஸ்ஸ்ததீீரரணணம்ம்:: 00..00337799 ெெஹஹக்க்டடயயாார்ர்
5 ஆம் பிாிவின் ப(cid:8074)யான பிரகடனம்
வடக்கு: காணி ம(cid:8096)சீரைமப்(cid:8087) ஆைணக்கு(cid:8104) உாிைம ேகா(cid:8094)ம்
கல(cid:8089)(cid:8080)னவத்த; கிழக்கு: காணி ம(cid:8096)சீரைமப்(cid:8087) ஆைணக்கு(cid:8104)
இங்ேக கீேழ விபாிக்கப்பட்(cid:8076)ள்ள காணி ஒ(cid:8094) ெபா(cid:8080) உாிைம ேகா(cid:8094)ம் கல(cid:8089)(cid:8080)னவத்த; ெதற்கு:காணி ம(cid:8096)சீரைமப்(cid:8087)
விடயத்திற்குத் ேதைவ என(cid:8107)ம், அதைன காணி ஆைணக்கு(cid:8104) உாிைம ேகா(cid:8094)ம் கல(cid:8089)(cid:8080)னவத்த மற்(cid:8096)ம் (cid:8106)தி;
எ(cid:8076)த்தற் சட்டத்தின் ஏற்பா(cid:8076)களின் பிரகாரம் எ(cid:8076)த்(cid:8080)க் ேமற்கு: (cid:8106)தி மற்(cid:8096)ம் காணி ம(cid:8096)சீரைமப்(cid:8087) ஆைணக்கு(cid:8104)
உாிைம ேகா(cid:8094)ம் கல(cid:8089)(cid:8080)னவத்த.
ெகாள்ளப்ப(cid:8076)ெமன(cid:8107)ம், காணி எ(cid:8076)த்தற் சட்டத்தின் 5 ஆம்
பிாிவின் (1) உப பிாிவின் கீழ், கமத்ெதாழில், கால்நைட
வளங்கள், காணி மற்(cid:8096)ம் நீர்ப்பாசன அைமச்சர் குரகமேக
ேக.(cid:8074). லால் காந்த,
ெதான் லால் காந்த ஆகிய நான், இத்தால் பிரகடனம் கமத்ெதாழில், கால்நைட வளங்கள், காணி
ெசய்கின்ேறன். மற்(cid:8096)ம் நீர்ப்பாசன அைமச்சர்.
என(cid:8080) இல. : 4–3/18/2021/WS/250.
மத்திய மாகாணத்தின் கண்(cid:8074) மாவட்டத்தில் கங்க
கமத்ெதாழில், கால்நைட வளங்கள், காணி
இஹல பிரேதச ெசயலாளர் பிாிவில், மியனெகால்ல 1050
மற்(cid:8096)ம் நீர்ப்பாசன அைமச்சு,
கிராம அ(cid:8100)வலர் பிாிவில் ெலவ்ெதனிய எ(cid:8084)ம் கிராமத்தில் மிஹிகத ெம(cid:8080)ர,
அைமந்(cid:8080)ள்ள, நில அளைவயாளர் நாயகம் அவர்களினால் இல. 1200/ 6, ரஜமல்வத்த (cid:8106)தி,
தயாாிக்கப்பட்ட MAHA/GIK/2022/1175 ஆம் இலக்க மற்(cid:8096)ம் பத்தர(cid:8089)ல்ைல,
2025, திெசம்பர் 19.
2023.03.23 ஆம் திகதிய ஆரம்ப சுவட்(cid:8076) வைரபடத்தில்
விாிவாகக் குறிப்பிடப்பட்(cid:8076) உள்ள ெபயர் மற்(cid:8096)ம்
EOG 02–0104
விஸ்தீரணத்ைதக் ெகாண்ட காணித் (cid:8080)ண்(cid:8074)ன் எல்ைலகள் :
1A – G46285 – 13(2026/02)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</si>
  <si>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0b7d3e6e-7916-41ac-951c-922343272b87</t>
  </si>
  <si>
    <t>2475_32</t>
  </si>
  <si>
    <t>2475/32</t>
  </si>
  <si>
    <t>Industrial Disputes Act (Chapter 131), Section 4(1) — Industrial Award (Gazette 2475/32)</t>
  </si>
  <si>
    <t>m1/raw/2475_32.pdf</t>
  </si>
  <si>
    <t>d13cbfaf-5442-4065-a6d2-230e88dc473a</t>
  </si>
  <si>
    <t>2475_33</t>
  </si>
  <si>
    <t>2475/33</t>
  </si>
  <si>
    <t>Title Registration Act, No. 21 of 1998, Section 14 — Commissioner of Title Settlement decision (Gazette 2475/33)</t>
  </si>
  <si>
    <t>m1/raw/2475_33.pdf</t>
  </si>
  <si>
    <t>ශ්‍රී ��ක� ප්‍රජ���්ත්‍රික ස��ජ��දී ජනරජ�� ��සට් පත්‍රය
අති වි��ෂ
இலங்�கச் சனந�யக �ச�சலிசக் குடியரசு வர்த்தம�னப் பத்த����க
அத� வ��சஷம�னது
අ�ක 2475/33 - 2026 �්බර��රි මස 13 ��නි සිකුර��� - 2026.02.13
2475/33 ஆம் இலக்கம் - 2026 ஆம் ஆண்டு �பப்புருவ�� ம�தம் 13 ஆந் த�கத� �வள்ள�க்க�ழ�ம
(அரச�ங்கத்த�ன் அத�க�ரத்துடன் ப�ரசு��க்கப்பட்டது)
பகுத� III - க�ண�கள்
க�ண� �க�ள்வனவு பற்ற�ய அற�வ�த்தல்கள்
க�ண� எடுத்தற் சட்டம் (அத்த�ய�யம் 460) ம�வட்டம்: ய�ழ்ப்ப�ணம்
ம�க�ணம்: வடக்கு ம�க�ணம்
7 ஆம் ப���வ�ன் க�ழ் அற�வ�த்தல்
1. துண்டு இல. 1
எனது இல.: 4-3/13/2020/PC/293. க�ண�ய�ன் �பயர்: தும்ப�ள; வ�பரம்: ந�ரந்தரக்
கட்டடம் 02, ச��மந்து க�ணறு 02, �மல்ந��ல ந�ர்
ஒரு பக�ரங்கத் �த�வக்கு �வண்டியத�ன க�ழ்க்க�ணும்
�த�ட்டி 01; உ���ம �க�ரு�வ�ர்: சு�தச மருத்துவத்
க�ண��ய எடுத்துக் �க�ள்ள அரச�ட்ச�ய�ர் எண்ண�
த��ணக்களம், வடக்கு ம�க�ணம்; வ�ஸ்த�ரணம்:
ய�ருக்க�ற�ர்கள் என்ப�த 1964 ஆம் ஆண்டின் 28 ஆம்
0.4085 ��க்டய�ர்.
இலக்க க�ண� எடுத்தற் (த�ருத்தம்) சட்டத்த�ன�ல்
த�ருத்தப்பட்டவ�ற�ன க�ண� எடுத்தற் சட்டத்த�ன்
�மற்குற�த்த க�ண�க்கு உ��த்துப் �பசுக�ன்ற
(அத்த�ய�யம் 460) 7 ஆம் ப���வ�ன் (1) ஆம் உட்
சகலரும் த�ம�க அல்லது மு�றப்படி எழுத்த�ல்
ப���வ�ன் க�ழ், ந�ன் இத்த�ல் அற�வ�க்க�ன்�றன்.
அத�க�ரம் அள�க்கப்பட்ட க���யக்க�ரர் மூலம�க
எடுத்துக்�க�ள்ளவ�ருக்கும் க�ண�ய�ன் வ�பரம்: 2026 ஆம் ஆண்டு பங்குன� ம�தம் 25 ஆந் த�கத�
மு.ப. 10.00 மண�க்கு வலிக�மம் �மற்கு சங்க��ன
கடத்த�ரல் வ�ரபட இல. - 910182 ப�ர�தச �சயலகத்த�ல் என் முன்ப�க �வள�ப்படுத்தும்
�த�குத� இல. - 05 படியும், அக்க�ண�ய�ல் அவர்களுக்குள்ள உடந்�த
த�ள் இல. - 02 கள�ன் தன்�ம�யயும் குற�த்த க�ண��ய எடுத்தற்
அ�மப்பு - க�ன நஷ்டஈடு பற்ற�ய அவர்கள�ன் �க���க்�ககள�ன்
க�ர�மம் : அர�லி மத்த� J/161 வ�பரங்க�ளயும், நஷ்ட ஈட்டுத் �த��க�யயும்
ப�ர�தச �சயல�ளர் ப���வு : அத்�த��க கண�க்கப்பட்ட வ�தத்�தயும் 2026 ஆம்
வலிக�மம் �மற்கு, சங்க��ன. ஆண்டு பங்குன� ம�தம் 11 ஆந் த�கத�க்கு முன்னர்
1A - G 46287 — 23 (2026/02)
இவ் அத�வ��சட வர்த்தம�ன��ய www.documents.gov.lk எனும் இ�ணயத்தளத்த�லிருந்து பத�வ�றக்கம் �சய்ய முடியும்.
2A III �ක�ටස - ශ්‍රී ��ක� ‍රා���්ත්‍රික සම�ා�� ජ ාජරා�� අති වි��ෂ ��ස ප ්‍ර� - 2026.02.13
பகுத� III - இலங்�கச் சனந�யக �ச�சலிசக் குடியரசு வர்த்தம�னப் பத்த����க - அத� வ��சஷம�னது - 2026.02.13
எழுத்த�ல் முப்ப�ரத�கள�க எனக்கு அற�வ�க்கும்படியும் அத�வ��சட வர்த்தம�னப் பத்த����கய�ல் 1ஏ பக்கத்த�ல்
இத்த�ல் �கட்டுக் �க�ள்ளப்படுக�ன்றனர். தம�ழ் �ம�ழ�ய�ல் ப�ரசு��க்கப்பட்ட க�ண� எடுத்தற்
சட்டத்த�ன் ப���வு - 07 இன் க�ழ�ன அற�வ�த்தலில்
த�ருமத� கவ�த� உதயகும�ர்,
க�ண�ய�ன் வ�ஸ்த�ரணம் 1.054 ��க்டய�ர் என்பதற்கு
ப�ர�தச �சயல�ளர்,
பத�ல�க 1.0746 ��க்டய�ர் எனக் குற�ப்ப�டப்பட்
வலிக�மம் �மற்கு சங்க��ன.
டுள்ளது. என�வ “1.0746 ��க்டய�ர்” இற்கு பத�ல�க
ப�ர�தச �சயலகம், “1.054 ��க்டய�ர்” எனத் த�ருத்தப்படுக�ன்றது என்
வலிக�மம் �மற்கு சங்க��ன, ப�த இத்த�ல் அற�யத்தருக�ன்�றன்.
2026, �பப்புருவ�� 11.
EOG 02 - 0106 கு. ப�ரப�கரமூர்த்த�,
ப�ர�தச �சயல�ளர்,
த�ருத்தம்
வலிக�மம் �தன்�மற்கு,
க�ண� எடுத்தற் சட்டம் (அத்த�ய�யம் 460) சண்டிலிப்ப�ய்.
7 ஆம் ப���வ�ன் க�ழ் அற�வ�த்தல்
ப�ர�தச �சயலகம்,
எனது �த�டர்பு இல.: LA/1774. வலிக�மம் �தன்�மற்கு,
கமத்�த�ழ�ல், க�ல்ந�ட வளங்கள், க�ண� மற்றும்
சண்டிலிப்ப�ய்,
ந�ர்ப்ப�சன அ�மச்ச�ன் இல.: 03J/84/LG/28.
2026, சனவ�� 28.
2026.01.09 ஆந் த�கத�ய 2470/55 ஆம் இலக்கம்
EOG 02 - 0107
�க�ண்ட இலங்�கச் சனந�யக �ச�சலிசக் குடியரச�ன்
இலங்�க அரச�ங்க அச்சுத் த��ணக்களத்த�ல் அச்ச�டப்பட்டது.</t>
  </si>
  <si>
    <t>9b216c94-5364-4554-a4d6-d0ec85ab1c67</t>
  </si>
  <si>
    <t>2475_34</t>
  </si>
  <si>
    <t>2475/34</t>
  </si>
  <si>
    <t>Provincial Councils Act, No. 42 of 1987 — Appointment under Section 32(1) (Gazette 2475/34)</t>
  </si>
  <si>
    <t>m1/raw/2475_34.pdf</t>
  </si>
  <si>
    <t>IV ^w&amp; fldgi - Y%S ,xld m%cd;dka;%sl iudcjd§ ckrcfha w;s úfYI .eiÜ m;%h - 2026'02'13 1 A
gFjp IV (m) - ,yq;ifr; rdehaf Nrhryprf; FbauR tu;j;jkhdg; gj;;jpupif - mjp tpNr\khdJ - 2026.02.13
Y%S ,xld m%cd;dka;%sl iudcjd§ ckrcfha .eiÜ m;%h
w;s úfYI
,yq;ifr; rdehaf Nrhryprf; FbauR th;j;jkhdg; gj;jphpif
mjp tpNr\khdJ
wxl 2475$34 - 2026 fmnrjdß ui 13 jeks isl=rdod - 2026'02'13
2475/ 34 Mk; ,yf;fk; - 2026 Mk; Mz;L ngg;GUtup khjk; 13 Me; jpfjp nts;spf;fpoik
(murhq;fj;jpd; mjpfhuj;Jld; gpuRupf;fg;gl;lJ)
gFjp IV(m) - khfhz rigfs;
khfhz rig mwptpj;jy;fs;
வவடடமாமாாாகாகாாாணண மாமாாாகாகாாாணண சசபைபைைை
வடமாாகாாண ககாௌரவ ஆளுநாின் அறிிவித்தல்
1. 1989 ஆம் ஆண்டின் 12 ஆம் இலக்கா, மாாகாாண சபைைகாள் (இபைடநேநர்விபைைவான ஏற்ைாடுகாள்) சட்டத்தின் 2 ஆம் ைிாிவுடன்
நேசர்த்து வாசிக்காப்ைட நேவண்டிய 1939 ஆம் ஆண்டின் 61 ஆம் இலக்கா, நகார சபைைகாள் காட்டபைைச் சட்டத்தின் (255 ஆம்
அத்தியாமாான) 184 ஆம் ைிாிவின் காீழ் நடாத்தப்ைடும் விசாரபைண.
2. வடமாாகாாணத்தின் ஆளுநரான நாகாலிங்காம் நேவதநாயகான் ஆகாிய நான், 1989 ஆம் ஆண்டின் 12 ஆம் இலக்கா, மாாகாாண
சபைைகாள் (இபைடநேநர்விபைைவான ஏற்ைாடுகாள்) சட்டத்தின் 2 ஆம் ைிாிவுடன் நேசர்த்து வாசிக்காப்ைட நேவண்டிய 1939 ஆம்
ஆண்டின் 61 ஆம் இலக்கா, நகார சபைைகாள் காட்டபைைச் சட்டம் (255 ஆம் அத்தியாயமாான) 184 ஆம் ைிாிவினால் எனக்கு
அைிக்காப்ைட்ட அதிகாாரங்காைின் ைிரகாாரம் நகார சபைைகாள் காட்டபைைச் சட்டம் (255 ஆம் அத்தியாயமாான) 184 ஆம் ைிாிவின்
(1) ஆம் உட்ைிாிவிற்கு அபைமாவாகா காீழ் குறிிப்ைிடப்ைட்ட விடயங்காள்/ குற்றிச்சாட்டுகாள் கதாடர்ைாகா சாவகாச்நேசாி நகார
சபைையின் கசயற்ைாடுகாபைை ஆராய்ந்து, ைாிநேசாதித்து, விசாரபைண கசய்து மூன்று மாாதத்துக்குள் அறிிக்பைகாகயான்பைறி
சமார்ப்ைிப்ைதற்காாகா 1939 ஆம் ஆண்டின் 61 ஆம் இலக்கா, நகார சபைைகாள் காட்டபைைச் சட்டத்தின் (255 ஆம் அத்தியாயம்) 184
ஆம் ைிாிவின் (1A) ஆம் உை ைிாிவிற்காபைமாவாகா தனிநைர் விசாரபைண சபைை ஒன்றிிற்காாகா ஓய்வுகைற்றி மாாவட்ட நீதிமான்றி
நீதவான் திரு. காந்பைதயா அாியநாயகாம் அவர்காபைை நியமாித்துள்நேைன்.
3. விசாரபைண கசய்யப்ைட நேவண்டிய விடயங்காள்/ குற்றிச்சாட்டுகாள்.
i. நகார சபைைகாள் காட்டபைைச் சட்டம், நகார அைிவிருத்தி அதிகாார சபைைச் சட்டம் மாற்றும் நகார சபைை அதிகாார சபைையின்
அதிவிநேசட வர்த்தமாானப் ைத்திாிபைகா இல. 2235/54 - 2021.07.08 இல் கவௌியிடப்ைட்ட ஒழுங்குவிதிகாள் ஆகாியவற்றிின்
1A - PG 7524 — 04 (2026/02)
,t; mjp tpNrl tu;j;jkhdpia www.documents.gov.lk vd;Dk; ,izaj;jsj;jpypUe;J gjptpwf;fk; nra;a KbAk;.
2 A IV ^w&amp; fldgi - Y%S ,xld m%cd;dka;%sl iudcjd§ ckrcfha w;s úfYI .eiÜ m;%h - 2026'02'13
gFjp IV (m) - ,yq;ifr; rdehaf Nrhryprf; FbauR tu;j;jkhdg; gj;;jpupif - mjp tpNr\khdJ - 2026.02.13
ஏற்ைாடுகாளுக்காபைமாய நிர்வாகா எல்பைலக்குள் அபைமாக்காப்ைடுகாின்றி காட்டட அபைமாப்புகாள் மாற்றும் ஆதனங்காைில்
நேமாற்ககாாள்ைப்ைடும் அைிவிருத்தி நடவடிக்பைகாகாள் கதாடர்ைில் உாிய அனுமாதிகாள் கைறிப்ைடல் நேவண்டும் எனவும்
குறிித்தகவாரு அைிவிருத்தியானது அங்காீகாாிக்காப்ைட்ட வபைரைடத்திற்கு மாற்றும் அைிவிருத்தி அனுமாதி ைத்திரத்திற்கு
இணங்குவபைத உறுதிப்ைடுத்தி கதாடர்புபைடய அதிகாார சபைையிலிருந்து அபைமாவுச் சான்றிிதழ் கைற்றுக்ககாாண்டபைமாபைய
உறுதிப்ைடுத்தி வணிகா நிறுவனங்காள் , சிற்றுண்டிச்சாபைல, நேதநீர் காபைடகாள், நேகாாப்ைிக்காபைடகாள் மாற்றும் அதபைன
ஒத்த காட்டடங்காள், நே�ாட்டல்காள், விடுதிகாள், கைாதுநேநாக்கு மாண்டைங்காள், கதாழிிற்சாபைலகாளுக்கு வியாைார
அனுமாதிப்ைத்திரங்காள் வழிங்குமாாறும் வியாைார வாி அறிவிடுமாாறும் வடமாாகாாண உள்ளூராட்சி ஆபைணயாைரால்
2025.11.05 ஆந் திகாதியில் உள்ளூராட்சி மான்றிங்காளுக்கு வழிங்காப்ைட்ட அறிிவுறுத்தல்காபைை 2026.01.20 ஆந் திகாதியில்
நபைடகைற்றி சபைைக் கூட்டத்தில் உை தவிசாைர் உதாசீனம் கசய்தபைமாயும் விமார்சித்தபைமாயும் அங்காீகாாிக்காப்ைட்டதும்
குறிித்த நகார சபைையால் ஏற்றுக்ககாாள்ைப்ைட்டதுமாான சபைைக் கூட்ட அலுவல்காள் ககாாண்டு நடாத்துதல் கதாடர்ைான
நியமாத் துபைணவிதிகாைின் ஏற்ைாடுகாளுக்காபைமாய கசயற்ைடாபைமா.
நநாாகாகாலிலிங்ங்காகாம்ம் நேநேவவததநநாாயயகாகான்ன்,,
வட மாாகாாண ஆளுநர்.
ஆளுநர் கசயலகாம்,
ைபைழிய பூங்காா,
சுண்டுக்குைி,
யாழ்ப்ைாணம்,
2026, கைப்புருவாி 02.
EOG 02 - 0108
,yq;if murhq;f mr;Rj; jpizf;fsj;jpw; gjpg;gpf;fg;ngw;wJ.</t>
  </si>
  <si>
    <t>30b90842-23e3-4639-a8eb-73ae611b7e46</t>
  </si>
  <si>
    <t>2475_35</t>
  </si>
  <si>
    <t>2475/35</t>
  </si>
  <si>
    <t>Land Acquisition Act (Chapter 460), Section 5 — Notice of Intended Acquisition (Gazette 2475/35)</t>
  </si>
  <si>
    <t>m1/raw/2475_35.pdf</t>
  </si>
  <si>
    <t>1A
III ෙකාටස - ශී ලංකා පජාතාන්තික සමාජවාදී ජනරජෙය් අති විෙශෂ ගැසට් පතය - 2025.04.11
பகுதி III - இலங்ைகச் சனநாயக ேசாச(cid:8098)சக் கு(cid:8074)யரசு வர்த்தமானப் பத்திாிைக - அதி விேசஷமான(cid:8080) - 2025.04.11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22447755//3355 -- 22002266 ෙෙපපබබරරවවාාරිරි මමසස 1133 වවැැනිනි සිසිකුකුරරාාදදාා -- 22002266..0022..1133
22447755//3355 ஆஆம்ம் இஇலலக்க்ககம்ம் -- 22002266 ஆஆம்ம் ஆஆண்ண்(cid:8076)(cid:8076) ெ ெ பபப்ப்(cid:8087)(cid:8087)(cid:8094)(cid:8094)வவாாிி மமாாததம்ம் 1133 ஆஆந்ந் ததிிககததிி ெெவவள்ள்ளளிிக்க்ககிிழழைைமம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33 ஆம் பிாிவின் கீழ் அறிவித்தல் 1. கிராமத்தின் ெபயர் : சமகி(cid:8087)ர
என(cid:8080) இல.: POL/ELH/LND/01/06/081.
ஆரம்ப வைரபட இல. : க.வ.இ. 120251, ெதாகுதி 07,
தாள் 03
ெபாலந(cid:8096)ைவ மாவட்டத்தின் ஹிங்குராக்ெகாட பிரேதச
ெசயலாளர் மேனாஹாி க(cid:8094)ணாரத்ன ஆகிய நான், காணி
(cid:8080)ண்(cid:8076) இல. : 121
எ(cid:8076)த்தற் சட்டத்தின் (அத்தியாயம் 460) 33ஆம் பிாிவின்
ப(cid:8074) கீழ்க்கா(cid:8078)ம் அறிவித்தல் அட்டவைணயில் விபாிக்கப் காணியின் ெபயர் : -
பட்(cid:8076)ள்ள அரசாங்கத்திற்கு ைகப்பற்றப்பட்ட காணிக(cid:8102)க்கு
விஸ்தீரணம் : 0.3051 ெஹக்டயார்
உாிய இழப்பீட்(cid:8076)த் ெதாைகயிைன உாிைமேகா(cid:8094)பவர்கள்
ெபற்(cid:8096)க் ெகாள்வதற்காக ஹிங்குராக்ெகாட நீதிமன்றத் தின்
ைவப்(cid:8087) ெசய்யப்
பின்வ(cid:8094)ம் இலக்கங்களின் கீழ் பற்(cid:8096) ைவக்கப்பட்(cid:8076)ள்ள
ெதன்பைத இத்தால் அறியத்த(cid:8094)கின்ேறன். பட்(cid:8076)ள்ள பணம் : (cid:8095)பா 1,356,750.00
வழக்கு இல. : 1/LA/24
சீ. எம். க(cid:8094)ணாரத்ன,
பிரேதச ெசயலாளர்,
மாவட்ட நீதிமன்றம் : ஹிங்குராக்ெகாட
எலஹர.
பிரேதச ெசயலகம், EOG 02-0109
எலஹர,
2026, ெபப்(cid:8087)(cid:8094)வாி 08.
1A - G46288- 08(2026/02)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</si>
  <si>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320104c1-5ad3-4347-9497-cb852b8d913b</t>
  </si>
  <si>
    <t>2475_36</t>
  </si>
  <si>
    <t>2475/36</t>
  </si>
  <si>
    <t>Title Registration Act, No. 21 of 1998, Section 14 — Commissioner of Title Settlement's decision under Section 14 (Gazette 2475/36)</t>
  </si>
  <si>
    <t>m1/raw/2475_36.pdf</t>
  </si>
  <si>
    <t>4523e57e-cda3-473b-adb8-fe1ff59c7883</t>
  </si>
  <si>
    <t>2475_37</t>
  </si>
  <si>
    <t>2475/37</t>
  </si>
  <si>
    <t>Title Registration Act, No. 21 of 1998, Section 14 — Amendment of previous decision (Gazette 2475/37)</t>
  </si>
  <si>
    <t>Amendment to a prior Commissioner of Title Settlement decision under Section 14 of the Title Registration Act No. 21 of 1998. Part III — Lands. References Gazette 2024.06.25 of 1868/29 covering Land Parcel No. 04 of pages 32. Cadastral Map references 521203 references Block 04, Gazette 0009 references Gazette 510 covering parts in 576 cadastral. Dated 13 February 2026.</t>
  </si>
  <si>
    <t>m1/raw/2475_37.pdf</t>
  </si>
  <si>
    <t>III �ක ස�ටස - ශ්‍රී ��ක ස� ‍රා���්ත්‍රික ස සම�ා�� ජ ාජයා�� ි ව ශෙ��ග ��ස ප ්‍ර� - 2026.02.14 1 A
பகுத� III - இலங்�கச் சனந�யக �ச�சலிசக் குடியரசு வர்த்தம�னப் பத்த����க - அத� வ��சஷம�னது - 2026.02.14
ශ්‍රී ��ක� ප්‍රජ���්ත්‍රික ස��ජ��දී ජනරජ�� ��සට් පත්‍රය
இலங்�கச் சனந�யக �ச�சலிசக் குடியரசு வர்த்தம�னப் பத்த����க
ි ව ශෙ��ග அத� வ��சஷம�னது
ි�ක ස 2475/37 - 2026 �්බය��රි මස 14 ��නි �සජසුය��� - 2026.02.14
2475/37 ஆம் இலக்கம் - 2026 ஆம் ஆண்டு �பப்புருவ�� ம�தம் 14 ஆந் த�கத� சன�க்க�ழ�ம
(அரச�ங்கத்த�ன் அத�க�ரத்துடன் ப�ரசு��க்கப்பட்டது)
பகுத� III - க�ண�கள்
உ��த்துப் பத�வு �சய்தல்
த�ருத்தம்
1998 ஆம் ஆண்டின் 21 ஆம் இலக்க உ��த்துப் பத�வுச் சட்டம்
14 ஆம் ப���வ�ன் க�ழ் உ��த்து ந�ர்ணய ஆ�ணய�ள��ன் த�ர்ம�னத்�த �வள�ப்படுத்தல்
�ம�லயுள்ள த�லப்ப�ன் க�ழ் 2024.06.25 ஆந் த�கத�ய 1868/29 ஆம் இலக்க இலங்�கச் சனந�யக �ச�சலிசக் குடியரச�ன் அத� வ��சட
வர்த்தம�ன�ய�ல் ப�ரசுரம�ன �மல் ம�க�ணத்த�ல், �க�ழும்பு ம�வட்டத்த�ல், �கஸ்�பவ ப�ர�தச �சயல�ளர் ப���வ�ல் 576 - டீ - தும்�ப�வ�ல
�தற்கு க�ர�ம அலுவலர் ப���வ�னுள் தும்�ப�வ�ல எனும் க�ர�மத்த�ல், 521203 ஆம் இலக்க கடத்த�ரல் அள�வ வ�ரபடத்த�ல், ப���வு
இல. 04 இல் 0009 ஆம் இலக்க க�ண�த்துண்டின் உ��த்து �த�டர்ப�க அவ்வட்டவ�ணய�ல்,
“க�ண� வழக்க�ற்கு உட்பட்ட ஈடு குத்த�க தடுப்புக் கட்ட�ள பற்ற�ய வ�பரங்கள் எனும் ந�ரலில் க�.து.இல. 07 அணுகுவழ� �சவகத்த�ற்கு
உட்பட்டது” என்பது ந�க்கப்பட்டு “க�.து.இல. 10 அணுகுவழ� �சவகத்த�ற்கு உட்பட்டது” என்று உள்ளடக்கப்பட்டு த�ருத்தப்படல்
�வண்டும்.
பீ.ச�.டீ. ச��கர�,
க�ண� உ��த்து ந�ர்ணய ஆ�ணய�ளர் ந�யகம்.
க�ண� உ��த்து ந�ர்ணயத் த��ணக்களம்,
இல. 1200/6, “ம�ஹ�கத �மதுர”,
இரஜமல்வத்த வீத�,
பத்தரமுல்�ல,
2026 ஆம் ஆண்டு சனவ�� ம�தம் 13 ஆம் த�கத�.
EOG 02 - 0113/1
1A - G 46291 - 03 (2026/02)
மு. கு. - இவ் அத�வ��ஷட வர்த்தம�ன��ய www.documents.gov.lk எனும் இ�ணயத்தளத்த�லிருந்து பத�வ�றக்கம் �சய்ய முடியும்.
2 A III �ක ස�ටස - ශ්‍රී ��ක ස� ‍රා���්ත්‍රික ස සම�ා�� ජ ාජයා�� ි ව ශෙ��ග ��ස ප ්‍ර� - 2026.02.14
பகுத� III - இலங்�கச் சனந�யக �ச�சலிசக் குடியரசு வர்த்தம�னப் பத்த����க - அத� வ��சஷம�னது - 2026.02.14
த�ருத்தம்
1998 ஆம் ஆண்டின் 21 ஆம் இலக்க உ��த்துப் பத�வுச் சட்டம்
14 ஆம் ப���வ�ன் க�ழ் உ��த்து ந�ர்ணய ஆ�ணய�ள��ன் த�ர்ம�னத்�த �வள�ப்படுத்தல்
�ம�லயுள்ள த�லப்ப�ன் க�ழ் 2015.07.08 ஆந் த�கத�ய 1922/36 ஆம் இலக்க இலங்�கச் சனந�யக �ச�சலிசக் குடியரச�ன் அத� வ��சட
வர்த்தம�ன�ய�ல் ப�ரசுரம�ன �மல் ம�க�ணத்த�ல், கம்பஹ� ம�வட்டத்த�ல், ம�னுவன்�க�ட ப�ர�தச �சயல�ளர் ப���வ�ல் 110/1 - க�ழக்கு
�த�ரண��க�ட க�ர�ம அலுவலர் ப���வ�னுள் க�ழக்கு �த�ரண��க�ட எனும் க�ர�மத்த�ல், 510435 ஆம் இலக்க கடத்த�ரல் அள�வ
வ�ரபடத்த�ல், ப���வு இல. 02 இல் த�ள் இல. 01 இல் 89 ஆம் இலக்க க�ண�த்துண்டின் உ��த்து �த�டர்ப�க அவ்வட்டவ�ணய�ல்
“வ��சட லது தன�ய�ருக்கு��ய சட்டங்களுள் எவ்வ�கக்கும் அ�மந்த�ருப்ப�ன் வ�பரங்கள்” என்ற ந�ரலில் “க�.து.இல. 89” என்பது
ந�க்கப்பட்டு “க�.து.இல. 82,110 அணுகுவழ� �சவக உ��த்த�ற்கு உட்பட்டது” என்று உள்ளடக்கப்பட்டு த�ருத்தப்படல் �வண்டும்
பீ. ச�. டீ. ச��கர�,
க�ண� உ��த்து ந�ர்ணய ஆ�ணய�ளர் ந�யகம்.
க�ண� உ��த்து ந�ர்ணயத் த��ணக்களம்,
இல. 1200/6, “ம�ஹ�கத �மதுர”,
இரஜமல்வத்த வீத�,
பத்தரமுல்�ல,
2026 ஆம் ஆண்டு சனவ�� ம�தம் 13 ஆம் த�கத�.
EOG 02 - 0113/2
த�ருத்தம்
1998 ஆம் ஆண்டின் 21 ஆம் இலக்க உ��த்துப் பத�வுச் சட்டம்
14 ஆம் ப���வ�ன் க�ழ் உ��த்து ந�ர்ணய ஆ�ணய�ள��ன் த�ர்ம�னத்�த �வள�ப்படுத்தல்
�ம�லயுள்ள த�லப்ப�ன் க�ழ் 2024.12.26 ஆந் த�கத�ய 2416/24 ஆம் இலக்க இலங்�கச் சனந�யக �ச�சலிசக் குடியரச�ன் அத� வ��சட
வர்த்தம�ன�ய�ல் ப�ரசுரம�ன �மல் ம�க�ணத்த�ல், களுத்த�ற ம�வட்டத்த�ல், களுத்த�ற ப�ர�தச �சயல�ளர் ப���வ�ல் 718 - எதனமடல
க�ர�ம அலுவலர் ப���வ�னுள் எதனமடல எனும் க�ர�மத்த�ல், 530133 ஆம் இலக்க கடத்த�ரல் அள�வ வ�ரபடத்த�ல், ப���வு இல. 01 இல்
த�ள் இல. 01 இல் 96 ஆம் இலக்க க�ண�த்துண்டின் உ��த்து �த�டர்ப�க அவ்வட்டவ�ணய�ல்,
“க�ண� வழக்க�ற்கு உட்பட்ட ஈடு குத்த�க தடுப்புக் கட்ட�ள பற்ற�ய வ�பரங்கள்” என்ற ந�ரலில் “குருப்பு ஆரச்ச��க சுமன�வத� �ஹவத்
சுமன� குருப்பு என்பவரது ச�வ�ய உ��த்த�ற்கு உட்பட்டது என்ற தகவல் “குருப்பு அச்ச��க சுமன�வத� குருப்பு” என்று உள்ளடக்கப்பட்டு
த�ருத்தப்படல் �வண்டும்.
பீ.ச�.டீ. ச��கர�,
க�ண� உ��த்து ந�ர்ணய ஆ�ணய�ளர் ந�யகம்.
க�ண� உ��த்து ந�ர்ணயத் த��ணக்களம்,
இல. 1200/6, “ம�ஹ�கத �மதுர”,
இரஜமல்வத்த வீத�,
பத்தரமுல்�ல,
2026 ஆம் ஆண்டு சனவ�� ம�தம் 13 ஆம் த�கத�.
EOG 02 - 0113/3
III �ක ස�ටස - ශ්‍රී ��ක ස� ‍රා���්ත්‍රික ස සම�ා�� ජ ාජයා�� ි ව ශෙ��ග ��ස ප ්‍ර� - 2026.02.14 3 A
பகுத� III - இலங்�கச் சனந�யக �ச�சலிசக் குடியரசு வர்த்தம�னப் பத்த����க - அத� வ��சஷம�னது - 2026.02.14
த�ருத்தம்
1998 ஆம் ஆண்டின் 21 ஆம் இலக்க உ��த்துப் பத�வுச் சட்டம்
14 ஆம் ப���வ�ன் க�ழ் உ��த்து ந�ர்ணய ஆ�ணய�ள��ன் த�ர்ம�னத்�த �வள�ப்படுத்தல்
�ம�லயுள்ள த�லப்ப�ன் க�ழ் 2025.02.05 ஆந் த�கத�ய 2422/22 ஆம் இலக்க இலங்�கச் சனந�யக �ச�சலிசக் குடியரச�ன் அத� வ��சட
வர்த்தம�ன�ய�ல் ப�ரசுரம�ன �மல் ம�க�ணத்த�ல், களுத்த�ற ம�வட்டத்த�ல், களுத்த�ற ப�ர�தச �சயல�ளர் ப���வ�ல் இல. 718 - எதனமடல
க�ர�ம அலுவலர் ப���வ�னுள் கங்�க�ட எனும் க�ர�மத்த�ல் 530130 ஆம் இலக்க கடத்த�ரல் அள�வ வ�ரபடத்த�ல், ப���வு இல. 08 இல்
த�ள் இல. 01 இல் 89 ஆம் இலக்க க�ண�த்துண்டுகள�ன் உ��த்து �த�டர்ப�க அவ்வட்டவ�ணய�ல்,
“�ச�ந்தக்க�ரர் / �ச�ந்தக்க�ரர்கள�ன் �பயர்களும் முகவ��யும்” என்ற ந�ரலில் “�சம்ப� குட்டி கன்க�னன்�க நன்த�த� ச�ல்வ�” என்ற தகவல்
�சம்ப�குட்டி கன்க�னன்�க நன்த�வத� ச�ல்வ�” என்று உள்ளடக்கப்பட்டு த�ருத்தப்படல் �வண்டும்.
பீ.ச�.டீ. ச��கர�,
க�ண� உ��த்து ந�ர்ணய ஆ�ணய�ளர் ந�யகம்.
க�ண� உ��த்து ந�ர்ணயத் த��ணக்களம்,
இல. 1200/6, “ம�ஹ�கத �மதுர”,
இரஜமல்வத்த வீத�,
பத்தரமுல்�ல,
2026 ஆம் ஆண்டு சனவ�� ம�தம் 13 ஆம் த�கத�.
EOG 02 - 0113/4
த�ருத்தம்
1998 ஆம் ஆண்டின் 21 ஆம் இலக்க உ��த்துப் பத�வுச் சட்டம்
14 ஆம் ப���வ�ன் க�ழ் உ��த்து ந�ர்ணய ஆ�ணய�ள��ன் த�ர்ம�னத்�த �வள�ப்படுத்தல்
�ம�லயுள்ள த�லப்ப�ன் க�ழ் 2023.02.27 ஆந் த�கத�ய 2321/20 ஆம் இலக்க இலங்�கச் சனந�யக �ச�சலிசக் குடியரச�ன் அத� வ��சட
வர்த்தம�ன�ய�ல் ப�ரசுரம�ன வட �மல் ம�க�ணத்த�ல், குருந�கல் ம�வட்டத்த�ல், மல்லவப�டிய ப�ர�தச �சயல�ளர் ப���வ�ல் - �த�ரய�ய
க�ர�ம அலுவலர் ப���வ�னுள் �த�ரய�ய எனும் க�ர�மத்த�ல், 420211 ஆம் இலக்க கடத்த�ரல் அள�வ வ�ரபடத்த�ல், ப���வு இல. 10 இல்
த�ள் இல. 01 இல் 136 ஆம் இலக்க க�ண�த்துண்டின் உ��த்து �த�டர்ப�க அவ்வட்டவ�ணய�ல்,
�ச�ந்தக்க�ரர் / �ச�ந்தக்க�ரர்கள�ன் �பயர்களும் முகவ��யும்” என்ற ந�ரலில் “முஹம்மது ஜல�ல்த�ன் முஹம்மது இஹ்ஷ�ன்
139/2 , �க�வ�ன வீத�, �த�ரய�ய” என்ற தகவல் “�ம�ஹம்மது ஜல�ல்த�ன் �ம�ஹம்மது இஹ்ஷ�ன் 159/2 , �க�வ�ன வீத�, �த�ரய�ய
என்று உள்ளடக்கப்பட்டு த�ருத்தப்படல் �வண்டும்.
பீ.ச�.டீ. ச��கர�,
க�ண� உ��த்து ந�ர்ணய ஆ�ணய�ளர் ந�யகம்.
க�ண� உ��த்து ந�ர்ணயத் த��ணக்களம்,
இல. 1200/6, “ம�ஹ�கத �மதுர”,
இரஜமல்வத்த வீத�,
பத்தரமுல்�ல,
2026 ஆம் ஆண்டு சனவ�� ம�தம் 13 ஆம் த�கத�.
EOG 02 - 0113/5
4 A III �ක ස�ටස - ශ්‍රී ��ක ස� ‍රා���්ත්‍රික ස සම�ා�� ජ ාජයා�� ි ව ශෙ��ග ��ස ප ්‍ර� - 2026.02.14
பகுத� III - இலங்�கச் சனந�யக �ச�சலிசக் குடியரசு வர்த்தம�னப் பத்த����க - அத� வ��சஷம�னது - 2026.02.14
த�ருத்தம்
1998 ஆம் ஆண்டின் 21 ஆம் இலக்க உ��த்துப் பத�வுச் சட்டம்
14 ஆம் ப���வ�ன் க�ழ் உ��த்து ந�ர்ணய ஆ�ணய�ள��ன் த�ர்ம�னத்�த �வள�ப்படுத்தல்
�ம�லயுள்ள த�லப்ப�ன் க�ழ் 2024.11.08 ஆந் த�கத�ய 2409/46 ஆம் இலக்க இலங்�கச் சனந�யக �ச�சலிசக் குடியரச�ன் அத� வ��சட
வர்த்தம�ன�ய�ல் ப�ரசுரம�ன வட �மல் ம�க�ணத்த�ல், குருந�கல் ம�வட்டத்த�ல், மல்லவப�டிய ப�ர�தச �சயல�ளர் ப���வ�ல் இல. 739 -
�தம்�ப�ப�ல க�ர�ம அலுவலர் ப���வ�னுள் தமுணு�க�ட எனும் க�ர�மத்த�ல் 420232 ஆம் இலக்க கடத்த�ரல் அள�வ வ�ரபடத்த�ல், ப���வு
இல. 06 இல் த�ள் இல. 01 இல் 67 ஆம் இலக்க க�ண�த்துண்டின் உ��த்து �த�டர்ப�க அவ்வட்டவ�ணய�ல்,
“க�ண� வழக்க�ற்கு உட்பட்ட ஈடு குத்த�க தடுப்புக் கட்ட�ள பற்ற�ய வ�பரங்கள்” என்ற ந�ரலில் “ந�ர�க��க்கும் உ��த்த�ற்கு உட்பட்டது”
என்று உள்ளடக்கப்பட்டு த�ருத்தப்படல் �வண்டும்.
பீ.ச�.டீ. ச��கர�,
க�ண� உ��த்து ந�ர்ணய ஆ�ணய�ளர் ந�யகம்.
க�ண� உ��த்து ந�ர்ணயத் த��ணக்களம்,
இல. 1200/6, “ம�ஹ�கத �மதுர”,
இரஜமல்வத்த வீத�,
பத்தரமுல்�ல,
2026 ஆம் ஆண்டு சனவ�� ம�தம் 13 ஆம் த�கத�.
EOG 02 - 0113/6
த�ருத்தம்
1998 ஆம் ஆண்டின் 21 ஆம் இலக்க உ��த்துப் பத�வுச் சட்டம்
14 ஆம் ப���வ�ன் க�ழ் உ��த்து ந�ர்ணய ஆ�ணய�ள��ன் த�ர்ம�னத்�த �வள�ப்படுத்தல்
�ம�லயுள்ள த�லப்ப�ன் க�ழ் 2025.04.26 ஆந் த�கத�ய 2433/44 ஆம் இலக்க இலங்�கச் சனந�யக �ச�சலிசக் குடியரச�ன் அத� வ��சட
வர்த்தம�ன�ய�ல் ப�ரசுரம�ன மத்த�ய ம�க�ணத்த�ல், கண்டி ம�வட்டத்த�ல், கங்கவட�க�ரலய ப�ர�தச �சயல�ளர் ப���வ�ல் 232 - நுவர
�த�டம்வல க�ர�ம அலுவலர் ப���வ�னுள் நுவர �த�டம்வல எனும் க�ர�மத்த�ல், 320421 ஆம் இலக்க கடத்த�ரல் அள�வ வ�ரபடத்த�ல்,
ப���வு இல. 09 இல் த�ள் இல. 01 இல் 22 ஆம் இலக்க க�ண�த்துண்டின் உ��த்து �த�டர்ப�க அவ்வட்டவ�ணய�ல்,
“�ச�ந்தக்க�ரர் / �ச�ந்தக்க�ரர்கள�ன் �பயர்களும் முகவ��யும்” என்ற ந�ரலில் “இல 395/2, ஸ்ரீமத் குட�ரத்வத்த ம�வத்�த, �த�டம்வல,
கண்டி” என்று உள்ளடக்கப்பட்டு த�ருத்தப்படல் �வண்டும்.
பீ.ச�.டீ. ச��கர�,
க�ண� உ��த்து ந�ர்ணய ஆ�ணய�ளர் ந�யகம்.
க�ண� உ��த்து ந�ர்ணயத் த��ணக்களம்,
இல. 1200/6, “ம�ஹ�கத �மதுர”,
இரஜமல்வத்த வீத�,
பத்தரமுல்�ல,
2026 ஆம் ஆண்டு சனவ�� ம�தம் 13 ஆம் த�கத�.
EOG 02 - 0113/7
இலங்�க அரச�ங்க அச்சுத் த��ணக்களத்த�ல் பத�ப்ப�க்கப்�பற்றது.</t>
  </si>
  <si>
    <t>b99a671c-9624-47fd-8083-1a011c879502</t>
  </si>
  <si>
    <t>2475_38</t>
  </si>
  <si>
    <t>2475/38</t>
  </si>
  <si>
    <t>Title Registration Act, No. 21 of 1998, Section 14 — Commissioner of Title Settlement's decision under Section 14 (Gazette 2475/38)</t>
  </si>
  <si>
    <t>m1/raw/2475_38.pdf</t>
  </si>
  <si>
    <t>0a303101-943f-4700-a08b-8dbd604ec71f</t>
  </si>
  <si>
    <t>2475_39</t>
  </si>
  <si>
    <t>2475/39</t>
  </si>
  <si>
    <t>Title Registration Act, No. 21 of 1998, Section 14 — Commissioner of Title Settlement decision (Gazette 2475/39)</t>
  </si>
  <si>
    <t>Commissioner of Title Settlement's decision under Section 14 of the Title Registration Act No. 21 of 1998. Part III — Lands. Land parcels in 706 Niladhari Division.</t>
  </si>
  <si>
    <t>m1/raw/2475_39.pdf</t>
  </si>
  <si>
    <t>ශ්‍රී ඼ංකා ප්‍රජාාාා්ත්‍රික වමාජාලාදී ජානරජායේ ගැවට් ඳත්‍රය
අති විශ඾඿
අංක 2475/39 - 2026 ශෙබරලාරි මව 14 ලැනි ශවනසුරාදා - 2026.02.14
(රජායේ බ඼යපිට ප්‍රසිද්ධධ කරන ඼දී)
III ලැනි ශකොටව - ඉඩම්
හිමිකම් ලියාෙදංචි කිරීම
1998 අංක 21 දරන හිමිකම් ලියාෙදංචි කිරීශම් ෙනත
14 ලැනි ලග්තතිය යටයේ හිමිකම් නිරවුල් කිරීයම් යකොමවාරිව්යේ තීරණ ප්‍රකා඾ය
බව්නාහිර ඳෂායේ කළුාර දිව්්‍රික්කයකයේ කළුාර ප්‍රාය්ධය ය යල්කම් යකොට්සාවයේ කංක 7 8 යඳොතුපිය ය ුතුර ‍ාම නි඼ධාරි යකොට්සාවය තුෂ
යඳොතුපිය ය නමැති ගයම් පිහිය යා ව෕ ද, කංක 53 16 දරන කැඩැව්ාර සිදතියයම් ක඼ාඳ කංක 1 හි කැබලි කංක 16:232 වශ 16:235 දරන ඉඩම්
යකොටව් ය඼ව යඳ්තනුම් යකොට ඇේාා ව෕ ද, හිමිකම් ඳෑම් ඉදිරිඳේ කරන ය඼ව දැනුම් යදමි්ත 1998 කංක 21 දරන හිමිකම් ලියාඳදිංචි කිරීයම් ඳනයේ
55 ලැනි ලග්තතිය ප්‍රකාර 2 250 20 7 ලැනි දින කංක 2422555 දරන ගැවට් ඳත්‍රයේ යථා ඳරිදි ඳෂකරන ඼ද දැ්තවීයම් ව඲ශ්ත යකොට ඇේාා ව෕ ද,
ඉඩම් යකොටව්ල඼ කයිතිය වම්බ්තධයය්ත යමහි ුඳයල්ඛනයේ දැක්කයයලන මායේ තීරණ 1998 කංක 21 දරන හිමිකම් ලියාඳදිංචි කිරීයම් ඳනයේ 14
ලැනි ලග්තතියය්ත ඳශා කේව්ත කරන මා යලා ඳලරා ඇති බ඼ා඼ ප්‍රකාර, මම යමයි්ත ප්‍රකා඾ කරමි0
පී.සී.ඩී. සිශේරා,
ඉඩම් හිමිකම් නිරවුල් කිරීයම් යකොමවාරිව් ජානරාල්0
2 26 ජානලාරි මව 16 ලැනි දින,
බේාරමුල්඼,
රජාමල්ලේා ඳාර,
"මිහිකා මැදුර", කංක 12 56,
ඉඩම් හිමිකම් නිරවුල් කිරීයම් යදඳාර්ායම්්තතුයේ දී ය0
1A - G 046293 - 03 (2026/02)
වැ0යු0- යමම කති විය඾඿ ගැවට් ඳත්‍රය www.documents.gov.lk යලබ් කඩවියය්ත බාගා කෂ ශැක0
2 A III ශකොටව - ශ්‍රී ඼ංකා ‍රජාාතා්ත්‍රික වමාජාලා ජ ජානරජාශඅ අති විශ඾඿ ගැව ප ෙ‍රය - 2026.02.14
උෙශේඛනය
විනි඾්චය්ත වශ යම් විය඾ේ඿ යශෝ
ඉ්තයජා්ත඿්ත ාශනම් යඳෞ්ධගලික
ඉඩම් වි඾ා඼ේලය කයිතිකරුයේ5කයිතිකරුල්තයේ ජාාතික කයිති කයිතියේ කයේක්කය඿ායල්ත ඇති නීතියකට යටේ
යකොටයව ේ වම්පූර්ණ නම5නම් වශ ලිපිනය ශැඳුනුම්ඳේ ඉඩයම් ඳ්තතිය වශ ුකව් වශ බැඳීම් නම් ඒ පිළිබ඲
කංකය කංකය ප්‍රමාණය ව්ලභාලය පිළිබ඲ විව්ාර විව්ාර
(යශක්කයටයාර්)
16:232 0 337 මියගල් යශේලායේ චි්තාක 197416703142 වම්පූර්ණ ප්‍රථම ඳ්තතිය සුයවේ යශේලායේ
ඳ්ධමකුමාර් වියේයවේන මල්ලිකා ප්‍රියානි
කංක 283,ගාලු ඳාර, යන කයයේ
යඳොතුපිය ය,ලා්ධදුල ජීවිා භුක්කයතියට
යටේල
16:235 0 278 මියගල් යශේලායේ චි්තාක 197416703142 වම්පූර්ණ ප්‍රථම ඳ්තතිය සුයවේ යශේලායේ
ඳ්ධමකුමාර් වියේයවේන මල්ලිකා ප්‍රියානි
කංක 283,ගාලු ඳාර, යන කයයේ
යඳොතුපිය ය,ලා්ධදුල ජීවිා භුක්කයතියට
යටේල
EOG 02 - 0115
ශ්‍රී ඼ංකා රජායේ මු‍රණ යදඳාර්ායම්්තතුයේ මු‍රණය කරන ඼දී0</t>
  </si>
  <si>
    <t>6a171598-c2c3-4aa9-91c6-5377847e0211</t>
  </si>
  <si>
    <t>2475_41</t>
  </si>
  <si>
    <t>2475/41</t>
  </si>
  <si>
    <t>Title Registration Act, No. 21 of 1998, Section 14 — Commissioner of Title Settlement's decision under Section 14 (Gazette 2475/41)</t>
  </si>
  <si>
    <t>m1/raw/2475_41.pdf</t>
  </si>
  <si>
    <t>044a6356-fc3e-4747-bea8-571ee29f9719</t>
  </si>
  <si>
    <t>2475_43</t>
  </si>
  <si>
    <t>2475/43</t>
  </si>
  <si>
    <t>Title Registration Act, No. 21 of 1998, Section 14 — Commissioner of Title Settlement's decision under Section 14 (Gazette 2475/43)</t>
  </si>
  <si>
    <t>m1/raw/2475_43.pdf</t>
  </si>
  <si>
    <t>412155d6-af01-43d9-94f5-ae396bbc59dc</t>
  </si>
  <si>
    <t>2475_44</t>
  </si>
  <si>
    <t>2475/44</t>
  </si>
  <si>
    <t>Title Registration Act, No. 21 of 1998, Section 14 — Commissioner of Title Settlement's decision under Section 14 (Gazette 2475/44)</t>
  </si>
  <si>
    <t>m1/raw/2475_44.pdf</t>
  </si>
  <si>
    <t>0cffdeb3-dc90-435c-9644-bbef32b5b2dd</t>
  </si>
  <si>
    <t>2475_45</t>
  </si>
  <si>
    <t>2475/45</t>
  </si>
  <si>
    <t>Title Registration Act, No. 21 of 1998, Section 14 — Commissioner of Title Settlement's decision under Section 14 (Gazette 2475/45)</t>
  </si>
  <si>
    <t>m1/raw/2475_45.pdf</t>
  </si>
  <si>
    <t>b041f75b-c2f9-497b-b6e0-510975859296</t>
  </si>
  <si>
    <t>2475_47</t>
  </si>
  <si>
    <t>2475/47</t>
  </si>
  <si>
    <t>Title Registration Act, No. 21 of 1998, Section 14 — Commissioner of Title Settlement's decision under Section 14 (Gazette 2475/47)</t>
  </si>
  <si>
    <t>m1/raw/2475_47.pdf</t>
  </si>
  <si>
    <t>5d782b95-e386-4aad-b554-4d061cbbf7fc</t>
  </si>
  <si>
    <t>2476_01</t>
  </si>
  <si>
    <t>2476/01</t>
  </si>
  <si>
    <t>Sri Lanka Standards / Food Act No. 235 — Notice (Gazette 2476/01)</t>
  </si>
  <si>
    <t>Notice under the relevant 17th sub-act (Act No. 235). References Gazette 2026.02.09 amendment and 2475/01. Signed by S.B. Aragoda. Part I — General. Dated 13 February 2026.</t>
  </si>
  <si>
    <t>m1/raw/2476_01.pdf</t>
  </si>
  <si>
    <t>Y%S ,xld m%cd;dka;%sl iudcjd§ ckrcfha .eiÜ m;%h
w;s úfYI
,yq;ifr; rdehaf Nrhryprf; FbauR th;j;jkhdg; gj;jphpif
mjp tpNr\khdJ
wxl 2476/01 - 2026 fmnrjdß ui 16 jeks i÷od - 2026'02'16
2476/01 Mk; ,yf;fk; - 2026 Mk; Mz;L ngg;GUtup khjk; 16 Me; jpfjp jpq;fl;fpoik
(murhq;fj;jpd; mjpfhuj;Jld; gpuRupf;fg;gl;lJ)
gFjp I : njhFjp (I) - nghJ
murhq;f mwptpj;jy;fs;
R. g. eh. V877 /gPvy; 305.
Rq;f mwptpj;jy; (nghJ)
Rq;ff; fl;lisr; rl;lk; (mj;jpahak; 235)
me;epar; nryhtzp tPjk;
Rq;ff; fl;lisr; rl;lj;jpd; (235 Mk; mj;jpahak;) 17 Mk; gpuptpdhy; vdf;F mspf;fg;gl;l jj;Jtq;fis mbg;gilahff;
nfhz;L&gt; v];. gP. mWf;nfhl&gt; Rq;fg; gzpg;ghsu; ehafk; Mfpa ehd;&gt; 2026.02.16 Me; jpfjpapypUe;J mKYf;F tUk;
tifapy;&gt; Rq;ff; fl;lisr; rl;lj;jpd; fPo; (mj;jpahak; 235) mwtplg;gLk; Rq;fj; jPu;itfs;&gt; mguhjq;fs; kw;Wk; gwpKjy;fs;
ahTk; kWgf;f ml;ltizapy; jug;gl;Ls;s nryhtzp tPjq;fspy; nrYj;jg;glYk; ngwg;glYk; Ntz;Lk; vd ,j;jhy;
mwpaj;jUfpd;Nwd;.
2026.02.09 Me; jpfjpa 2475/ 01 Mk; ,yf;f tu;j;jkhdpapy; ntspaplg;gl;l nryhtzp tPjq;fs; njhlu;gpyhd
mwptpj;jy; ,j;jhy; ,uj;Jr; nra;ag;gLfpwJ.
v];. gP. mWf;nfhl&gt;
Rq;fg; gzpg;ghsu; ehafk;.
,yq;ifr; Rq;fk;&gt;
nfhOk;G 11&gt;
2026&gt; ngg;GUthp 13.
1A - G 46289 — 09 (2026/02)
,t; mjptpNrl tu;j;jkhdpia www.documents.gov.lk vDk; ,izaj;jsj;jpypUe;J gjptpwf;fk; nra;a KbAk;.
2A I fldgi ( ^I&amp; fPoh - YS% ,xld m%cd;dka;s%l iudcjd§ ckrcfha w;s úfYI .eiÜ m;%h - 2026'02'16
gFjp I : njhFjp (I) - ,yq;ifr; rdehaf Nrhryprf; FbauR tu;j;jkhdg; gj;;jpupif - mjp tpNr\khdJ - 2026.02.16
ml;ltiz
2026.02.16 njhlf;fk; 2026.02.22 Me ; jpfjp tiu mKYfF; tUk ; mee; par;
nryhtzp
njhlu; ehL ehl;Lf; ehzak; ehzaf; nryhtzp
,y. FwpaPL FwpaPL tPjk;
( &amp;gh;)
1. mT];jpNuypah AU mT];jpNuypad; nlhyu; AUD 221.9588
2. g`;Nud; BH g`;Nud; jpdhu; BHD 830.3289
3. gq;fshNj\; BD gq;fshNj\; lhf;fh BDT 2.5596
4. gpNwrpy; BR gpNwrpy; wpay; BRL 60.0604
5. GW}iz BN GW}iz nlhyu; BND 247.7908
6. fdlh CA fNdbad; nlhyu; CAD 229.9537
7. rPdh CN rPdh a{thd; (xg;N\h) CNH 45.3557
8. rPdh CN rPdh a{thd; (nudk; pdg; p) CNY 45.3360
9. nrf;Nfh];rpNyhthf;fpah CZ nrf;Nfh];rpNyhthf;fpah
nfhWdh CZK 15.3230
10. nld;khu;f; DK ldp\; FNuhzu; DKK 49.7480
11. vfpg;J EG vfpg;J gTz; EGP 6.6845
12. A{Nuh tyak; A{Nuh EUR 371.6009
13. fhdh GH fhdh rPb GHS 28.4754
14. n`hq;nfhq ; HK n`hq; nfhq; nlhyu; HKD 40.0572
15. `q;Nfup HU `q;Nfup Nghupd;l; HUF 0.9802
16. ,e;jpah IN ,e;jpa &amp;gh INR 3.4555
17. ,e;NjhNd\pah ID ,e;NjhNd\pad; Wgpah IDR 0.0186
18. &lt;uhd; IR &lt;uhd; wpahy; IRR 0.0000
19. [g;ghd ; JP [g;ghdpa nad; JPY 2.0452
20. N[hu;jhd; JO N[hu;jhd; jpdhu; JOD 441.8615
21. nfhupah KR nfhupad; nthd; KRW 0.2169
22. Fitj; KW Fitj; jpdhu; KWD 1,020.0016
23. kf;fhc MO kf;fhc glhfh MOP 38.8903
24. kNyrpah MY kNyrpah wpd;[pw; MYR 80.0867
25. khiyjPT MV khiyjPT Wg;gpah MVR 20.5588
26. nkhwPrpa]; MU nkhwPrpa]; &amp;gh MUR 6.8205
27. kpad;khu; MM kpad;khu; fpahj; MMK 0.1488
28. Neghsk; NP Neghsk; &amp;gha; NPR 2.1597
29. epA{rpyhe;J NZ epA{rpyhe;J nlhyu; NZD 189.0250
30. ie[Pupah NG ie[Pupah iewh NGN 0.2314
31. Nehu;Nt NO Nehu;Nt FNuhd; NOK 32.8274
32. Xkhd; OM Xkhd; wpahy; OMR 813.2034
33. ghfp];jhd; PK ghfp];jhd; &amp;gha; PKR 1.1191
34. gg;Tth epA{fpdpah PG gg;Tth epA{ fpdpah fpdh PGK 73.1932
35. gpypg;igd;]; PH gpypg;igd;]; ngNrh PHP 5.3869
36. Nghye;J PL Nghye;J ];Nyhl;b PLN 88.1682
37. fl;lhu; QA fl;lhu; wpahy; QAR 85.8707
38. u\;ah RU u\;ah &amp;gpy; RUB 4.0525
I fldgi ( ^I&amp; fPoh - YS% ,xld m%cd;dka;s%l iudcjd§ ckrcfha w;s úfYI .eiÜ m;%h - 2026'02'16 3A
gFjp I : njhFjp (I) - ,yq;ifr; rdehaf Nrhryprf; FbauR tu;j;jkhdg; gj;;jpupif - mjp tpNr\khdJ - 2026.02.16
ml;ltiz (njhlh;r;rp)
njhlu; ehL ehl;Lf; ehzak; ehzaf; nryhtzp
,y. FwpaPL FwpaPL tPjk;
(,yq;if &amp;ghtpy;)
39. rt{jp mNugpah SA rt{jp mNugpah wpahy; SAR 83.4757
40. rPnry;]; SC rPnry;]; &amp;gha; SCR 22.3991
41. rpq;fg;G{u; SG rpq;fg;G{u; nlhyu; SGD 247.7908
42. njd; Mgpupf;fh ZA njd; Mgpupf;fh nud;l; ZAR 19.6300
43. RtPld; SE RtPb\; FNuhzu; SEK 35.0817
44. Rtpw;ru;yhe;J CH Rtp]; gpuhq; CHF 406.9399
45. jha;thd; TW jha;thd; nlhyu; TWD 9.9463
46. jha;yhe;J TH jha;yhe;J ghj; THB 10.0701
47. If;fpa muG ,uhr;rpak; AE If;fpa muG ,uhr;rpak;
jpu;fhk; AED 85.2325
48. If;fpa ,uhr;rpak; GB ];Nuypq; gTz; GBP 426.3862
49. If;fpa mnkupf;fh ehLfs; US mnkupf;fd; nlhyu; USD 313.0589
50. rk;gpah (gioa) ZM rk;gpah f;tr;rh (gioa) ZMK 16.7860
EOG 02 - 0111
,yq;if murhq;f mr;Rj; jpizf;fsj;jpw; gjpg;gpf;fg;ngw;wJ.</t>
  </si>
  <si>
    <t>51e36398-3335-4e2f-ab38-d79469405898</t>
  </si>
  <si>
    <t>2476_02</t>
  </si>
  <si>
    <t>2476/02</t>
  </si>
  <si>
    <t>Land Acquisition Act (Chapter 460), Section 5 — Notice of Intended Acquisition (Gazette 2476/02)</t>
  </si>
  <si>
    <t>m1/raw/2476_02.pdf</t>
  </si>
  <si>
    <t>III ෙකාටස - (cid:636) ලංකා (cid:541)ජාතා(cid:486)(cid:437)ක සමාජවා(cid:463) ජනරජෙ(cid:591) අ(cid:431) (cid:618)ෙශෂ ගැස(cid:376) ප(cid:436)ය - 2026.02.16 1A
பகுதி III - இலங்ைகச் சனநாயக ேசாச(cid:8098)சக் கு(cid:8074)யரசு வர்த்தமானப் பத்திாிைக - அதி விேசஷமான(cid:8080) - 2026.02.16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22447766// 0022 -- 22002266 ෙෙපපබබරරවවාා(cid:604)(cid:604) මමසස 1166 වවැැ(cid:487)(cid:487) සස(cid:511)(cid:511)දදාා -- 22002266..0022..1166
22447766//0022 ஆஆம்ம் இஇலலக்க்ககம்ம் -- 22002266 ஆஆம்ம் ஆஆண்ண்(cid:8076)(cid:8076) ெ ெபபப்ப்(cid:8087)(cid:8087)(cid:8094)(cid:8094)வவாாிி மமாாததம்ம் 1166 ஆஆந்ந் ததிிககததிி ததிிங்ங்ககட்ட்ககிிழழைைமம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பிாி(cid:8107) (அ) வின் கீழான கட்டைள II.. ககாாணணிி எஎ(cid:8076)(cid:8076)த்த்ததல்ல் உஉத்த்ததிிேேயயாாககத்த்ததர்ர் :: பிரேதச ெசயலாளர்,
ெமத(cid:8080)ம்பர.
22002255 ஆஆம்ம் ஆஆண்ண்(cid:8074)(cid:8074)ன்ன் 114422 ஆஆம்ம் இஇலலக்க்ககக்க் ககட்ட்டடைைளள
என(cid:8080) குறிப்(cid:8087) இல.: 13/97/FR/244. IIII.. ககாாணணிியயிின்ன் வவிிபபரரம்ம் :: மத்திய மாகாணத்தில் கண்(cid:8074)
பிரேதச ெசயலாளர் குறிப்(cid:8087) இல.: KDS/MDB/4/2/1/79/06. மாவட்டத்தில் ெமத(cid:8080)ம்பர பிரேதச ெசயலாளர் பிாிவில்
உடசிய பற்(cid:8096) ெதற்த சி(cid:8096) பிாிவில் மாங்ெகாட (806) கிராம
காணி எ(cid:8076)த்தற் சட்டத்தின் (அத்தியாயம் 460) 38 ஆம் அ(cid:8100)வலா் பிாிவில், மாங்ெகாட கிராமத்தில்
பிாி(cid:8107) (அ) வினால் எனக்களிக்கப்பட்ட தத்(cid:8080)வங்களின் அைமந்(cid:8080)ள்ள நில அளைவயாளர் நாயகத்தினால்
பிரகாரம் கமத்ெதாழில், கால்நைட வளங்கள், காணி தயாாிக்கப்பட்ட வைரபட இல. மஹ 6718, 2017.10.20
மற்(cid:8096)ம் நீர்ப்பாசன அைமச்சர் குரகமேக ெதான் லால் காந்த ஆந் திகதிய, ஆரம்ப வைரபடத்தில் விபரமாக காட்டப்பட்ட
ஆகிய நான், இங்கு கீழ்க் கா(cid:8078)ம் அட்டவைணயின் I ஆம் பின்வ(cid:8094)ம் ெபயர்கள், விஸ்தீரணங்கைளக் ெகாண்ட காணித்
பந்தியில் குறிப்பிடப்பட்ட காணி எ(cid:8076)த்தல் உத்திேயாக(cid:8094)க்கு (cid:8080)ண்(cid:8076)களின் எல்ைலகள் :
அல்ல(cid:8080) அவரால் அதிகாரமளிக்கப்பட்ட எவேர(cid:8084)ம்
உத்திேயாகத்தெரா(cid:8094)வ(cid:8094)க்கு அவ் அட்டவைணயின் ேநெராத்த
0011.. (cid:8080)(cid:8080)ண்ண்(cid:8076)(cid:8076) இஇலல.. 11 -- அஅங்ங்குகு(cid:8094)(cid:8094)ெெககாாலலவவத்த்ைைதத -- வவிிஸ்ஸ்ததீீரரணணம்ம் ::
II ஆம் பந்தியில் விபாிக்கப்பட்ட காணியின் இ(cid:8094)ப்பாட்சிைய
00..00116600 ெெஹஹக்க்டடயயாார்ர்
ெபா(cid:8096)ப்ேபற்பதற்கு இத்தால் கட்டைளயி(cid:8076)கின்ேறன்.
வடக்கு: உாிைம ேகா(cid:8094)ேவார் கண்டறிய (cid:8089)(cid:8074)யாத
அங்கு(cid:8094)ெகாலவத்ைத (உ.வ. 56164); கிழக்கு: ஆ.வ. A253
ேக.(cid:8074). லால் காந்த,
இல் (cid:8080)ண்(cid:8076) இல. 1 மற்(cid:8096)ம் இந்த வைரபடத்தில் (cid:8080)ண்(cid:8076)
கமத்ெதாழில், கால்நைட வளங்கள்,
இல. 2; ெதற்கு: (cid:8080)ண்(cid:8076) இல. 2, ஆ.வ. A253 இல. (cid:8080)ண்(cid:8076)
காணி மற்(cid:8096)ம் நீர்ப்பாசன அைமச்சர்.
இல. 1 மற்(cid:8096)ம் உாிைம ேகா(cid:8094)ேவார் கண்டறிய (cid:8089)(cid:8074)யாத
அங்கு(cid:8094)ெகாலவத்ைத; ேமற்கு: உாிைம ேகா(cid:8094)ேவார் கண்டறிய
கமத்ெதாழில், கால்நைட வளங்கள், காணி
மற்(cid:8096)ம் நீர்ப்பாசன அைமச்சு, (cid:8089)(cid:8074)யாத அங்கு(cid:8094)ெகாலவத்ைத (உ.வ.56164).
“மிஹிகத ெம(cid:8080)ர”, காணிச் ெசயலகம்,
இல. 1200/6, இரஜமல்வத்ைத (cid:8106)தி,
பத்தர(cid:8089)ல்ைல,
2025, திெசம்பர் 19.
1A - G46302 - 13 (2026/02)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- 2026.02.16
பகுதி III - இலங்ைகச் சனநாயக ேசாச(cid:8098)சக் கு(cid:8074)யரசு வர்த்தமானப் பத்திாிைக - அதி விேசஷமான(cid:8080) - 2026.02.16
0022.. (cid:8080)(cid:8080)ண்ண்(cid:8076)(cid:8076) இஇலல.. 22 -- அஅங்ங்குகு(cid:8094)(cid:8094)ெெககாாலலவவத்த்ைைதத -- வவிிஸ்ஸ்ததீீரரணணம்ம் :: ஆகிய நான், இங்கு கீழ்க் கா(cid:8078)ம் அட்டவைணயின் I ஆம்
33..44556611 ெெஹஹக்க்டடயயாார்ர் பந்தியில் குறிப்பிடப்பட்ட காணி எ(cid:8076)த்தல் உத்திேயாக(cid:8094)க்கு
வடக்கு: உாிைம ேகா(cid:8094)ேவார் கண்டறிய (cid:8089)(cid:8074)யாத அல்ல(cid:8080) அவரால் அதிகாரமளிக்கப்பட்ட எவேர(cid:8084)ம்
அங்கு(cid:8094)ெகாலவத்ைத (உ.வ.56164), ஆ.வ.A253 இல் (cid:8080)ண்(cid:8076) உத்திேயாகத்தெரா(cid:8094)வ(cid:8094)க்கு அவ் அட்டவைணயின்
இல. 1, எம்.எப்.ஏ.ஆப்தீன் மற்(cid:8096)ம் இன்(cid:8084)ம் சிலர் உாிைம ேநெராத்த II ஆம் பந்தியில் விபாிக்கப்பட்ட
ேகா(cid:8094)ம் அங்கு(cid:8094)ெகாலவத்ைத (உ.வ.56164, ஆ.வ.A253 இல் காணியின் இ(cid:8094)ப்பாட்சிைய ெபா(cid:8096)ப்ேபற்பதற்கு இத்தால்
(cid:8080)ண்(cid:8076) இல. 3, எம்.எப்.ஏ.ஆப்தீன் மற்(cid:8096)ம் இன்(cid:8084)ம் சிலர் கட்டைளயி(cid:8076)கின்ேறன்.
உாிைம ேகா(cid:8094)ம் அங்கு(cid:8094)ெகாலவத்ைத (உ.வ.56164); கிழக்கு:
(cid:8080)ண்(cid:8076) இல. 3, ஏ.ஆர்.எம்.(cid:8074)ங்கிாிபண்டா மற்(cid:8096)ம் இன்(cid:8084)ம் ேக.(cid:8074). லால் காந்த,
சிலர் உாிைமேகா(cid:8094)ம் அங்கு(cid:8094)ெகாலவத்ைத (உ.வ.56164), கமத்ெதாழில், கால்நைட வளங்கள்,
ஆ.வ.A253 இல் (cid:8080)ண்(cid:8076) இல. 4,1,15 மற்(cid:8096)ம் ஆ.வ.மஹ 5730 காணி மற்(cid:8096)ம் நீர்ப்பாசன அைமச்சர்.
இல் (cid:8080)ண்(cid:8076) இல. 1; ெதற்கு: ஆ.வ.A253 இல் (cid:8080)ண்(cid:8076) இல.
1, 15 மற்(cid:8096)ம் ஆ.வ.மஹ 5730 இல் (cid:8080)ண்(cid:8076) இல. 1; ேமற்கு: கமத்ெதாழில், கால்நைட வளங்கள், காணி
ஆ.வ.A253 இல் (cid:8080)ண்(cid:8076) இல. 1, 15 உாிைம ேகா(cid:8094)ேவார் மற்(cid:8096)ம் நீர்ப்பாசன அைமச்சு,
ெதாியாத அங்கு(cid:8094)ெகாலவத்ைத மற்(cid:8096)ம் (cid:8080)ண்(cid:8076) இல 1. “மிஹிகத ெம(cid:8080)ர”, காணிச் ெசயலகம்,
இல. 1200/6, இரஜமல்வத்ைத (cid:8106)தி,
0033.. (cid:8080)(cid:8080)ண்ண்(cid:8076)(cid:8076) இஇலல.. 33 -- அஅங்ங்குகு(cid:8094)(cid:8094)ெெககாாலலவவத்த்ைைதத -- வவிிஸ்ஸ்ததீீரரணணம்ம் :: பத்தர(cid:8089)ல்ைல,
00..11886655 ெெஹஹக்க்டடயயாார்ர் 2025, நெவம்பர் 21.
வடக்கு: (cid:8080)ண்(cid:8076) இல. 2, எம்.எப்.ஏ.ஆப்தீன் மற்(cid:8096)ம் இன்(cid:8084)ம்
சிலர் உாிைம ேகா(cid:8094)ம் அங்கு(cid:8094)ெகாலவத்ைத (உ.வ.56164)
அஅட்ட்டடவவைைணண
மற்(cid:8096)ம் ஏ.ஆர்.எம்.(cid:8074)ங்கிாிபண்டா மற்(cid:8096)ம் இன்(cid:8084)ம் சிலர்
உாிைம ேகா(cid:8094)ம் அங்கு(cid:8094)ெகாலவத்ைத (உ.வ.56164); கிழக்கு:
II.. ககாாணணிி எஎ(cid:8076)(cid:8076)த்த்ததல்ல் உஉத்த்ததிிேேயயாாககத்த்ததர்ர் :: பிரேதச ெசயலாளர்,
ஏ.ஆர்.எம்.(cid:8074)ங்கிாிபண்டா மற்(cid:8096)ம் இன்(cid:8084)ம் சிலர் உாிைம
(cid:8089)ல(cid:8074)யன.
ேகா(cid:8094)ம் அங்கு(cid:8094)ெகாலவத்ைத (உ.வ.56164); ெதற்கு: ஏ.ஆர்.
எம்.(cid:8074)ங்கிாிபண்டா மற்(cid:8096)ம் இன்(cid:8084)ம் சிலர் உாிைம ேகா(cid:8094)ம்
IIII.. ககாாணணிியயிின்ன் வவிிபபரரம்ம் :: ெதன் மாகாணத்தில்
அங்கு(cid:8094)ெகாலவத்ைத (உ.வ.56164) மற்(cid:8096)ம் ஆ.வ.A253 இல்
மாத்தைற மாவட்டத்தில் (cid:8089)ல(cid:8074)யன பிரேதச
(cid:8080)ண்(cid:8076) இல. 4; ேமற்கு: (cid:8080)ண்(cid:8076) இல. 2.
ெசயலாளர் பிாிவில் இல. 271B, குடாபான
கிராம அ(cid:8100)வலா் பிாிவில் குடாபான கிராமத்தில்
EOG 02-0124
அைமந்(cid:8080)ள்ள நில அளைவயாளர் நாயகத்தினால்
தயாாிக்கப்பட்ட வைரபட இல. க.வ. 820412, ெதாகுதி
இல. 03, தாள் இல. 1, காணி விபரப் பட்(cid:8074)யல் பக்க இல. 1,
2013.12.07 ஆந் திகதிய, ஆரம்ப வைரபடத்தில் விபரமாக
காட்டப்பட்ட பின்வ(cid:8094)ம் ெபயர், விஸ்தீரணத்ைதக் ெகாண்ட
ககாாணணிி எஎ(cid:8076)(cid:8076)த்த்ததற்ற் சசட்ட்டடம்ம் ((அஅத்த்ததிியயாாயயம்ம் 446600)) காணித் (cid:8080)ண்(cid:8076)ன் எல்ைலகள் :
38 ஆம் பிாி(cid:8107) (அ) வின் கீழான கட்டைள
0011.. (cid:8080)(cid:8080)ண்ண்(cid:8076)(cid:8076) இஇலல.. 11 -- பபட்ட்ேேடடேேஹஹனன -- வவிிஸ்ஸ்ததீீரரணணம்ம் :: 00..00449955
22002255 ஆஆம்ம் ஆஆண்ண்(cid:8074)(cid:8074)ன்ன் 114433 ஆஆம்ம் இஇலலக்க்ககக்க் ககட்ட்டடைைளள ெெஹஹக்க்டடயயாார்ர்
வடக்கு: வ.நி.அ.ஆ.வ. 26 (ெதாகுதி 3); கிழக்கு: இ.கி.வ.
என(cid:8080) குறிப்(cid:8087) இல.: 4-3/2/2011/FR/76.
128 இல் (cid:8080)ண்(cid:8076) இல 7A மற்(cid:8096)ம் 7B (ெதாகுதி 3); ெதற்கு:
பிரேதச ெசயலாளர் குறிப்(cid:8087) இல.: MUL/LND/2/ACQ/40.
இ.கி.வ. 128 இல் (cid:8080)ண்(cid:8076) இல 7B மற்(cid:8096)ம் 7 (ெதாகுதி 3); ேமற்கு:
இ.கி.வ. 128 இல் (cid:8080)ண்(cid:8076) இல. 7 மற்(cid:8096)ம் வ.நி.அ.ஆ.வ. 26
காணி எ(cid:8076)த்தற் சட்டத்தின் (அத்தியாயம் 460) 38 ஆம்
(ெதாகுதி 3).
பிாி(cid:8107) (அ) வினால் எனக்களிக்கப்பட்ட தத்(cid:8080)வங்களின்
பிரகாரம் கமத்ெதாழில், கால்நைட வளங்கள், காணி
மற்(cid:8096)ம் நீர்ப்பாசன அைமச்சர் குரகமேக ெதான் லால் காந்த EOG 02-0125
இலங்ைக அரசாங்க அச்சுத் திைணக்களத்தில் அச்சிடப்பட்ட(cid:8080).</t>
  </si>
  <si>
    <t>a8fd9732-a310-4186-a317-d71119c26861</t>
  </si>
  <si>
    <t>2476_03</t>
  </si>
  <si>
    <t>2476/03</t>
  </si>
  <si>
    <t>Land Acquisition Act (Chapter 460), Section 5 — Notice of Intended Acquisition (Gazette 2476/03)</t>
  </si>
  <si>
    <t>m1/raw/2476_03.pdf</t>
  </si>
  <si>
    <t>III කො�ොටස - ශ්‍රී ලංං�ො ප්‍රජාොතාොන්ත්‍රි� සමාොජාවාොදී ජානරජාකො� අති විකො�ෂ ගැැසට් පත්‍රය - 2026.02.16 1A
பகுதிி III - இலங்கைைச் சனநாாயை சசாசலிசக் குடியரசு வர்த்திமாானப் பத்திிாிகைை - அதிி விசசஷமாானது - 2026.02.16
ශ්‍රීශ්‍රී ලංලංංංකාකාාා ප්‍රප්‍රජාජාාාතාතාාාන්න්ත්‍රිත්‍රිකාකා සසමාමාාාජාජාවාවාාාදීදී ජාජානනරරජාජායේයේ�� ගැගැැැසසට්ට් පපත්‍රත්‍රයය
இஇலலங்ங்்க்ககைகைச்ச் சசனனநநாாயயகைகை சசசசாாசசலிலிசசக்க் குகுடிடியயரரசுசு வவர்ர்்த்்த்்த்தமமாானனப்ப் பப்த்்த்்த்ததிதிாாதிதி்க்ககைகை
අඅතිති විවියේයේ��ෂෂ அஅ்த்ததிதி வவதிதிசசசசஷஷமமாானனதுது
අංඅංංංකක 22447766//0033 -- 22002266 පෙපෙෙෙබබරරවාවාාාරිරි මමසස 1166 වාවාැැනිනි සසඳුඳුදාදාාා -- 22002266..0022..1166
2476/03 ஆம் இலக்கைம் - 2026 ஆம் ஆண்டு பெ பப்புருவாதி மா்தம் 16 ஆந் ்ததிகை்ததி ்ததிங்கைட்கைதிழ்கம
(அரசாங்கை்த்்ததின் அ்ததிகைார்த்துடன் பதிரசுாதிக்கைப்பட்டது)
பபகுகு்த்ததிதி IIIIII -- கைகைாாணணதிதிகைகைள்ள்
கைகைாாணணதிதி பெ பெகைகைாாள்ள்வவனனவுவு பபற்ற்றிறிதிதியய அஅறிறிதிதிவவதிதி்த்்த்்த்தல்ல்கைகைள்ள்
கைகைாாணணதிதி எஎடுடு்த்்த்்த்தற்ற் சசட்ட்டடம்ம் ((அஅ்த்்த்்த்ததிதியயாாயயம்ம் 446600)) அஅட்ட்டடவவ்க்கணண
38 ஆம் பதிாதிவு (அ) வதின் கைீழான கைட்ட்கள II.. கைகைாாணணதிதி எஎடுடு்த்்த்்த்தல்ல் உஉ்த்்த்்த்ததிதிசசயயாாகைகை்த்்த்்த்தர்ர் : பதிரச்தச பெசயலாளர்,
பன்வதில.
22002255 ஆஆம்ம் ஆஆண்ண்டிடின்ன் 114444 ஆஆம்ம் இஇலலக்க்கைகைக்க் கைகைட்ட்டட்க்களள
IIII.. கைகைாாணணதிதியயதிதின்ன் வவதிதிபபரரம்ம் :: ம்த்்ததிய மாகைாணம், கைண்டி மாவட்டம்,
எனது குறிதிப்பு இல.: 13/97/FR/331.
பன்வதில பதிரச்தச பெசயலாளர் பதிாதிவதில் பலிஸ் பற்று சமற்கு
பதிரச்தச பெசயலாளர் குறிதிப்பு இல.: KDS/PAN/04/04/02/02.
சதிறு பதிாதிவதில், பெப்த்ச்தகைம கைதிராம்த்்ததில் அ்கமந்துள்ள,
கைாணதி எடு்த்்தற் சட்ட்த்்ததின் (அ்த்்ததியாயம் 460) 38 ஆம் பதிாதிவு நதில அள்கவயாளர் நாயகை்த்்ததினால் ்தயாாதிக்கைப்பட்ட
(அ) வதினால் எனக்கைளதிக்கைப்பட்ட ்த்த்துவங்கைளதின் பதிரகைாரம் வ்கரபட இல. மஹி 5582, 2004.08.09 ஆந் ்ததிகை்ததிய ஆரம்ப
கைம்த்பெ்தாழதில், கைால்ந்கட வளங்கைள், கைாணதி மற்றும் நீர்ப்பாசன வ்கரபட்த்்ததில் வதிபரமாகை கைாட்டப்பட்ட பதின்வரும் பெபயர்கைள்,
அ்கமச்சர் குரகைமசகை பெ்தான் லால் கைாந்்த ஆகைதிய நான், இங்கு
வதிஸ்்தீரணங்கை்களக் பெகைாண்ட கைாணதி்த் துண்டுகைளதின்
கைீழ் வதிபாதிக்கைப்பட்டுள்ள அட்டவ்கணயதில் I ஆம் பந்்ததியதில்
எல்்கலகைள் :
குறிதிப்பதிடப்பட்ட கைாணதி எடு்த்்தல் உ்த்்ததிசயாகை்த்்தருக்கு
அல்லது அவரால் அ்ததிகைாரமளதிக்கைப்பட்ட எவசரனும் உ்த்்ததி
01. துதுண்ண்டுடு இஇலல.. 11 –– பபட்ட்டடகைகைலல பபதிதிாாதிதிவுவு -- வவதிதிஸ்ஸ்்த்தீீரரணணம்ம்::
சயாகை்த்்தர் ஒருவருக்கு அவ்வட்டவ்கணயதின் சநபெரா்த்்த II
ஆம் பந்்ததியதில் வதிபாதிக்கைப்பட்ட கைாணதியதின் இருப்பாட்சதி்கயப் 11..88445566 பெபெஹிஹிக்க்டடயயாார்ர்
பெபாறுப்சபற்ப்தற்கு இ்த்்தால் கைட்ட்களயதிடுகைதின்சறின். வடக்கு : கைால்வாய், என். டப்ளதியூ. சதி்த்்ததி ரஷதினா மற்றும்
இன்னும் சதிலர் உாதி்கம சகைாரும் பட்டகைல பதிாதிவு மற்றும் வீ்ததி;
சகை.டி. லால் கைாந்்த,
கைதிழக்கு : என். டப்ளதியூ. சதி்த்்ததி ரஷதினா மற்றும் இன்னும் சதிலர்
கைம்த்பெ்தாழதில், கைால்ந்கட வளங்கைள்,
உாதி்கம சகைாரும் பட்டகைல பதிாதிவு மற்றும் வீ்ததி; பெ்தற்கு : வீ்ததி;
கைாணதி மற்றும் நீர்ப்பாசன அ்கமச்சர்.
சமற்கு : பதிரச்தச ச்கப வீ்ததி.
கைம்த்பெ்தாழதில், கைால்ந்கட வளங்கைள், கைாணதி
மற்றும் நீர்ப்பாசன அ்கமச்சு,
02. துதுண்ண்டுடு இஇலல.. 22 –– பபட்ட்டடகைகைலல பபதிதிாாதிதிவுவு -- வவதிதிஸ்ஸ்்த்தீீரரணணம்ம்::
“மதிஹிதிகை்த பெமதுர”,
44..99443399 பெபெஹிஹிக்க்டடயயாார்ர்
கைாணதிச் பெசயலகைம்,
வடக்கு : வீ்ததி, சசர நதிசரா்தான ்ததியான நதி்கலயம் உாதி்கம
இல. 1200/6, இரஜமல்வ்த்்க்த வீ்ததி,
ப்த்்தரமுல்்கல. சகைாரும் ச்தாட்டம், பதிரச்தச ச்கப வீ்ததி மற்றும் வீ்ததி; கைதிழக்கு :
2025, ்ததிபெசம்பர் 19. வீ்ததி, கைால்வாய் மற்றும் ்ததிகைல்பெபா்த ஓயா; பெ்தற்கு : கைால்வாய்
1A - G46303 - 13 (2026/02)
இவ் அ்ததிவதிச ஷட வர்்த்்தமானதி்கய www.documents.gov.lk எனும் இ்கணய்த்்தள்த்்ததிலிருந்து ப்ததிவதிறிக்கைம் பெசய்ய முடியும்.
2A III කො�ොටස - ශ්‍රී ලංං�ො ප්‍රජාොතාොන්ත්‍රි� සමාොජාවාොදී ජානරජාකො� අති විකො�ෂ ගැැසට් පත්‍රය - 2026.02.16
பகுதிி III - இலங்கைைச் சனநாாயை சசாசலிசக் குடியரசு வர்த்திமாானப் பத்திிாிகைை - அதிி விசசஷமாானது - 2026.02.16
மற்றும் ்ததிகைல்பெபா்த ஓயா; சமற்கு : ்ததிகைல்பெபா்த ஓயா மற்றும் II ஆம் பந்்ததியதில் வதிபாதிக்கைப்பட்ட கைாணதியதின் இருப்பாட்சதி்கயப்
கைால்வாய். பெபாறுப்சபற்ப்தற்கு இ்த்்தால் கைட்ட்களயதிடுகைதின்சறின்.
03. துதுண்ண்டுடு இஇலல.. 33 –– பபட்ட்டடகைகைலல பபதிதிாாதிதிவுவு -- வவதிதிஸ்ஸ்்த்தீீரரணணம்ம்:: சகை.டி. லால் கைாந்்த,
22..22667755 பெபெஹிஹிக்க்டடயயாார்ர் கைம்த்பெ்தாழதில், கைால்ந்கட வளங்கைள்,
வடக்கு : அரச பெபருந்ச்தாட்ட கூட்டு்த்்தாபனம் உாதி்கம கைாணதி மற்றும் நீர்ப்பாசன அ்கமச்சர்.
சகைாரும் நக்கைதிள்ஸ் குரூப்(பட்டகைல பதிாதிவு) ச்தயதி்கல்த்
கைம்த்பெ்தாழதில், கைால்ந்கட வளங்கைள், கைாணதி
ச்தாட்டம் மற்றும் பதிரச்தச ச்கப வீ்ததி; கைதிழக்கு : கைால்வாய்
மற்றும் நீர்ப்பாசன அ்கமச்சு,
மற்றும் ்ததிகைல்பெபா்த ஓயா; பெ்தற்கு : ்ததிகைல்பெபா்த ஓயா; சமற்கு :
“மதிஹிதிகை்த பெமதுர”,
்ததிகைல்பெபா்த ஓயா மற்றும் அரச பெபருந்ச்தாட்ட கூட்டு்த்்தாபனம்
கைாணதிச் பெசயலகைம்,
உாதி்கம சகைாரும் நக்கைதிள்ஸ் குரூப்(பட்டகைல பதிாதிவு) ச்தயதி்கல்த்
இல. 1200/6, இரஜமல்வ்த்்க்த வீ்ததி,
ச்தாட்டம்.
ப்த்்தரமுல்்கல.
2025, ்ததிபெசம்பர் 19.
EOG 02- 0126 அஅட்ட்டடவவ்க்கணண
____________________ II.. கைகைாாணணதிதி எஎடுடு்த்்த்்த்தல்ல் உஉ்த்்த்்த்ததிதிசசயயாாகைகை்த்்த்்த்தர்ர் : பதிரச்தச பெசயலாளர்,
உடதும்பர.
கைகைாாணணதிதி எஎடுடு்த்்த்்த்தற்ற் சசட்ட்டடம்ம் ((அஅ்த்்த்்த்ததிதியயாாயயம்ம் 446600))
IIII.. கைகைாாணணதிதியயதிதின்ன் வவதிதிபபரரம்ம் :: ம்த்்ததிய மாகைாணம், கைண்டி மாவட்டம்,
உடதும்பர பதிரச்தச பெசயலாளர் பதிாதிவதில் கைங்பெ்தகை சகைாரசள
38 ஆம் பதிாதிவு (அ) வதின் கைீழான கைட்ட்கள
சதிறு பதிரவதில் கைரம்பபெகைட்டிய(896) கைதிராம அலுவலர் பதிாதிவதில்,
மீமுசர கைதிராம்த்்ததில் அ்கமந்துள்ள, நதில அள்கவயாளர்
22002255 ஆஆம்ம் ஆஆண்ண்டிடின்ன் 114455 ஆஆம்ம் இஇலலக்க்கைகைக்க் கைகைட்ட்டட்க்களள
நாயகை்த்்ததினால் ்தயாாதிக்கைப்பட்ட இல. மஹி 5719, 2005.08.25
ஆந் ்ததிகை்ததிய ஆரம்ப வ்கரபட்த்்ததில் வதிபரமாகை கைாட்டப்பட்ட
எனது குறிதிப்பு இல.: L03J/95/FR/190.
பதின்வரும் பெபயர்கைள், வதிஸ்்தீரணங்கை்களக் பெகைாண்ட கைாணதி்த்
பதிரச்தச பெசயலாளர் குறிதிப்பு இல.: KDS/UDB/4/1/1/22.
துண்டின் எல்்கலகைள் :
கைாணதி எடு்த்்தற் சட்ட்த்்ததின் (அ்த்்ததியாயம் 460) 38 ஆம் பதிாதிவு 01. துதுண்ண்டுடு இஇலல.. 11 –– உஉடடஇஇ்த்ததிதிகைகைடட வவ்த்்த்்க்க்த்த -- வவதிதிஸ்ஸ்்த்தீீரரணணம்ம்::
(அ) வதினால் எனக்கைளதிக்கைப்பட்ட ்த்த்துவங்கைளதின் பதிரகைாரம் 00..88668833 பெபெஹிஹிக்க்டடயயாார்ர்
கைம்த்பெ்தாழதில், கைால்ந்கட வளங்கைள், கைாணதி மற்றும் நீர்ப்பாசன வடக்கு : டப்ளதியூ. ஜீ. டிங்கைதிரால உாதி்கம சகைாரும் உட
அ்கமச்சர் குரகைமசகை பெ்தான் லால் கைாந்்த ஆகைதிய நான், இங்கு இ்ததிகைட வ்த்்க்த; கைதிழக்கு : எச். எம். பீ. ஜீ. முதுபண்டா உாதி்கம
கைீழ் வதிபாதிக்கைப்பட்டுள்ள அட்டவ்கணயதில் I ஆம் பந்்ததியதில் சகைாரும் உட இ்ததிகைட வ்த்்க்த; பெ்தற்கு : கைால்வாய்; சமற்கு :
குறிதிப்பதிடப்பட்ட கைாணதி எடு்த்்தல் உ்த்்ததிசயாகை்த்்தருக்கு ந்கடபா்க்த.
அல்லது அவரால் அ்ததிகைாரமளதிக்கைப்பட்ட எவசரனும்
உ்த்்ததிசயாகை்த்்தர் ஒருவருக்கு அவ்வட்டவ்கணயதின் சநபெரா்த்்த
EOG 02- 0127
இலங்்ககை அரசாங்கை அச்சு்த் ்ததி்கணக்கைள்த்்ததில் அச்சதிடப்பட்டது.</t>
  </si>
  <si>
    <t>00a02c33-58a6-4862-a773-e9c37134a5b3</t>
  </si>
  <si>
    <t>2476_04</t>
  </si>
  <si>
    <t>2476/04</t>
  </si>
  <si>
    <t>Title Registration Act, No. 21 of 1998, Section 14 — Commissioner of Title Settlement decision (Gazette 2476/04)</t>
  </si>
  <si>
    <t>m1/raw/2476_04.pdf</t>
  </si>
  <si>
    <t>III ෙක(cid:675)ටස - (cid:636) ලංකා (cid:541)ජාතා(cid:486)(cid:437)ක සමාජවා(cid:463) ජනරජෙ(cid:591) අ(cid:431) (cid:618)ෙශෂ ගැස(cid:376) ප(cid:436)ය - 2026.02.16 1A
ப(cid:8065)தி III - இல(cid:8113)ைக(cid:8114) சனநாயக ேசாச(cid:8098)ச(cid:8112) (cid:8065)(cid:8074)யர(cid:8070) வ(cid:8125)(cid:8119)தமான(cid:8122) ப(cid:8119)திாிைக - அதி விேசஷமான(cid:8080) - 2026.02.16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2476/04 - 2026 ෙපබරවා(cid:604) මස 16 වැ(cid:487) ස(cid:511)දා - 2026.02.16
2476/04 ஆ(cid:8123) இல(cid:8112)க(cid:8123) - 2026 ஆ(cid:8123) ஆ(cid:8118)(cid:8076) ெப(cid:8122)(cid:8087)(cid:8094)வாி மாத(cid:8123) 16 ஆ(cid:8120) திகதி தி(cid:8113)க(cid:8117)கிழைம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அ(cid:8117)டவைண
38 ஆ(cid:8123) பிாி(cid:8107) (அ) வி(cid:8121) கீழான க(cid:8117)டைள I. காணி எ(cid:8076)(cid:8119)த(cid:8127) உ(cid:8119)திேயாக(cid:8119)த(cid:8125) : பிரேதச ெசயலாள(cid:8125),
ர(cid:8123)(cid:8087)(cid:8112)கன.
2025 ஆ(cid:8123) ஆ(cid:8118)(cid:8074)(cid:8121) 146 ஆ(cid:8123) இல(cid:8112)க(cid:8112) க(cid:8117)டைள
II. காணியி(cid:8121) விபர(cid:8123) : ச(cid:8122)பிரக(cid:8089)வ மாகாண(cid:8123), ேககாைல
என(cid:8080) (cid:8065)றி(cid:8122)(cid:8087) இல.: 4-3/2/2015/Z/62. மாவ(cid:8117)ட(cid:8123), ர(cid:8123)(cid:8087)(cid:8112)கன பிரேதச ெசயலாள(cid:8125) பிாிவி(cid:8127), இல.
பிரேதச ெசயலாள(cid:8125) (cid:8065)றி(cid:8122)(cid:8087) இல.: KEG/RBK/LL/AQURE/ 09B, ேயாதகம கிராம அ(cid:8100)வல(cid:8125) பிாிவி(cid:8127), ேயாதகம
D55/02/01. கிராம(cid:8119)தி(cid:8127) அைம(cid:8120)(cid:8080)(cid:8128)ள, நில அளைவயாள(cid:8125) நாயக(cid:8119)தா(cid:8127)
தயாாி(cid:8112)க(cid:8122)ப(cid:8117)ட இல. ஆ.வ.ேக. 3780, 2020.07.29 ஆ(cid:8120) திகதிய
காணி எ(cid:8076)(cid:8119)த(cid:8126) ச(cid:8117)ட(cid:8119)தி(cid:8121) (அ(cid:8119)தியாய(cid:8123) 460) 38 ஆ(cid:8123) ஆர(cid:8123)ப வைரபட(cid:8119)தி(cid:8127) விபரமாக கா(cid:8117)ட(cid:8122)ப(cid:8117)ட பி(cid:8121)வ(cid:8094)(cid:8123)
பிாி(cid:8107) (அ) வினா(cid:8127) என(cid:8112)களி(cid:8112)க(cid:8122)ப(cid:8117)ட த(cid:8119)(cid:8080)வ(cid:8113)களி(cid:8121)
ெபய(cid:8125), வி(cid:8132)தீரண(cid:8119)ைத(cid:8112) ெகா(cid:8118)ட காணி(cid:8119) (cid:8080)(cid:8118)(cid:8076)களி(cid:8121)
பிரகார(cid:8123) கம(cid:8119)ெதாழி(cid:8127), கா(cid:8127)நைட வள(cid:8113)க(cid:8128), காணி
எ(cid:8127)ைல:
ம(cid:8126)(cid:8096)(cid:8123) நீ(cid:8125)(cid:8122)பாசன அைம(cid:8114)ச(cid:8125) (cid:8065)ரகமேக ெதா(cid:8121) லா(cid:8127) கா(cid:8120)த
ஆகிய நா(cid:8121), இ(cid:8113)(cid:8065) கீ(cid:8129)(cid:8112) கா(cid:8078)(cid:8123) அ(cid:8117)டவைணயி(cid:8121) I ஆ(cid:8123)
01. (cid:8080)(cid:8118)(cid:8076) இல. 01 – ெத(cid:8127)கஹ(cid:8065)(cid:8123)(cid:8087)ரேஹன - வி(cid:8132)தீரண(cid:8123):
ப(cid:8120)தியி(cid:8127) (cid:8065)றி(cid:8122)பி(cid:8117)ட காணி எ(cid:8076)(cid:8119)த(cid:8127) உ(cid:8119)திேயாக(cid:8119)த(cid:8094)(cid:8112)(cid:8065)
0.1723 ெஹ(cid:8112)டயா(cid:8125)
அ(cid:8127)ல(cid:8080) அவரா(cid:8127) அதிகாரமளி(cid:8112)க(cid:8122)ப(cid:8117)ட எவேர(cid:8084)(cid:8123)
வட(cid:8112)(cid:8065): ேக 3483 ஆ(cid:8123) ஆர(cid:8123)ப வைரபட(cid:8119)தி(cid:8127) (cid:8080)(cid:8118)(cid:8076) இல.1;
உ(cid:8119)திேயாக(cid:8119)தெரா(cid:8094)வ(cid:8094)(cid:8112)(cid:8065) அ(cid:8130) அ(cid:8117)டவைணயி(cid:8121) ேநெரா(cid:8119)த
கிழ(cid:8112)(cid:8065): எ(cid:8121).பி.(cid:8074).எ(cid:8132).நிஷ(cid:8113)க உாிைம ேகா(cid:8094)(cid:8123) ெத(cid:8127)கஹ
II ஆ(cid:8123) ப(cid:8120)தியி(cid:8127) விபாி(cid:8112)க(cid:8122)ப(cid:8117)ட காணியி(cid:8121) இ(cid:8094)(cid:8122)பா(cid:8117)சிைய
ெபா(cid:8096)(cid:8122)ேப(cid:8126)பத(cid:8126)(cid:8065) இ(cid:8119)தா(cid:8127) க(cid:8117)டைளயி(cid:8076)கி(cid:8121)ேற(cid:8121). (cid:8089)லேஹன ம(cid:8126)(cid:8096)(cid:8123) ட(cid:8122)ளி(cid:8093). எ(cid:8123). (cid:8074). ஏ (cid:8086). (cid:8106)ரேசகர உாிைம
ேகா(cid:8094)(cid:8123) ெத(cid:8127)கஹ(cid:8065)(cid:8123)(cid:8087)ரேஹன; ெத(cid:8126)(cid:8065) : ட(cid:8122)ளி(cid:8093). எ(cid:8123).(cid:8074). ஏ.
ேக.(cid:8074) லா(cid:8127) கா(cid:8120)த, (cid:8086). (cid:8106)ரேசகர உாிைம ேகா(cid:8094)(cid:8123) ெத(cid:8127)கஹ(cid:8065)(cid:8123)(cid:8087)ரேஹன, எ(cid:8132).ஈ
கம(cid:8119)ெதாழி(cid:8127), கா(cid:8127)நைட வள(cid:8113)க(cid:8128), ப(cid:8112)மீெவவ உாிைம ேகா(cid:8094)(cid:8123) ெத(cid:8127)கஹ(cid:8065)(cid:8123)(cid:8087)ரேஹன, எ(cid:8114).பி.
காணி ம(cid:8126)(cid:8096)(cid:8123) நீ(cid:8125)(cid:8122)பாசன அைம(cid:8114)ச(cid:8125). (cid:8065)ணதில(cid:8112)க உாிைம ேகா(cid:8094)(cid:8123) ெத(cid:8127)கஹ(cid:8065)(cid:8123)(cid:8087)ரேஹன ம(cid:8126)(cid:8096)(cid:8123)
(cid:8086).ட(cid:8122)ளி(cid:8093). எ(cid:8123). பி. ேஜ. எ(cid:8123). பரனகல உாிைம ேகா(cid:8094)(cid:8123)
கம(cid:8119)ெதாழி(cid:8127), கா(cid:8127)நைட வள(cid:8113)க(cid:8128) காணி
ெத(cid:8127)கஹ(cid:8065)(cid:8123)(cid:8087)ரேஹன;ேம(cid:8126)(cid:8065): ஆ(cid:8125). ஏ. வி(cid:8112)ட(cid:8125) விேஜேசன
ம(cid:8126)(cid:8096)(cid:8123) நீ(cid:8125)(cid:8122)பாசன அைம(cid:8114)(cid:8070),
உாிைம ேகா(cid:8094)(cid:8123) (cid:8090)கலா(cid:8121)அ(cid:8119)ேதேஹன.
“மிஹிகத ெம(cid:8080)ர”,
காணி(cid:8114) ெசயலக(cid:8123),
இரஜம(cid:8127)வ(cid:8119)ைத (cid:8106)தி, EOG 02- 0128
ப(cid:8119)தர(cid:8089)(cid:8127)ைல,
2025, நெவ(cid:8123)ப(cid:8125) 21.
1A - G46304 - 13 (2026/02)
www.documents.gov.lk
2A III ෙක(cid:675)ටස - (cid:636) ලංකා (cid:541)ජාතා(cid:486)(cid:437)ක සමාජවා(cid:463) ජනරජෙ(cid:591) අ(cid:431) (cid:618)ෙශෂ ගැස(cid:376) ප(cid:436)ය - 2026.02.16
ப(cid:8065)தி III - இல(cid:8113)ைக(cid:8114) சனநாயக ேசாச(cid:8098)ச(cid:8112) (cid:8065)(cid:8074)யர(cid:8070) வ(cid:8125)(cid:8119)தமான(cid:8122) ப(cid:8119)திாிைக - அதி விேசஷமான(cid:8080) - 2026.02.16
காணி எ(cid:8076)(cid:8119)த(cid:8126) ச(cid:8117)ட(cid:8123) (அ(cid:8119)தியாய(cid:8123) 460) அளைவயாள(cid:8125) நாயக(cid:8119)தா(cid:8127) தயாாி(cid:8112)க(cid:8122)ப(cid:8117)ட இல. மஹ 6596,
2016.08.12 ஆ(cid:8120) திகதிய ஆர(cid:8123)ப வைரபட(cid:8119)தி(cid:8127) விபரமாக
38 ஆ(cid:8123) பிாி(cid:8107) (அ) வி(cid:8121) கீழான க(cid:8117)டைள கா(cid:8117)ட(cid:8122)ப(cid:8117)ட பி(cid:8121)வ(cid:8094)(cid:8123) ெபய(cid:8125)க(cid:8128), வி(cid:8132)தீரண(cid:8113)கைள(cid:8112)
ெகா(cid:8118)ட காணி(cid:8119)(cid:8080)(cid:8118)(cid:8076)களி(cid:8121) எ(cid:8127)ைலக(cid:8128):
2025 ஆ(cid:8123) ஆ(cid:8118)(cid:8074)(cid:8121) 147 ஆ(cid:8123) இல(cid:8112)க(cid:8112) க(cid:8117)டைள
01. (cid:8080)(cid:8118)(cid:8076) இல. 01 – ெத(cid:8127)ப(cid:8117)ட(cid:8121)ஒயவ(cid:8119)ைத - வி(cid:8132)தீரண(cid:8123):
என(cid:8080) (cid:8065)றி(cid:8122)(cid:8087) இல.: 13/97/FR/252. 6.0604 ெஹ(cid:8112)டயா(cid:8125)
பிரேதச ெசயலாள(cid:8125) (cid:8065)றி(cid:8122)(cid:8087) இல.: KDS/MDB/4/2/1/79/11. வட(cid:8112)(cid:8065): (cid:8106)தி, அரச ெப(cid:8094)(cid:8120)ேதா(cid:8117)ட (cid:8066)(cid:8117)(cid:8076)(cid:8119)தாபன(cid:8123)
உாிைம ேகா(cid:8094)(cid:8123) ெத(cid:8127)ப(cid:8117)ட(cid:8121)ஒயவ(cid:8119)ைத ம(cid:8126)(cid:8096)(cid:8123) (cid:8080)(cid:8118)(cid:8076)
காணி எ(cid:8076)(cid:8119)த(cid:8126) ச(cid:8117)ட(cid:8119)தி(cid:8121) (அ(cid:8119)தியாய(cid:8123) 460) 38 ஆ(cid:8123) பிாி(cid:8107) இல. 2; கிழ(cid:8112)(cid:8065): (cid:8080)(cid:8118)(cid:8076) இல. 2 ம(cid:8126)(cid:8096)(cid:8123) கா(cid:8127)வா(cid:8124); ெத(cid:8126)(cid:8065):
(அ) வினா(cid:8127) என(cid:8112)களி(cid:8112)க(cid:8122)ப(cid:8117)ட த(cid:8119)(cid:8080)வ(cid:8113)களி(cid:8121) பிரகார(cid:8123), கா(cid:8127)வா(cid:8124) ம(cid:8126)(cid:8096)(cid:8123) ஆ.வ.மஹ 1799 இ(cid:8127) (cid:8080)(cid:8118)(cid:8076) இல. 2 ம(cid:8126)(cid:8096)(cid:8123)
கம(cid:8119)ெதாழி(cid:8127), கா(cid:8127)நைட வள(cid:8113)க(cid:8128), காணி ம(cid:8126)(cid:8096)(cid:8123) நீ(cid:8125)(cid:8122)பாசன அரச ெப(cid:8094)(cid:8120)ேதா(cid:8117)ட (cid:8066)(cid:8117)(cid:8076)(cid:8119)தாபன(cid:8123) உாிைம ேகா(cid:8094)(cid:8123)
ெத(cid:8127)ப(cid:8117)ட(cid:8121) ஒயவ(cid:8119)ைத; ேம(cid:8126)(cid:8065): ஆவ.மஹ 1799 இ(cid:8127) (cid:8080)(cid:8118)(cid:8076)
அைம(cid:8114)ச(cid:8125) (cid:8065)ரகமேக ெதா(cid:8121) லா(cid:8127) கா(cid:8120)த ஆகிய நா(cid:8121), இ(cid:8113)(cid:8065)
இல. 2 ம(cid:8126)(cid:8096)(cid:8123) அரச ெப(cid:8094)(cid:8120)ேதா(cid:8117)ட (cid:8066)(cid:8117)(cid:8076)(cid:8119)தாபன(cid:8123) உாிைம
கீ(cid:8129)(cid:8112) கா(cid:8078)(cid:8123) அ(cid:8117)டவைணயி(cid:8121) I ஆ(cid:8123) ப(cid:8120)தியி(cid:8127) (cid:8065)றி(cid:8122)பி(cid:8117)ட
ேகா(cid:8094)(cid:8123) ெத(cid:8127)ப(cid:8117)ட(cid:8121)ஒயவ(cid:8119)ைத ம(cid:8126)(cid:8096)(cid:8123) (cid:8106)தி.
காணி எ(cid:8076)(cid:8119)த(cid:8127) உ(cid:8119)திேயாக(cid:8119)த(cid:8094)(cid:8112)(cid:8065) அ(cid:8127)ல(cid:8080) அவரா(cid:8127) அதிகார
மளி(cid:8112)க(cid:8122)ப(cid:8117)ட எவேர(cid:8084)(cid:8123) உ(cid:8119)திேயாக(cid:8119)தெரா(cid:8094)வ(cid:8094)(cid:8112)(cid:8065)
அ(cid:8117)டவைணயி(cid:8121) ேநெரா(cid:8119)த II ஆ(cid:8123) ப(cid:8120)தியி(cid:8127) விபாி(cid:8112)க(cid:8122)ப(cid:8117)ட
02. (cid:8080)(cid:8118)(cid:8076) இல. 02 – (cid:8065)றி(cid:8122)பிட(cid:8122)படவி(cid:8127)ைல - வி(cid:8132)தீரண(cid:8123):
காணியி(cid:8121) இ(cid:8094)(cid:8122)பா(cid:8117)சிைய ெபா(cid:8096)(cid:8122)ேப(cid:8126)பத(cid:8126)(cid:8065) இ(cid:8119)தா(cid:8127)
0.1380 ெஹ(cid:8112)டயா(cid:8125)
க(cid:8117)டைளயி(cid:8076)கி(cid:8121)ேற(cid:8121).
வட(cid:8112)(cid:8065): அரச ெப(cid:8094)(cid:8120)ேதா(cid:8117)ட (cid:8066)(cid:8117)(cid:8076)(cid:8119)தாபன(cid:8123) உாிைம
ேகா(cid:8094)(cid:8123) ெத(cid:8127)ப(cid:8117)ட(cid:8121)ஒயவ(cid:8119)ைத ம(cid:8126)(cid:8096)(cid:8123) (cid:8080)(cid:8118)(cid:8076) இல.3;
ேக.(cid:8074) லா(cid:8127) கா(cid:8120)த, கிழ(cid:8112)(cid:8065); (cid:8080)(cid:8118)(cid:8076) இல. 3; ெத(cid:8126)(cid:8065): (cid:8080)(cid:8118)(cid:8076) இல. 1: ேம(cid:8126)(cid:8065);
கம(cid:8119)ெதாழி(cid:8127), கா(cid:8127)நைட வள(cid:8113)க(cid:8128), (cid:8080)(cid:8118)(cid:8076) இல. 1.
காணி ம(cid:8126)(cid:8096)(cid:8123) நீ(cid:8125)(cid:8122)பாசன அைம(cid:8114)ச(cid:8125).
03. (cid:8080)(cid:8118)(cid:8076) இல. 03 – ெத(cid:8127)ப(cid:8117)ட(cid:8121)ஒயவ(cid:8119)ைத - வி(cid:8132)தீரண(cid:8123):
கம(cid:8119)ெதாழி(cid:8127), கா(cid:8127)நைட வள(cid:8113)க(cid:8128), காணி 10.2800 ெஹ(cid:8112)டயா(cid:8125)
ம(cid:8126)(cid:8096)(cid:8123) நீ(cid:8125)(cid:8122)பாசன அைம(cid:8114)(cid:8070), வட(cid:8112)(cid:8065): அரச ெப(cid:8094)(cid:8120)ேதா(cid:8117)ட (cid:8066)(cid:8117)(cid:8076)(cid:8119)தாபன(cid:8123) உாிைம
“மிஹிகத ெம(cid:8080)ர”, ேகா(cid:8094)(cid:8123) மிாி(cid:8132)ெக(cid:8117)(cid:8074)யவ(cid:8119)ைத; கிழ(cid:8112)(cid:8065); அரச ெப(cid:8094)(cid:8120)ேதா(cid:8117)ட
காணி(cid:8114) ெசயலக(cid:8123), (cid:8066)(cid:8117)(cid:8076)(cid:8119)தாபன(cid:8123) உாிைம ேகா(cid:8094)(cid:8123) மிாி(cid:8132)ெக(cid:8117)(cid:8074)யவ(cid:8119)ைத
ம(cid:8126)(cid:8096)(cid:8123) ெத(cid:8127)ப(cid:8117)ட(cid:8121)ஒயவ(cid:8119)ைத; ெத(cid:8126)(cid:8065): அரச ெப(cid:8094)(cid:8120)ேதா(cid:8117)ட
இல. 1200/6, இரஜம(cid:8127)வ(cid:8119)ைத (cid:8106)தி,
(cid:8066)(cid:8117)(cid:8076)(cid:8119)தாபன(cid:8123) உாிைம ேகா(cid:8094)(cid:8123) ெத(cid:8127)ப(cid:8117)ட(cid:8121)ஒயவ(cid:8119)ைத,
ப(cid:8119)தர(cid:8089)(cid:8127)ைல.
ெத(cid:8127)ப(cid:8117)ட(cid:8121)ஒய ம(cid:8126)(cid:8096)(cid:8123) ஆ.வ.மஹ 1799 இ(cid:8127) (cid:8080)(cid:8118)(cid:8076) இல.
2026, சனவாி 05.
3; ேம(cid:8126)(cid:8065): ஆவ.மஹ 1799 இ(cid:8127) (cid:8080)(cid:8118)(cid:8076) இல. 3, கா(cid:8127)வா(cid:8124)
ம(cid:8126)(cid:8096)(cid:8123) (cid:8080)(cid:8118)(cid:8076) இல. 4 ம(cid:8126)(cid:8096)(cid:8123) 2.
அ(cid:8117)டவைண
04. (cid:8080)(cid:8118)(cid:8076) இல. 04 – (cid:8065)றி(cid:8122)பிட(cid:8122)படவி(cid:8127)ைல - வி(cid:8132)தீரண(cid:8123):
I. காணி எ(cid:8076)(cid:8119)த(cid:8127) உ(cid:8119)திேயாக(cid:8119)த(cid:8125): பிரேதச ெசயலாள(cid:8125),
0.0408 ெஹ(cid:8112)டயா(cid:8125)
ெமத(cid:8080)(cid:8123)பர.
வட(cid:8112)(cid:8065): (cid:8080)(cid:8118)(cid:8076) இல. 3 ம(cid:8126)(cid:8096)(cid:8123) கா(cid:8127)வா(cid:8124): கிழ(cid:8112)(cid:8065): (cid:8080)(cid:8118)(cid:8076)
இல. 3: ெத(cid:8126)(cid:8065): (cid:8080)(cid:8118)(cid:8076) இல. 3: ேம(cid:8126)(cid:8065): (cid:8080)(cid:8118)(cid:8076) இல. 3.
II. காணியி(cid:8121) விபர(cid:8123): ம(cid:8119)திய மாகாண(cid:8123), க(cid:8118)(cid:8074) மாவ(cid:8117)ட(cid:8123),
ெமத(cid:8080)(cid:8123)பர பிரேதச ெசயலாள(cid:8125) பிாிவி(cid:8127), உடசிய ப(cid:8126)(cid:8096)
EOG 02- 0129
ெத(cid:8126)(cid:8065) ேகாரேள சி(cid:8096) பிாிவி(cid:8127) க(cid:8120)ெத(cid:8065)(cid:8123)(cid:8087)ர(802) கிராம
அ(cid:8100)வல(cid:8125) பிாிவி(cid:8127), நமதகல கிராம(cid:8119)தி(cid:8127) அைம(cid:8120)(cid:8080)(cid:8128)ள, நில
இல(cid:8113)ைக அரசா(cid:8113)க அ(cid:8114)(cid:8070)(cid:8119) திைண(cid:8112)கள(cid:8119)தி(cid:8127) அ(cid:8114)சிட(cid:8122)ப(cid:8117)ட(cid:8080).</t>
  </si>
  <si>
    <t>cb2d8df8-a022-441a-8c71-f10f25a5df37</t>
  </si>
  <si>
    <t>2476_05</t>
  </si>
  <si>
    <t>2476/05</t>
  </si>
  <si>
    <t>Land Acquisition Act (Chapter 460), Section 5 — Notice of Intended Acquisition (Gazette 2476/05)</t>
  </si>
  <si>
    <t>m1/raw/2476_05.pdf</t>
  </si>
  <si>
    <t>(cid:636)(cid:636)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අංක 2476/05 - 2026 ෙපබරවා(cid:604) මස 16 වැ(cid:487) ස(cid:511)දා - 2026.02.16
22447766//0055 ஆஆம்ம் இஇலலக்க்ககம்ம் -- 22002266 ஆஆம்ம் ஆஆண்ண்(cid:8076)(cid:8076) ெெபபப்ப்(cid:8087)(cid:8087)(cid:8094)(cid:8094)வவாாிி மமாாததம்ம் 1166 ஆஆந்ந் ததிிககததிி ததிிங்ங்ககட்ட்ககிிழழைைமம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பிாி(cid:8107) (அ) வின் கீழான கட்டைள
I. ககாாணணிி எஎ(cid:8076)(cid:8076)த்த்ததல்ல் உஉத்த்ததிிேேயயாாககத்த்ததர்ர் : பிரேதச ெசயலாளர்,
கிாிஎல்ல.
22002266 ஆஆம்ம் ஆஆண்ண்(cid:8074)(cid:8074)ன்ன் 0033 ஆஆம்ம் இஇலலக்க்ககக்க் ககட்ட்டடைைளள
என(cid:8080) குறிப்(cid:8087) இல.: :4-3/13/2023/HA/293. II. ககாாணணிியயிின்ன் வவிிபபரரம்ம்:: சப்பிரக(cid:8089)வ மாகாணத்தில், இத்தின(cid:8087)ாி
பிரேதச ெசயலாளா் குறிப்(cid:8087) இல.: KIDS/ மாவட்டத்தில், கிாிஎல்ல பிரேதச ெசயலாளர் பிாிவில், இல.
LND/09/ACQ/03/03. 145 B இடங்ெகாட கிராம அ(cid:8100)வலர் பிாிவில், இடங்ெகாட
கிராமத்தில் அைமந்(cid:8080)ள்ள, நில அளைவயாளர் நாயகத்தினால்
காணி எ(cid:8076)த்தற் சட்டத்தின் (அத்தியாயம் 460) 38 ஆம்
தயாாிக்கட்ட 2025.04.08 ஆந் திகதய, R/KRE/2024/429 ஆம்
பிாி(cid:8107) (அ) வினால் எனக்களிக்கப்பட்ட தத்(cid:8080)வங்களின்
இலக்க (cid:8089)தற்சுவட்(cid:8076) வைரபடத்தில் விபரமாக காட்டப்பட்ட
பிரகாரம் கமத்ெதாழில், கால்நைட வளங்கள், காணி மற்(cid:8096)ம்
(cid:8080)ண்(cid:8076) “AA” என காட்டப்பட்(cid:8076)ள்ள சுமார் 0.6440 ெஹக்டயார்
நீர்ப்பாசன அைமச்சர் குரகமேக ெதான் லால் காந்த ஆகிய
விஸ்தீரணத்ைதக் ெகாண்ட காணித்(cid:8080)ண்(cid:8074)ன் எல்ைலகள்:
நான், இங்கு கீழ்க் கா(cid:8078)ம் அட்டவைணயின் I ஆம் பந்தியில்
குறிப்பிடப்பட்ட காணி எ(cid:8076)த்தல் உத்திேயாகத்த(cid:8094)க்கு
அல்ல(cid:8080) அவரால் அதிகாரமளிக்கப்பட்ட எவேர(cid:8084)ம் உத்தி 01. (cid:8080)(cid:8080)ண்ண்(cid:8076)(cid:8076) “AA” –– ெெபபாாரரெெலலஸ்ஸ்ஸஸவவத்த்ைைதத -- வவிிஸ்ஸ்ததீீரரணணம்ம்::
ேயாகத்தெரா(cid:8094)வ(cid:8094)க்கு அவ்அட்டவைணயின் ேநெராத்த 00..66444400 ெெஹஹக்க்டடயயாார்ர்
II ஆம் பந்தியில் ெதாடர்(cid:8087)ைடய குறிப்பில் விபாிக்கப்பட்ட வடக்கு மற்(cid:8096)ம் கிழக்கு :கிஹான் ஜா(cid:8098)ய பண்டார
காணியின் இ(cid:8094)ப்பாட்சிைய ெபா(cid:8096)ப்ேபற்பதற்கு இத்தால் உாிைமேகா(cid:8094)ம் ெபாரெலஸ்ஸவத்ைத; ெதற்கு: (cid:8106)தி ((cid:8106)தி
கட்டைளயி(cid:8076)கின்ேறன். அபிவி(cid:8094)த்தி அதிகாரசைப), கிாிஎல்ல ெதாைலத்ெதாடர்(cid:8087)
நி(cid:8096)வனம் அைமந்(cid:8080)ள்ள காணி மற்(cid:8096)ம் கிாிஎல்ல மத்திய
ேக.(cid:8074). லால் காந்த,
மஹா வித்தியாலயம் அைமந்(cid:8080)ள்ள காணி; ேமற்கு: கிாிஎல்ல
கமத்ெதாழில், கால்நைட வளங்கள்,
ெதாைலத்ெதாடர்(cid:8087) நி(cid:8096)வனம் அைமந்(cid:8080)ள்ள காணி, கிஹான்
காணி மற்(cid:8096)ம் நீர்ப்பாசன அைமச்சர்.
ஜா(cid:8098)ய பண்டார உாிைமேகா(cid:8094)ம் ெபாரெலஸ்ஸவத்ைத
கமத்ெதாழில், கால்நைட வளங்கள், காணி மற்(cid:8096)ம் கிாிஎல்ல மத்திய மஹா வித்தியாலயம் அைமந்(cid:8080)ள்ள
மற்(cid:8096)ம் நீர்ப்பாசன அைமச்சு, காணி.
“மிஹிகத ெம(cid:8080)ர”,
காணிச் ெசயலகம், EOG 02 - 0130
இல. 1200/6, ரஜமல்வத்ைத (cid:8106)தி,
பத்தர(cid:8089)ல்ைல,
2026, சனவாி 27.
1A - G46305- 13(2026/02)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- 2026.02.16
பகுதி III - இலங்ைகச் சனநாயக ேசாச(cid:8098)சக் கு(cid:8074)யரசு வர்த்தமானப் பத்திாிைக - அதி விேசஷமான(cid:8080) - 2026.02.16
ககாாணணிி எஎ(cid:8076)(cid:8076)த்த்ததற்ற் சசட்ட்டடம்ம் ((அஅத்த்ததிியயாாயயம்ம் 446600)) அஅட்ட்டடவவைைணண
38 ஆம் பிாிவின் காப்(cid:8087)வாசகம் (அ) வின் கீழான கட்டைள I. ககாாணணிி எஎ(cid:8076)(cid:8076)த்த்ததல்ல் உஉத்த்ததிிேேயயாாககத்த்ததர்ர் : பிரேதச ெசயலாளர்,
ெசாரணெதாட்ட.
22002266 ஆஆம்ம் ஆஆண்ண்(cid:8074)(cid:8074)ன்ன் 0044 ஆஆம்ம் இஇலலக்க்ககக்க் ககட்ட்டடைைளள
II. ககாாணணிியயிின்ன் வவிிபபரரம்ம்:: ஊவா மாகாணத்தில் ப(cid:8080)ைள
மாவட்டத்தில் ெசாரணெதாட்ட பிரேதச ெசயலாளர் பிாிவில்,
என(cid:8080) குறிப்(cid:8087) இல.: :4-3/7/2016/HW/03.
ெசாரணெதாட்ட ேகாறேள சி(cid:8096) பிாிவில் ாீதீபான 26 C, கிராம
பிரேதச ெசயலாளா் குறிப்(cid:8087) இல.:BD/ST/LND/01/ 7/96.
அ(cid:8100)வலர் பிாிவில், உடலஎல்ேலகம (இ.கி.வ. 88) கிராமத்தில்
அைமந்(cid:8080)ள்ள, நில அளைவயாளர் நாயகத்தினால் 2021.03.31
காணி எ(cid:8076)த்தற் சட்டத்தின் (அத்தியாயம் 460) 38 ஆம் ஆந் திகதி தயாாிக்கப்பட்ட (cid:8089)தற்சுவட்(cid:8076) வைரபட இலக்க
பிாி(cid:8107) (அ) வினால் எனக்களிக்கப்பட்ட தத்(cid:8080)வங்களின் B/SRN/2016/87 இல் (cid:8080)ண்(cid:8076) “AA” என விபரமாக
பிரகாரம் கமத்ெதாழில், கால்நைட வளங்கள், காணி மற்(cid:8096)ம் காட்டப்பட்(cid:8076)ள்ள சுமார் 0.0518 ெஹக்டயார் விஸ்தீரணத்தின்
நீர்ப்பாசன அைமச்சர் குரகமேக ெதான் லால் காந்த ஆகிய பின்வ(cid:8094)ம் ெபயர், விஸ்தீரணத்ைதக் ெகாண்ட காணித்
நான், இங்கு கீழ்க் கா(cid:8078)ம் அட்டவைணயின் I ஆம் பந்தியில் (cid:8080)ண(cid:8074)ன் எல்ைலகள்:
குறிப்பிடப்பட்ட காணி எ(cid:8076)த்தல் உத்திேயாகத்த(cid:8094)க்கு
அல்ல(cid:8080) அவரால் அதிகாரமளிக்கப்பட்ட எவேர(cid:8084)ம் உத்தி
01. (cid:8080)(cid:8080)ண்ண்(cid:8076)(cid:8076) “AA” –– (cid:8080)(cid:8080)ன்ன்ஹஹிிந்ந்தத ெெககேேலல -- வவிிஸ்ஸ்ததீீரரணணம்ம்:: 00..00551188
ேயாகத்தெரா(cid:8094)வ(cid:8094)க்கு அவ் அட்டவைணயின் ேநெராத்த
ெெஹஹக்க்டடயயாார்ர்
IIஆம் பந்தியில் விபாிக்கப்பட்ட காணியின் உைடைமைய
வடக்கு: (cid:8106)தி ((cid:8106)தி அபிவி(cid:8094)த்தி அதிகாரசைப) மற்(cid:8096)ம்
ெபா(cid:8096)ப்ேபற்பதற்கு இத்தால் கட்டைளயி(cid:8076)கின்ேறன்.
ேவவரண ஜயசிங்ஹ ஆராச்சிேக சந்திராணி உாிைமேகா(cid:8094)ம்
(cid:8080)ன்ஹிந்த ெகேல; கிழக்கு மற்(cid:8096)ம் ெதற்கு: ேவவரண
ேக.(cid:8074). லால் காந்த,
ஜயசிங்ஹ ஆராச்சிேக சந்திராணி உாிைமேகா(cid:8094)ம் (cid:8080)ன்ஹிந்த
கமத்ெதாழில், கால்நைட வளங்கள்,
ெகேல; ேமற்கு: ேவவரண ஜயசிங்ஹ ஆராச்சிேக சந்திராணி
காணி மற்(cid:8096)ம் நீர்ப்பாசன அைமச்சர்.
உாிைமேகா(cid:8094)ம் (cid:8080)ன்ஹிந்த ெகேல மற்(cid:8096)ம் (cid:8106)தி ((cid:8106)தி
அபிவி(cid:8094)த்தி அதிகாரசைப).
கமத்ெதாழில், கால்நைட வளங்கள், காணி
மற்(cid:8096)ம் நீர்ப்பாசன அைமச்சு,
“மிஹிகத ெம(cid:8080)ர”, EOG 02- 0131
காணிச் ெசயலகம்,
இல. 1200/6, ரஜமல்வத்ைத (cid:8106)தி,
பத்தர(cid:8089)ல்ைல,
2026, சனவாி 27.
இலங்ைக அரசாங்க அச்சுத் திைணக்களத்தில் அச்சிடப்பட்ட(cid:8080).</t>
  </si>
  <si>
    <t>f75008e6-6472-447e-99aa-6912eb71895d</t>
  </si>
  <si>
    <t>2476_06</t>
  </si>
  <si>
    <t>2476/06</t>
  </si>
  <si>
    <t>Land Acquisition Act (Chapter 460), Section 5/7 — Land Acquisition Notice (Gazette 2476/06)</t>
  </si>
  <si>
    <t>m1/raw/2476_06.pdf</t>
  </si>
  <si>
    <t>III ෙකාටස - (cid:636) ලංකා (cid:541)ජාතා(cid:486)(cid:437)ක සමාජවා(cid:463) ජනරජෙ(cid:591) අ(cid:431) (cid:618)ෙශෂ ගැස(cid:376) ප(cid:436)ය - 2026.02.16 1A
பகுதி III - இலங்ைகச் சனநாயக ேசாச(cid:8098)சக் கு(cid:8074)யரசு வர்த்தமானப் பத்திாிைக - அதி விேசஷமான(cid:8080) - 2026.02.16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22447766//0066 -- 22002266 ෙෙපපබබරරවවාා(cid:604)(cid:604) මමසස 1166 වවැැ(cid:487)(cid:487) සස(cid:511)(cid:511)දදාා -- 22002266..0022..1166
2476/06 ஆம் இலக்கம் - 2026 ஆம் ஆண்(cid:8076) ெபப்(cid:8087)(cid:8094)வாி மாதம் 16 ஆந் திகதி த ிங்கட்கிழைம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காப்(cid:8087)வாசகம் (அ) வின் கீழான கட்டைள II.. ககாாணணிி எஎ(cid:8076)(cid:8076)த்த்ததல்ல் உஉத்த்ததிிேேயயாாககத்த்ததர்ர் :: பிரேதச ெசயலாளர்,
பாணந்(cid:8080)ைற.
22002266 ஆஆம்ம் ஆஆண்ண்(cid:8074)(cid:8074)ன்ன் 0066 ஆஆம்ம் இஇலலக்க்ககக்க் ககட்ட்டடைைளள
IIII.. ககாாணணிியயிின்ன் வவிிபபரரம்ம் :: ேமல் மாகாணத்தில், க(cid:8102)த்(cid:8080)ைற
மாவட்டத்தில் பாணந்(cid:8080)ைற பிரேதச ெசயலாளர் பிாிவில், இல.
என(cid:8080) குறிப்(cid:8087) இல.: 4-3/9/2025/PC/27.
693A திப்ெபத்த வடக்கு கிராம அ(cid:8100)வலர் பிாிவில் திப்ெபத்த
காணி எ(cid:8076)த்தல் உத்திேயாகத்தாின் குறிப்(cid:8087) இல.: ඉඅ/5/1/311. கிராமத்தில் அைமந்(cid:8080)ள்ள நில அளைவயாளர் நாயகத்தினால்
தயாாிக்கப்பட்ட 2025.11.18 ஆந் திகதி KA/PAN/2025/244
காணி எ(cid:8076)த்தற் சட்டத்தின் (அத்தியாயம் 460) 38 ஆம் ஆம் இலக்க (cid:8089)தற்சுவட்(cid:8076) வைரபடத்தில் பின்வ(cid:8094)ம் காணித்
பிாிவின் காப்(cid:8087)வாசகம் (அ) வினால் எனக்களிக்கப்பட்ட (cid:8080)ண்(cid:8074)ன் எல்ைலகள் :
தத்(cid:8080)வங்களின் பிரகாரம், கமத்ெதாழில், கால்நைட வளங்கள்,
காணி மற்(cid:8096)ம் நீர்ப்பாசன அைமச்சர் குரகமேக ெதான் லால் 01. (cid:8080)(cid:8080)ண்ண்(cid:8076)(cid:8076) ““AA”” –– அஅம்ம்பபககஹஹவவத்த்ைைதத -- வவிிஸ்ஸ்ததீீரரணணம்ம்:: 00..00002222
காந்த ஆகிய நான், இங்கு கீழ்க் கா(cid:8078)ம் அட்டவைணயின் ெெஹஹக்க்டடயயாார்ர்
I ஆம் பந்தியில் குறிப்பிடப்பட்ட காணி எ(cid:8076)த்தல் வடக்கு: ெபான்னெஹன்னதிேக பியேசன டய(cid:8109)னால்
உாிைமேகா(cid:8094)ம் அம்பகஹவத்ைத அ(cid:8094)ண கி(cid:8094)ஷாந்த
உத்திேயாகத்த(cid:8094)க்கு அல்ல(cid:8080) அவரால் அதிகாரமளிக்கப்பட்ட
ேஹவாபதிரணவினால் உாிைமேகா(cid:8094)ம் கஜுகஹவத்ைத
எவேர(cid:8084)ம் உத்திேயாகத்தெரா(cid:8094)வ(cid:8094)க்கு அவ்
மற்(cid:8096)ம் நாணயக்கார பா(cid:8100)வ மண்ட(cid:8098)ேக ேமாி
அட்டவைணயின் ேநெராத்த II ஆம் பந்தியில் விபாிக்கப்பட்ட
பிரனாந்(cid:8080)வினால் உாிைமேகா(cid:8094)ம் கஜுகஹவத்ைத; கிழக்கு:
காணியின் உைடைமைய ெபா(cid:8096)ப்ேபற்பதற்கு இத்தால்
அ(cid:8094)ண கி(cid:8094)ஷாந்த ேஹவாபதிரணவினால் உாிைமேகா(cid:8094)ம்
கட்டைளயி(cid:8076)கின்ேறன். கஜுகஹவத்ைத மற்(cid:8096)ம் நாணயக்கார பா(cid:8100)வ மண்ட(cid:8098)ேக
ேமாி பிரனாந்(cid:8080)வினால் உாிைமேகா(cid:8094)ம் கஜுகஹவத்ைத
ேக.(cid:8074) லால் காந்த,
மற்(cid:8096)ம் மல்மாலப(cid:8080)ேக நீதா கு(cid:8089)(cid:8080)னி கிரனாந்(cid:8080)வினால்
கமத்ெதாழில், கால்நைட வளங்கள், உாிைமேகா(cid:8094)ம் அம்பகஹவத்ைத; ெதற்கு: மல்மாலப(cid:8080)ேக
காணி மற்(cid:8096)ம் நீர்ப்பாசன அைமச்சர். நீதா கு(cid:8089)(cid:8080)னி கிரனாந்(cid:8080)வினால் உாிைமேகா(cid:8094)ம்
அம்பஹவத்ைத மற்(cid:8096)ம் ாீ. நிஹால் பிரனாந்(cid:8080)வினால்
கமத்ெதாழில், கால்நைட வளங்கள், காணி மற்(cid:8096)ம்
உாிைமேகா(cid:8094)ம் அம்பகஹவத்ைத; ேமற்கு: ாீ. நிஹால்
நீர்ப்பாசன அைமச்சு,
பிரனாந்(cid:8080)வினால் உாிைமேகா(cid:8094)ம் அம்பகஹவத்ைத
“மிஹிகத்த ெம(cid:8080)ர”,
மற்(cid:8096)ம் ெபான்னெஹன்னதிேக பியேசன டய(cid:8109)னால்
காணிச் ெசயலகம்,
உாிைமேகா(cid:8094)ம் அம்பகஹவத்ைத.
இல. 1200/6, இரஜமல்வத்ைத (cid:8106)தி,
பத்தர(cid:8089)ல்ைல.
2026, சனவாி 16. EOG 02-0132
1A - G46306 - 18(2026/02)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- 2026.02.16
பகுதி III - இலங்ைகச் சனநாயக ேசாச(cid:8098)சக் கு(cid:8074)யரசு வர்த்தமானப் பத்திாிைக - அதி விேசஷமான(cid:8080) - 2026.02.16
ககாாணணிி எஎ(cid:8076)(cid:8076)த்த்ததற்ற் சசட்ட்டடம்ம் ((அஅத்த்ததிியயாாயயம்ம் 446600)) 02. (cid:8080)(cid:8080)ண்ண்(cid:8076)(cid:8076) இஇலல.. 0022 –– உஉ(cid:8076)(cid:8076)பபிிட்ட்(cid:8074)(cid:8074)யய குகும்ம்(cid:8087)(cid:8087)ரர -- வவிிஸ்ஸ்ததீீரரணணம்ம்::
00..00118866 ெெஹஹக்க்டடயயாார்ர்
38 ஆம் பிாி(cid:8107) (அ) வின் கீழான கட்டைள வடக்கு: லயனல் சிறிவர்தன உாிைமேகா(cid:8094)ம்
காணி; கிழக்கு: டப்ளி(cid:8093). எச். சரத் ஜய(cid:8106)ர ேஹவாவசம்
22002266 ஆஆம்ம் ஆஆண்ண்(cid:8074)(cid:8074)ன்ன் 0077 ஆஆம்ம் இஇலலக்க்ககக்க் ககட்ட்டடைைளள
உாிைமேகா(cid:8094)ம் காணி மற்(cid:8096)ம் (cid:8080)ண்(cid:8076) இல. 3; ெதற்கு:
ேக.வி.ஜய(cid:8080)ங்க உாிைமேகா(cid:8094)ம் உ(cid:8076)பிட்(cid:8074)ய கும்(cid:8087)ர மற்(cid:8096)ம்
என(cid:8080) குறிப்(cid:8087) இல.: 4-3/8/2012/PC/370.
ேக.வி.ேபமா ஜயவர்தன உாிைமேகா(cid:8094)ம் இந்த காணியின்
பிரேதச ெசயலாளர் குறிப்(cid:8087) இல.: බ(cid:575)/ඉ/2/අ(cid:430)ප(cid:430)/(cid:657)(cid:415)කු(cid:585)ර
எஞ்சிய பகுதி; ேமற்கு: ேக.வி. பியதாஸ உாிைமேகா(cid:8094)ம்
- උ(cid:397)(cid:536)(cid:377)ය මා(cid:601)ගය.
உ(cid:8076)பிட்(cid:8074)யகும்(cid:8087)ர மற்(cid:8096)ம் (cid:8080)ண்(cid:8076) இல 1.
காணி எ(cid:8076)த்தற் சட்டத்தின் (அத்தியாயம் 460) 38 ஆம்
பிாி(cid:8107) (அ) வினால் எனக்களிக்கப்பட்ட தத்(cid:8080)வங்களின் 03. (cid:8080)(cid:8080)ண்ண்(cid:8076)(cid:8076) இஇலல.. 0033 –– உஉ(cid:8076)(cid:8076)பபிிட்ட்(cid:8074)(cid:8074)யய குகும்ம்(cid:8087)(cid:8087)ரர -- வவிிஸ்ஸ்ததீீரரணணம்ம்::
பிரகாரம், கமத்ெதாழில், கால்நைட வளங்கள், காணி மற்(cid:8096)ம் 00..00005566 ெெஹஹக்க்டடயயாார்ர்
நீர்ப்பாசன அைமச்சர் குரகமேக ெதான் லால் காந்த ஆகிய வடக்கு: டப்ளி(cid:8093). எச்.சரத் ஜய(cid:8106)ர ேஹவாவசம்
நான், இங்கு கீழ்க் கா(cid:8078)ம் அட்டவைணயின் I ஆம் பந்தியில் உாிைமேகா(cid:8094)ம் காணி மற்(cid:8096)ம் (cid:8080)ண்(cid:8076) இல. 4; கிழக்கு: (cid:8080)ண்(cid:8076)
குறிப்பிடப்பட்ட காணி எ(cid:8076)த்தல் உத்திேயாகத்த(cid:8094)க்கு இல. 4 மற்(cid:8096)ம் ேக. வி. திலகரத்ன உாிைமேகா(cid:8094)ம் உ(cid:8076)பிட்(cid:8074)ய
அல்ல(cid:8080) அவரால் அதிகாரமளிக்கப்பட்ட எவேர(cid:8084)ம் கும்(cid:8087)ர; ெதற்கு: ேக.வி. ஜய(cid:8080)ங்க உாிைமேகா(cid:8094)ம் இந்த
உத்திேயாகத்தெரா(cid:8094)வ(cid:8094)க்கு அவ் அட்டவைணயின் ேநெராத்த
காணியின் எஞ்சிய பகுதி; ேமற்கு: ேக.வி. ேபமா ஜயவர்தன
II ஆம் பந்தியில் விபாிக்கப்பட்ட காணியின் இ(cid:8094)ப்பாட்சிைய
உாிைமேகா(cid:8094)ம் உ(cid:8076)பிட்(cid:8074)யகும்(cid:8087)ர மற்(cid:8096)ம் (cid:8080)ண்(cid:8076) இல. 2.
ெபா(cid:8096)ப்ேபற்பதற்கு இத்தால் கட்டைளயி(cid:8076)கின்ேறன்.
04. (cid:8080)(cid:8080)ண்ண்(cid:8076)(cid:8076) இஇலல.. 0044 –– ஹஹிிட்ட்(cid:8074)(cid:8074)னனாாவவத்த்ைைதத அஅல்ல்லல(cid:8080)(cid:8080)
ேக.(cid:8074) லால் காந்த,
ெெககாாஸ்ஸ்ககஹஹ(cid:8089)(cid:8089)லலவவத்த்ைைதத -- வவிிஸ்ஸ்ததீீரரணணம்ம்:: 00..00117777 ெெஹஹக்க்டடயயாார்ர்
கமத்ெதாழில், கால்நைட வளங்கள்,
வடக்கு: டப்ளி(cid:8093). எச். சரத் ஜய(cid:8106)ர ேஹவாவசம்
காணி மற்(cid:8096)ம் நீர்ப்பாசன அைமச்சர்.
உாிைமேகா(cid:8094)ம் இந்த காணியின் எஞ்சிய பகுதி; கிழக்கு:
கமத்ெதாழில், கால்நைட வளங்கள், காணி மற்(cid:8096)ம் ேக.வி. பியதாஸ உாிைமேகா(cid:8094)ம் காணி; ெதற்கு: ேக.வி.
நீர்ப்பாசன அைமச்சு, திலகரத்ன உாிைமேகா(cid:8094)ம் உ(cid:8076)பிட்(cid:8074)ய கும்(cid:8087)ர மற்(cid:8096)ம்
“மிஹிகத்த ெம(cid:8080)ர”, ேக. வி. ஜய(cid:8080)ங்க உாிைமேகா(cid:8094)ம் உ(cid:8076)பிட்(cid:8074)ய கும்(cid:8087)ர; ேமற்கு:
காணிச் ெசயலகம், (cid:8080)ண்(cid:8076) இல. 3.
இல. 1200/6, இரஜமல்வத்ைத (cid:8106)தி,
பத்தர(cid:8089)ல்ைல.
2025, திெசம்பர் 19.
EOG 02-0133
அஅட்ட்டடவவைைணண
___________________________
II.. ககாாணணிி எஎ(cid:8076)(cid:8076)த்த்ததல்ல் உஉத்த்ததிிேேயயாாககத்த்ததர்ர் :: பிரேதச ெசயலாளர்,
ககாாணணிி எஎ(cid:8076)(cid:8076)த்த்ததற்ற் சசட்ட்டடம்ம் ((அஅத்த்ததிியயாாயயம்ம் 446600))
ப(cid:8089)ணாெகாட்(cid:8076)வ.
IIII.. ககாாணணிியயிின்ன் வவிிபபரரம்ம் :: வடேமல் மாகாணம், கு(cid:8094)நாகல் 38 ஆம் பிாி(cid:8107) (அ) வின் கீழான கட்டைள
மாவட்டம், ப(cid:8089)ணாெகாட்(cid:8076)வ பிரேதச ெசயலாளர் பிாிவில்,
இல 1211, மிாிஹம்பிட்(cid:8074)ய கிராம அ(cid:8100)வலா் பிாிவில், 22002266 ஆஆம்ம் ஆஆண்ண்(cid:8074)(cid:8074)ன்ன் 0088 ஆஆம்ம் இஇலலக்க்ககக்க் ககட்ட்டடைைளள
ஹு(cid:8078)கும்(cid:8087)ர கிராமத்தில் அைமந்(cid:8080)ள்ள, நில அளைவயாளர்
நாயகத்தால் தயாாிக்கப்பட்ட ஆரம்ப வைரபட இல. கு 2419. என(cid:8080) குறிப்(cid:8087) இல.: 4-3/08/2017/PC/222.
2019.05.09 ஆந் திகதிய ஆரம்ப வைரபடத்தில் பின்வ(cid:8094)ம்
பிரேதச ெசயலாளர் குறிப்(cid:8087) இல.:DIVKE/LND/LND2/
காணித் (cid:8080)ண்(cid:8074)ன் எல்ைலகள் :
ACQUT/5/9.
01. (cid:8080)(cid:8080)ண்ண்(cid:8076)(cid:8076) இஇலல.. 0011 –– உஉ(cid:8076)(cid:8076)பபிிட்ட்(cid:8074)(cid:8074)யய குகும்ம்(cid:8087)(cid:8087)ரர -- வவிிஸ்ஸ்ததீீரரணணம்ம்::
காணி எ(cid:8076)த்தற் சட்டத்தின் (அத்தியாயம் 460) 38 ஆம்
00..00113366 ெெஹஹக்க்டடயயாார்ர்
பிாி(cid:8107) (அ) வினால் எனக்களிக்கப்பட்ட தத்(cid:8080)வங்களின்
வடக்கு: லயனல் சிறிவர்தன உாிைமேகா(cid:8094)ம் காணி;
பிரகாரம், கமத்ெதாழில், கால்நைட வளங்கள், காணி மற்(cid:8096)ம்
கிழக்கு: (cid:8080)ண்(cid:8076) இல. 2 மற்(cid:8096)ம் ேக.வி ேபமா ஜயவர்தன
உாிைமேகா(cid:8094)ம் உ(cid:8076)பிட்(cid:8074)ய கும்(cid:8087)ர; ெதற்கு:ேக.வி.பியதாஸ நீர்ப்பாசன அைமச்சர் குரகமேக ெதான் லால் காந்த ஆகிய
உாிைமேகா(cid:8094)ம் இந்த காணியின் எஞ்சிய பகுதி; ேமற்கு: நான், இங்கு கீழ்க் கா(cid:8078)ம் அட்டவைணயின் I ஆம் பந்தியில்
பிரேதச சைப (cid:8106)தி. குறிப்பிடப்பட்ட காணி எ(cid:8076)த்தல் உத்திேயாகத்த(cid:8094)க்கு
III ෙකාටස - (cid:636) ලංකා (cid:541)ජාතා(cid:486)(cid:437)ක සමාජවා(cid:463) ජනරජෙ(cid:591) අ(cid:431) (cid:618)ෙශෂ ගැස(cid:376) ප(cid:436)ය - 2026.02.16 3A
பகுதி III - இலங்ைகச் சனநாயக ேசாச(cid:8098)சக் கு(cid:8074)யரசு வர்த்தமானப் பத்திாிைக - அதி விேசஷமான(cid:8080) - 2026.02.16
அல்ல(cid:8080) அவரால் அதிகாரமளிக்கப்பட்ட எவேர(cid:8084)ம் பிாிவில், இல.1093, இஹல (cid:8089)(cid:8094)ெதன்ேக கிராம அ(cid:8100)வலர்
உத்திேயாகத்தெரா(cid:8094)வ(cid:8094)க்கு அவ் அட்டவைணயின் ேநெராத்த பிாிவில், (cid:8089)(cid:8094)ெதன்ேக கிராமத்தில் அைமந்(cid:8080)ள்ள, நில
அளைவயாளர் நாயகத்தால் தயாாிக்கப்பட்ட இ(cid:8096)தி
II ஆம் பந்தியில் விபாிக்கப்பட்ட காணியின் இ(cid:8094)ப்பாட்சிைய
கிராம வைரபட இல 14, பிற்ேசர்க்ைக இல. 37, தாள்
ெபா(cid:8096)ப்ேபற்பதற்கு இத்தால் கட்டைளயி(cid:8076)கின்ேறன்.
இல. 37, 2021.02.28 ஆந் திகதிய வைரபடத்தில் விபரமாக
காட்டப்பட்ட பின்வ(cid:8094)ம் ெபயர்கள், விஸ்தீரணங்கைளக்
ேக.(cid:8074) லால் காந்த, ெகாண்ட காணித் (cid:8080)ண்(cid:8076)களின் எல்ைலகள் :
கமத்ெதாழில், கால்நைட வளங்கள்,
காணி மற்(cid:8096)ம் நீர்ப்பாசன அைமச்சர். 01. (cid:8080)(cid:8080)ண்ண்(cid:8076)(cid:8076) இஇலல.. 552211 –– ததல்ல்ககஹஹ(cid:8089)(cid:8089)லலவவத்த்ைைதத மமற்ற்(cid:8096)(cid:8096)ம்ம்
ெெககெெசசல்ல்ேேஹஹனன,, மமாாததன்ன்ககஹஹ(cid:8089)(cid:8089)லலவவத்த்ைைதத,, இஇஹஹலலபபிிட்ட்(cid:8074)(cid:8074)ேேயய
கமத்ெதாழில், கால்நைட வளங்கள், காணி மற்(cid:8096)ம் வவத்த்ைைதத மமற்ற்(cid:8096)(cid:8096)ம்ம் பபட்ட்டடெெததாாலல எஎஸ்ஸ்ேேடடட்ட் -- வவிிஸ்ஸ்ததீீரரணணம்ம்:: 00..33449944
நீர்ப்பாசன அைமச்சு, ெெஹஹக்க்டடயயாார்ர்
“மிஹிகத்த ெம(cid:8080)ர”, வடக்கு: (cid:8080)ண்(cid:8076) இல. 8AM; கிழக்கு: (cid:8106)தி மற்(cid:8096)ம் (cid:8080)ண்(cid:8076)
காணிச் ெசயலகம், இல. 522 மற்(cid:8096)ம் (cid:8106)தி; ெதற்கு:(cid:8080)ண்(cid:8076) இல. 8BN மற்(cid:8096)ம் 115;
இல. 1200/6, இரஜமல்வத்ைத (cid:8106)தி, ேமற்கு: (cid:8080)ண்(cid:8076) இல. 115 மற்(cid:8096)ம் 8AM.
பத்தர(cid:8089)ல்ைல.
2025, திெசம்பர் 19. 02. (cid:8080)(cid:8080)ண்ண்(cid:8076)(cid:8076) இஇலல.. 552233 –– ததல்ல்ககஹஹ(cid:8089)(cid:8089)லலவவத்த்ைைதத மமற்ற்(cid:8096)(cid:8096)ம்ம்
ெெககெெசசல்ல்ேேஹஹனன,, மமாாததன்ன்ககஹஹ(cid:8089)(cid:8089)லலவவத்த்ைைதத மமற்ற்(cid:8096)(cid:8096)ம்ம் இஇஹஹலல
பபிிட்ட்(cid:8074)(cid:8074)ேேயயவவத்த்ைைதத -- வவிிஸ்ஸ்ததீீரரணணம்ம்:: 11..00555533 ெெஹஹக்க்டடயயாார்ர்
அஅட்ட்டடவவைைணண
வடக்கு: (cid:8080)ண்(cid:8076) இல. 8AB மற்(cid:8096)ம் 8AE; கிழக்கு: (cid:8080)ண்(cid:8076)
இல. 8AE, 8AJ மற்(cid:8096)ம் 8AH; ெதற்கு:(cid:8080)ண்(cid:8076) இல. 8AL; ேமற்கு:
II.. ககாாணணிி எஎ(cid:8076)(cid:8076)த்த்ததல்ல் உஉத்த்ததிிேேயயாாககத்த்ததர்ர் :: பிரேதச ெசயலாளர்,
(cid:8106)தி, (cid:8080)ண்(cid:8076) இல. 522 மற்(cid:8096)ம் (cid:8106)தி.
குளியாபிட்(cid:8074)ய கிழக்கு.
IIII.. ககாாணணிியயிின்ன் வவிிபபரரம்ம் :: வடேமல் மாகாணம், கு(cid:8094)நாகல்
மாவட்டம், குளியாபிட்(cid:8074)ய கிழக்கு பிரேதச ெசயலாளர் EOG 02 - 0134
இலங்ைக அரசாங்க அச்சுத் திைணக்களத்தில் அச்சிடப்பட்ட(cid:8080).</t>
  </si>
  <si>
    <t>1dc03004-a4bf-4e4d-b7af-c65a116e5e8f</t>
  </si>
  <si>
    <t>2476_07</t>
  </si>
  <si>
    <t>2476/07</t>
  </si>
  <si>
    <t>Provincial Councils Act, No. 42 of 1987 — Appointment under Section 32(1) (Gazette 2476/07)</t>
  </si>
  <si>
    <t>m1/raw/2476_07.pdf</t>
  </si>
  <si>
    <t>Y%S ,xld m%cd;dka;%sl iudcjd§ ckrcfha .eiÜ m;%h
w;s úfYI
,yq;ifr; rdehaf Nrhryprf; FbauR th;j;jkhdg; gj;jphpif
mjp tpNr\khdJ
wxl 2476$07 - 2026 fmnrjdß ui 17 jeks w`.yrejdod - 2026'02'17
2476/ 07 Mk; ,yf;fk; - 2026 Mk; Mz;L ngg;GUtup khjk; 17 Me; jpfjp nrt;tha;f;fpoik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அஅத்த்திதிிியாயாாாயாயாமாமாாானன)) உஉள்ள்ளூளூர்ர் அஅதிதிிிகாகாாாரர சசபைபைைைகாகாள்ள் தேதேதிதிர்ர்திதில்ல்காகாள்ள் காகாட்ட்டடபைபைைைச்ச் சசட்ட்டடத்த்திதிிின்ன் 6666அஅ((11)) ஆஆம்ம்
ைைிிாாிிவிவிிின்ன் காகாீீழ்ழ் மாமான்ன்னனாார்ர் நநகாகாரர சசபைபைைையாயாிின்ன் உஉறுறுப்ப்ைைிினனர்ர் ஒஒருருவிவிாாிின்ன் ைைதிதிவிவிிியாயாிிலாலாாானன வவவிவிற்ற்றிறிிிடடத்த்பைபைதிதி நநிிரரப்ப்புபுதிதில்ல்
மாமான்ன்னனாார்ர் நநகாகாரர சசபைபைைைக்க்குகு வவதிதிாாிிந்ந்வவதிதிடுடுத்த்துது அஅனுனுப்ப்ைைப்ப்ைைட்ட்டட உஉறுறுப்ப்ைைிினனர்ர் ஒஒருருவிவிாாிின்ன் ைைதிதிவிவிிி காகாட்ட்சசிியாயாிின்ன் உஉறுறுப்ப்புபுாாிிபைபைமாமா நநீீக்க்காகாப்ப்ைைட்ட்டடதிதின்ன்
காகாாாரரணணமாமாாாகாகா வவவிவிற்ற்றிறிிிடடமாமாாாகாகாிியாயாிிருருக்க்காகாிின்ன்றிறிதிதிாாதிதிலாலாாாலுலும்ம்;;
தேதேமாமாற்ற்குகுறிறிிித்த்திதி காகாட்ட்டடபைபைைைச்ச் சசட்ட்டடத்த்திதிிின்ன் 6666அஅ((11)) ஆஆம்ம் ைைிிாாிிவிவிிின்ன் காகாீீழ்ழ்,, மாமான்ன்னனாார்ர் நநகாகாரர சசபைபைைையாயாிின்ன் வவதிதிாாிிந்ந்வவதிதிடுடுத்த்துது அஅனுனுப்ப்ைைப்ப்ைைட்ட்டுடுள்ள்ைை
உஉறுறுப்ப்ைைிினனரராாகாகா வவதிதிாாிிவுவு வவசசய்ய்யாயாப்ப்ைைட்ட்டட தேதேசசவிவிிியாயார்ர் தேதே��ாாண்ண்ஸ்ஸ் வவைைாாலிலிங்ங்ரரன்ன் எஎன்ன்ைைவிவிர்ர் அஅங்ங்காகாம்ம் விவிகாகாிிக்க்காகாிின்ன்றிறி ஸ்ரீஸ்ரீலாலாங்ங்காகாாா வவதிதிாாழிழிிிலாலாாாைைர்ர்
காகாட்ட்சசிி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தேதேசசர்ர்ந்ந்திதிவிவிருருமாமாாானன
மாமான்ன்னனாார்ர் நநகாகாரர சசபைபைைைக்க்குகு வவதிதிாாிிந்ந்வவதிதிடுடுத்த்துது அஅனுனுப்ப்ைைப்ப்ைைட்ட்டுடுள்ள்ைை உஉறுறுப்ப்ைைிினனர்ர் வவதிதிாாடடர்ர்ைைாாகாகா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அஅரரசசிியாயால்ல் காகாட்ட்சசிியாயாிின்ன் வவசசயாயாலாலாாாைைாாிினனாால்ல் அஅவ்வ்வவவிவிற்ற்றிறிிிடடத்த்பைபைதிதி நநிிரரப்ப்புபுவிவிதிதிற்ற்காகாாாகாகா தேதேயாயாசுசுதிதிாாசசன்ன்
அஅன்ன்ரரன்ன் சசகாகாாாயாயாதிதிாாசசன்ன் வவைைதேதேரரரராா எஎன்ன்ைைவிவிபைபைரரப்ப் வவைையாயார்ர் குகுறிறிிித்த்துது நநிியாயாமாமாிிக்க்குகும்ம் திதிமாமாதுது முமுடிடிவிவிிிபைபைனன அஅறிறிிிவிவிிித்த்துதுள்ள்ைைாாரராாதிதிலாலாாாலுலும்ம் ;;
மாமான்ன்னனாார்ர் நநகாகாரர சசபைபைைை வவதிதிாாிிவிவித்த்திதிாாட்ட்சசிி அஅலுலுவிவிலாலாரராானன வவகாகாங்ங்காகாாாதிதிரரன்ன் முமுகுகுந்ந்திதின்ன்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வவசசயாயாற்ற்ைைட்ட்டுடு தேதேயாயாசுசுதிதிாாசசன்ன்
அஅன்ன்ரரன்ன் சசகாகாாாயாயாதிதிாாசசன்ன் வவைைதேதேரரரராா எஎன்ன்ைைவிவிர்ர் மாமான்ன்னனாார்ர் நநகாகாரர சசபைபைைைக்க்குகு வவதிதிாாிிந்ந்வவதிதிடுடுத்த்துது அஅனுனுப்ப்ைைப்ப்ைைட்ட்டுடுள்ள்ைை உஉறுறுப்ப்ைைிினனர்ர் ஒஒருருவிவிரராாகாகாத்த்
தேதேதிதிர்ர்ந்ந்வவதிதிடுடுக்க்காகாப்ப்ைைட்ட்டுடுள்ள்ைைதிதிாாகாகா இஇத்த்திதிாால்ல் வவவிவிைைிிப்ப்ைைடுடுத்த்துதுகாகாிின்ன்தேதேறிறின்ன்..
வவகாகா.. முமுகுகுந்ந்திதின்ன்,,
வவதிதிாாிிவிவித்த்திதிாாட்ட்சசிி அஅலுலுவிவிலாலார்ர்,,
மாமான்ன்னனாார்ர் நநகாகாரர சசபைபைைை..
மாமாாாவிவிட்ட்டடத்த் தேதேதிதிர்ர்திதில்ல்காகாள்ள் அஅலுலுவிவிலாலாகாகாம்ம்,,
மாமான்ன்னனாார்ர்,,
22002266,, வவைைப்ப்புபுருருவிவிாாிி� � 1133..
EEOOGG 0022 -- 00113355
1A - PG 7526 — 08 (2026/02) ,yq;if murhq;f mr;Rj; jpizf;fsj;jpw; gjpg;gpf;fg;ngw;wJ.
,t; mjptpNrl tu;j;jkhdpia www.documents.gov.lk vDk; ,izaj;jsj;jpypUe;J gjptpwf;fk; nra;a KbAk;.</t>
  </si>
  <si>
    <t>e62cc83e-d828-4ae3-a75c-6c5206c52172</t>
  </si>
  <si>
    <t>2476_08</t>
  </si>
  <si>
    <t>2476/08</t>
  </si>
  <si>
    <t>Land Acquisition Act (Chapter 460), Section 5 — Notice of Intended Acquisition (Gazette 2476/08)</t>
  </si>
  <si>
    <t>m1/raw/2476_08.pdf</t>
  </si>
  <si>
    <t>Y%S ,xld m%cd;dka;%sl iudcjd§ ckrcfha .eiÜ m;%h
w;s úfYI
,yq;ifr; rdehaf Nrhryprf; FbauR th;j;jkhdg; gj;jphpif
mjp tpNr\khdJ
අංඅංංංකක 22447766//0088 -- 22002266 පෙපෙෙෙබබරරවාවාාාරිරි 1177 වාවාැැනිනි අංඅංඟඟහහරුරුවාවාාාදාදාාා -- 22002266..0022..1177
2476/08 ஆம் இலக்கம் - 2026 ஆம் ஆண்டு க ெப்புருவாி �ா�ம் 17 ஆந் �ிக�ி க சவ்வாய்க்கிழிறை�
(murhq;fj;jpd; mjpfhuj;Jld; gpuRupf;fg;gl;lJ)
gFjp I : njhFjp (I) - nghJ
அஅரரசசாாஙங்க்க அஅைைிிவவிி��்�்�லல்க்கைை்்
ககளுளுத்த்துதுறைறைைை ((மம��ல்ல் ��ாாககாாணணம்ம்)) ககத்த்மம��ாாலிலிக்க்கக ��றைறைைை ��ாாவவட்ட்டடத்த்��ிில்ல் ��க்க்ககககாானன ககல்ல்வவாாாாிி ��ிிருருத்த்��லலத்த்��ிில்ல் நநறைறைடடககெெறுறும்ம்
��ெெசுசுககாாலல வவழிழிிிெொாடுடுககள்ள் கக��ாாடடர்ர்ெொாகக
களுத்துறைை நிர்வாக �ாவட்டத்�ில் மெருவறைை ெிரம�ச கசயலகப் ெிாிவில் 741 ஆம் B இலக்க கபுககாட கிரா� அலுவலர் ெிாிவில்
கல்வாாி �ிருத்�லத்�ில் வருடாந்�ம் நடாத்�ப்ெடும் �ெசுகால வழிிொடுகள் இம்முறைையும் ொரம்ொிய முறைையில் 2026, கெப்புருவாி
18 ஆந் �ிக�ி மு�ல் 2026, ஏப்ெிைல் 05 ஆந் �ிக�ி வறைர இடம்கெறும் என்ெறை� கொது�க்களுக்கு இத்�ால் அைிவிக்கின்மைன்.
யாத்�ிறைரகள் கட்டறைைச் சட்டத்�ின் கீழ் கவிியிடப்ெட்ட இல. 2018/06 �ற்றும் 2017.05.08 ஆந் �ிக�ி ககாண்ட வர்த்��ானியின்
வி�ிமுறைைகள் இந்� யாத்�ிறைர காலத்�ின் மொது கசல்லுெடியாகும்.
எஎச்ச்.. எஎம்ம்.. எஎஸ்ஸ்.. பீபீ.. மம��ரரத்த்,,
�ாவட்டச் கசயலாைர்/ அரசாங்க அ�ிெர்.
களுத்துறைை நிர்வாக �ாவட்டம்,
களுத்துறைை �ாவட்டச் கசயலகம்,
2026, கெப்புருவாி 16.
EOG 02 - 0136
1A - G 46307 — 06 (2026/02) ,yq;if murhq;f mr;Rj; jpizf;fsj;jpw; gjpg;gpf;fg;ngw;wJ.
,t; mjptpNrl tu;j;jkhdpia www.documents.gov.lk vDk; ,izaj;jsj;jpypUe;J gjptpwf;fk; nra;a KbAk;.</t>
  </si>
  <si>
    <t>d9dbd261-a937-4eea-b39a-e40715678364</t>
  </si>
  <si>
    <t>2476_09</t>
  </si>
  <si>
    <t>2476/09</t>
  </si>
  <si>
    <t>Public Performances Ordinance (1978 Act No. 16), Section 27(1) — Notice (Gazette 2476/09)</t>
  </si>
  <si>
    <t>Notice under Section 27(1) of the Public Performances Act No. 16 of 1978. Part I — General. Dated 17 February 2026.</t>
  </si>
  <si>
    <t>m1/raw/2476_09.pdf</t>
  </si>
  <si>
    <t>I fldgi ( ^I&amp; fPoh - YS% ,xld m%cd;dka;s%l iudcjd§ ckrcfha w;s úfYI .eiÜ m;%h - - 2026. 02.17 1
gFjp I : njhFjp (I) - ,yq;ifr; rdehaf Nrhryprf; FbauR tu;j;jkhdg; gj;;jpupif - mjp tpNr\khdJ - 2026.02.17
ශ්‍රී ලංකා ප්‍රජාතාන්ත්්‍රික සමාජවාදී ජනරජයේ ගැසට් පත්‍රය
w;s úfYI
இஇலலங்ங்்க்ககைகைச்ச் சசனனநநாாயயகைகை சசசசாாசசலிலிசசக்க் குகுடிடியயரரசுசு வவர்ர்்த்்த்்த்தமமாானனப்ப் பப்த்்த்்த்ததிதிாாதிதி்க்ககைகை
அஅ்த்ததிதி வவதிதிசசசசஷஷமமாானனதுது
wxl 2476$09 - 2026 fmnrjdß ui 17 jeks wÕyrejdod - 2026'02'17
2476/ 09 Mk; ,yf;fk; - 2026 Mk; Mz;L ngg;GUtup khjk; 17 Me; jpfjp nrt;tha;f;fpoik
(அரசாங்கை்த்்ததின் அ்ததிகைார்த்துடன் பதிரசுாதிக்கைப்பட்டது)
பபகுகு்த்ததிதி II :: தத்த்தாாகுகு்த்ததிதி ((II)) -- ததபபாாதுது
அஅரரசசாாங்ங்கைகை அஅறறதிதிவவதிதி்த்்த்்த்தல்ல்கைகைள்ள்
11997788 ஆஆம்ம் ஆஆண்ண்டிடின்ன் 1166 ஆஆம்ம் இஇலலக்க்கைகை,, பபல்ல்கைகை்க்கலலக்க்கைகைழழகைகைங்ங்கைகைள்ள் சசட்ட்டடம்ம்
2255அஅ எஎன்ன்னுனும்ம் பபதிதிாாதிதிவுவுடடன்ன் சசசசாா�்த்�்த்துது வவாாசசதிதிக்க்கைகைப்ப்பபடுடும்ம் 2277 ((11)) ((ஆஆ)) எஎன்ன்னுனும்ம் பபதிதிாாதிதிவவதிதின்ன் கைகைீீழழாானன கைகைட்ட்டட்க்கைை
1978 ஆம் ஆண்டின் 16 ஆம் இலக்கை, பல்கை்கலக்கைழகைங்கைள் சட்ட்த்்ததின் 25அ என்னும் பதிாதிவுடன் சசா�்த்து வாசதிக்கைப்படும்
27(1) (ஆ) என்னும் பதிாதிவதினால் எனக்குாதி்த்்தாக்கைப்பட்ட ்த்த்துவங்கைைதின் பய்கனக் தகைாண்டு, கைல்வதி, உயா� கைல்வதி
மற்றும் த்தாழதிற்கைல்வதி அ்கமச்சா� கைலாநதி்ததி ஹாிாதிணிதி அமரசூாிாதிய ஆகைதிய நான், 2007 ஆம் ஆண்டின் 7 ஆம் இலக்கை,
கைம்பனதிகைள் சட்ட்த்்ததின் கைீழ் இலங்்ககையதில் கூட்டி்கணிக்கைப்பட்ட கைம்பனதிதயான்றாகைவுள்ைதும், பட்ட்த்்க்த அைதிக்கைதின்ற
நதிறுவகைதமான்றாகை ஏற்றங்கைீகைாதிக்கைப்பட்ட PV 94125 ஆம் ப்ததிவதிலக்கை்த்்க்தக் தகைாண்டதும் மாதனல்வ்த்்த, தபாசலகைல்ல,
கைைனதியதில் அ்கமந்துள்ைதுமான நாகைானந்்த இன்டநஷனல் இன்ஸ்டிடியுட் சவாப் புடிஸ்ட் ஸ்டடிஸ் (பதி்கறசவட்) லிமதிதடட்
(NIIBS) த்தாடர்பதில், சமற்கூறப்பட்ட சட்ட்த்்ததின் 70இ என்னும் பதிாதிவதின் கைீழான அறதிக்்ககைதயான்்கறப் தபற்றுக்தகைாண்டு,
தசால்லப்பட்ட சட்ட்த்்ததின் கைீழ் ஆக்கைப்பட்டதும், 2025, தச்த்த்தம்பர் 22 ஆந் ்ததிகை்ததிய 2455/08 ஆம் இலக்கை அ்ததிவதிசசட
வர்்த்்தமானதியதில் தவிதியதிடப்பட்டதுமான கைட்ட்கைக்கைான I ஆம் அட்டவ்கணி, அட்டவ்கணி I இன் 'நதிபந்்த்கன (1) (ஆ)’
இற்குப் ப்ததிலாகைப் பதின்வருவ்த்கன இடுவ்தன் மூலம் இக்கைட்ட்கையதினால் ்ததிரு்த்துகைதின்சறன்.
1 - PG 7527 - 283 (2026/02)
,t; mjptpNrl tu;j;jkhdpia www.documents.gov.lk vDk; ,izaj;jsj;jpypUe;J gjptpwf;fk; nra;a KbAk;.
2 I fldgi ( ^I&amp; fPoh - YS% ,xld m%cd;dka;s%l iudcjd§ ckrcfha w;s úfYI .eiÜ m;%h - - 2026. 02.17
gFjp I : njhFjp (I) - ,yq;ifr; rdehaf Nrhryprf; FbauR tu;j;jkhdg; gj;;jpupif - mjp tpNr\khdJ - 2026.02.17
அஅட்ட்டடவவ்க்கணிணி II
நதிபந்்த்கனகைள்
(1) (ஆ) கு்கறந்்தபட்சம் 120 ்ததிற்கம ம்ததிப்பீடுகைளுடன் தபி்த்்த கைற்்ககைகைைதில் இைங்கை்கலமாணிதி (சதிறப்பு) (இலங்்ககை
்த்ககை்கம கைட்ட்கமப்பு மட்டம் 6) த்தாடா�பதில் இலங்்ககைப் பாீட்்கசகைள் ்ததி்கணிக்கைை்த்்ததினால் நடா்த்்தப்படும்
கை.தபா.்த. (உயர்்தர) பாீட்்கசயதில் ஏச்தனும் பாட்த்து்கறயதில் ஒசர மற்றும் அச்த அமர்வதில் மூன்று (3) ‘சா்தாரணி
சதி்த்்ததிகைள்’ (“S”) அல்லது அ்தற்குச் சமமான ்த்ககை்கமகைள் கு்கறந்்தபட்ச நு்கழவு்த் ்த்ககை்கமகைைாகை அ்கமந்த்தாழுகு்தல்
சவண்டும்.
கைலாநதி்ததி ஹாிஹாிாாதிதிணிணிதிதி அஅமமரரசூாிசூாிாாதிதியய,,
கைல்வதி, உயா� கைல்வதி மற்றும்
த்தாழதிற்கைல்வதி அ்கமச்சா�.
தகைாழும்பு,
2025, ்ததிதசம்பர் 31.
EOG 02 - 00137
இலங்்ககை அரசாங்கை அச்சு்த் ்ததி்கணிக்கைை்த்்ததில் ப்ததிப்பதிக்கைப்தபற்றது</t>
  </si>
  <si>
    <t>7d7f47c4-51b0-4e21-a497-73e896d89d29</t>
  </si>
  <si>
    <t>2476_10</t>
  </si>
  <si>
    <t>2476/10</t>
  </si>
  <si>
    <t>General Notification — Cooperative or Lands sector (Gazette 2476/10)</t>
  </si>
  <si>
    <t>රජයේ දැන්වීම - සමුපකාර හෝ ඉඩම් අංශය</t>
  </si>
  <si>
    <t>அரசாங்க அறிவித்தல் - கூட்டுறவு அல்லது நிலம் துறை</t>
  </si>
  <si>
    <t>General notification published in Part III. Part III — Lands.</t>
  </si>
  <si>
    <t>m1/raw/2476_10.pdf</t>
  </si>
  <si>
    <t>(cid:636) ලංකා (cid:541)ජාතා(cid:486)(cid:437)ක සමාජවා(cid:463) ජනරජෙ(cid:591) ගැස(cid:376) ප(cid:436)ය
අ(cid:431) (cid:618)ෙශෂ
இல(cid:8113)ைக(cid:8114) சனநாயக ேசாச(cid:8098)ச(cid:8112) (cid:8065)(cid:8074)யர(cid:8070) வ(cid:8125)(cid:8119)தமான(cid:8122) ப(cid:8119)திாிைக
அதி விேசஷமான(cid:8080)
අංක 2476/10 - 2026 ෙපබරවා(cid:604) මස 17 වැ(cid:487) අඟහ(cid:606)වාදා - 2026.02.17
2476/10 ஆ(cid:8123) இல(cid:8112)க(cid:8123) - 2026 ஆ(cid:8123) ஆ(cid:8118)(cid:8076) ெப(cid:8122)(cid:8087)(cid:8094)வாி மாத(cid:8123) 17 ஆ(cid:8120) திகதி ெச(cid:8130)வா(cid:8124)(cid:8112)கிழைம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கிராம(cid:8123) : (cid:8087)(cid:8113)(cid:8065)(cid:8076)தீ(cid:8107)
கட(cid:8119)திர(cid:8127) வைரபட இல. : 910377
7 ஆ(cid:8123) பிாிவி(cid:8121) கீ(cid:8129) அறிவி(cid:8119)த(cid:8127) ெமா(cid:8119)த வி(cid:8132)தீரண(cid:8123) : 0.0354 ெஹ(cid:8112)டயா(cid:8125)
காணி எ(cid:8076)(cid:8119)த(cid:8126)கான : ேதசிய நீ(cid:8125) வழ(cid:8113)க(cid:8127)
என(cid:8080) (cid:8065)றி(cid:8122)(cid:8087) இல.: VE/DS/LA/AQ/WT/02. ேநா(cid:8112)க(cid:8123) ம(cid:8126)(cid:8096)(cid:8123) வ(cid:8074)காலைம(cid:8122)(cid:8087)
காணி அைம(cid:8114)சி(cid:8121) (cid:8065)றி(cid:8122)(cid:8087) இல.: 4-3/9/2017/WS/137. சைபயி(cid:8121) யா(cid:8129)(cid:8122)பாண(cid:8123),
கிளிெநா(cid:8114)சி (cid:8065)(cid:8074)நீ(cid:8125)
ஒ(cid:8094) பகிர(cid:8113)க(cid:8119) ேதைவ(cid:8112)(cid:8065) ேவ(cid:8118)(cid:8074)யதான கீ(cid:8129)(cid:8112)
விநிேயாக(cid:8119) தி(cid:8117)ட(cid:8119)தி(cid:8121)
கா(cid:8078)(cid:8123) காணிைய எ(cid:8076)(cid:8119)(cid:8080)(cid:8112)ெகா(cid:8128)ள அரசா(cid:8117)சியா(cid:8125)
கீ(cid:8129) (cid:8087)(cid:8113)(cid:8065)(cid:8076)தீ(cid:8107) நீ(cid:8125)(cid:8112)
எ(cid:8118)ணயி(cid:8094)(cid:8112)கிறா(cid:8125)க(cid:8128) எ(cid:8121)பைத 1964 ஆ(cid:8123) ஆ(cid:8118)(cid:8074)(cid:8121)
ேகா(cid:8087)ர(cid:8123) அைம(cid:8120)(cid:8080)(cid:8128)ள
28 ஆ(cid:8123) இல(cid:8112)க காணி எ(cid:8076)(cid:8119)த(cid:8127) தி(cid:8094)(cid:8119)த(cid:8114) ச(cid:8117)ட(cid:8122)ப(cid:8074)
காணி(cid:8112)(cid:8065) உ(cid:8117)ெச(cid:8127)(cid:8100)(cid:8123)
தி(cid:8094)(cid:8119)த(cid:8122)ப(cid:8117)டவாறான காணி எ(cid:8076)(cid:8119)த(cid:8126) ச(cid:8117)ட(cid:8119)தி(cid:8121)
பாைதைய நி(cid:8125)மாணி(cid:8122)
(அ(cid:8119)தியாய(cid:8123) 460) 7 ஆ(cid:8123) பிாிவி(cid:8121) (1) ஆ(cid:8123) உ(cid:8117)
பத(cid:8126)காக.
பிாிவி(cid:8121) கீ(cid:8129), நா(cid:8121) இ(cid:8119)தா(cid:8127) அறிவி(cid:8112)கி(cid:8121)ேற(cid:8121).
எ(cid:8076)(cid:8119)(cid:8080)(cid:8112) ெகா(cid:8128)ளவி(cid:8094)(cid:8112)(cid:8065)(cid:8123) காணியி(cid:8121) விபர(cid:8123): 01. (cid:8080)(cid:8118)(cid:8076) இல. 1 - காணியி(cid:8121) ெபய(cid:8125): ஆ(cid:8098)
எ(cid:8104)வ(cid:8121) கல(cid:8076); விபர(cid:8123): பாைத; உாிைம ேகா(cid:8094)பவ(cid:8125):
மாகாண(cid:8123) : வட(cid:8112)(cid:8065) தி(cid:8094)நா(cid:8107)(cid:8112)கர(cid:8070) சிவசா(cid:8120)தினி; வி(cid:8132)தீரண(cid:8123): 0.0354
மாவ(cid:8117)ட(cid:8123) : யா(cid:8129)(cid:8122)பாண(cid:8123) ெஹ(cid:8112)டயா(cid:8125)
பிரேதச ெசயலாள(cid:8125) : தீவக(cid:8123) ெத(cid:8126)(cid:8065), வட(cid:8112)(cid:8065): (cid:8106)தி ((cid:8106)தி அபிவி(cid:8094)(cid:8119)தி அதிகார சைப);
பிாி(cid:8107) ேவலைண கிழ(cid:8112)(cid:8065): ஆ(cid:8098) எ(cid:8104)வ(cid:8121) கல(cid:8076), ேதா(cid:8117)ட(cid:8123), தி(cid:8094)நா(cid:8107)(cid:8112)
கிராம அ(cid:8100)வல(cid:8125) பிாி(cid:8107) : (cid:8087)(cid:8113)(cid:8065)(cid:8076)தீ(cid:8107) ம(cid:8119)தி கர(cid:8070) சிவசா(cid:8120)தினி; ெத(cid:8126)(cid:8065): PPයා 2737 இ(cid:8127) காணி(cid:8119)
ேம(cid:8126)(cid:8065) - J/30 (cid:8080)(cid:8118)(cid:8076) இல. 01 ; ேம(cid:8126)(cid:8065): காணியி(cid:8121) ெபய(cid:8125) அறிய
1A - G 46308 - 33 (2026/02)
இ(cid:8130) அதிவிேசட வ(cid:8125)(cid:8119)தமானிைய www.documents.gov.lk எ(cid:8084)(cid:8123) இைணய(cid:8119)தள(cid:8119)தி(cid:8098)(cid:8094)(cid:8120)(cid:8080) பதிவிற(cid:8112)க(cid:8123) ெச(cid:8124)ய (cid:8089)(cid:8074)(cid:8092)(cid:8123).
2A III ෙක(cid:675)ටස - (cid:636) ලංකා (cid:541)ජාතා(cid:486)(cid:437)ක සමාජවා(cid:463) ජනරජෙ(cid:591) අ(cid:431) (cid:618)ෙශෂ ගැස(cid:376) ප(cid:436)ය - 2026.02.17
ப(cid:8065)தி III - இல(cid:8113)ைக(cid:8114) சனநாயக ேசாச(cid:8098)ச(cid:8112) (cid:8065)(cid:8074)யர(cid:8070) வ(cid:8125)(cid:8119)தமான(cid:8122) ப(cid:8119)திாிைக - அதி விேசஷமான(cid:8080) - 2026.02.17
(cid:8089)(cid:8074)யவி(cid:8127)ைல, ேதா(cid:8117)ட(cid:8123), உாிைமயாளைர அறிய ஈ(cid:8117)(cid:8076)(cid:8119) ெதாைகைய(cid:8092)(cid:8123) அ(cid:8119) ெதாைக கணி(cid:8112)க(cid:8122)ப(cid:8117)ட
(cid:8089)(cid:8074)யவி(cid:8127)ைல ம(cid:8126)(cid:8096)(cid:8123) காணியி(cid:8121) ெபய(cid:8125) அறிய வித(cid:8119)ைத(cid:8092)(cid:8123) 2026 ஆ(cid:8123) ஆ(cid:8118)(cid:8076) மா(cid:8114)(cid:8070) மாத(cid:8123) 30 ஆ(cid:8120)
(cid:8089)(cid:8074)யவி(cid:8127)ைல, ேதா(cid:8117)ட(cid:8123), உாிைமயாளைர அறிய திகதி(cid:8112)(cid:8065) (cid:8089)(cid:8121)ன(cid:8125) எ(cid:8104)(cid:8119)தி(cid:8127) (cid:8089)(cid:8122)பிரதிகளாக என(cid:8112)(cid:8065)
(cid:8089)(cid:8074)யவி(cid:8127)ைல. அறிவி(cid:8112)(cid:8065)(cid:8123)ப(cid:8074)(cid:8092)(cid:8123) இ(cid:8119)தா(cid:8127) ேக(cid:8117)(cid:8076)(cid:8112) ெகா(cid:8128)ள(cid:8122)ப(cid:8076)
கி(cid:8121)றன(cid:8125).
ேம(cid:8126)(cid:8065)றி(cid:8119)த காணி(cid:8112)(cid:8065) உாி(cid:8119)(cid:8080)(cid:8122) ேப(cid:8070)கி(cid:8121)ற சகல(cid:8094)(cid:8123)
த. அகில(cid:8121),
தாமாக அ(cid:8127)ல(cid:8080) (cid:8089)ைற(cid:8122)ப(cid:8074) எ(cid:8104)(cid:8119)(cid:8080) (cid:8090)ல(cid:8123) அதிகார
பிரேதச ெசயலாள(cid:8125),
மளி(cid:8112)க(cid:8122)ப(cid:8117)ட காாிய(cid:8112)கார(cid:8125) (cid:8090)லமாக 2026 ஆ(cid:8123)
தீவக(cid:8123) ெத(cid:8126)(cid:8065),
ஆ(cid:8118)(cid:8076) ஏ(cid:8122)பிற(cid:8127) மாத(cid:8123) 06 ஆ(cid:8120) திகதி (cid:8089).ப. 10.00
ேவலைண.
மணி(cid:8112)(cid:8065) தீவக(cid:8123) ெத(cid:8126)(cid:8065), ேவலைண பிரேதச
பிரேதச ெசயலக(cid:8123),
ெசயலாள(cid:8125) பிரேதச ெசயலக(cid:8119)தி(cid:8127) எ(cid:8121) (cid:8089)(cid:8121)பாக
தீவக(cid:8123) ெத(cid:8126)(cid:8065),
ெவளி(cid:8122)ப(cid:8076)(cid:8119)(cid:8080)(cid:8123)ப(cid:8074)(cid:8092)(cid:8123) ேம(cid:8100)(cid:8123), அ(cid:8112)காணியி(cid:8127)
ேவலைண,
அவ(cid:8125)க(cid:8102)(cid:8112)(cid:8065)(cid:8128)ள உட(cid:8120)ைதகளி(cid:8121) த(cid:8121)ைமைய(cid:8092)(cid:8123)
2026, ெப(cid:8122)(cid:8087)(cid:8094)வாி 12.
(cid:8065)றி(cid:8119)த காணிைய எ(cid:8076)(cid:8119)த(cid:8126)கான ந(cid:8117)டஈ(cid:8076) ப(cid:8126)றிய
அவ(cid:8125)களி(cid:8121) ேகாாி(cid:8112)ைககளி(cid:8121) விபர(cid:8113)கைள(cid:8092)(cid:8123) ந(cid:8117)ட
EOG 02 - 0138
இல(cid:8113)ைக அரசா(cid:8113)க அ(cid:8114)(cid:8070)(cid:8119) திைண(cid:8112)கள(cid:8119)தி(cid:8127) அ(cid:8114)சிட(cid:8122)ப(cid:8117)ட(cid:8080).</t>
  </si>
  <si>
    <t>937b79ea-3876-4a2a-83c9-e89e58749cc2</t>
  </si>
  <si>
    <t>2476_11</t>
  </si>
  <si>
    <t>2476/11</t>
  </si>
  <si>
    <t>Land Acquisition Act (Chapter 460), Section 5 — Notice of Intended Acquisition (Gazette 2476/11)</t>
  </si>
  <si>
    <t>m1/raw/2476_11.pdf</t>
  </si>
  <si>
    <t>III ෙකාටස - (cid:636) ලංකා (cid:541)ජාතා(cid:486)(cid:437)ක සමාජවා(cid:463) ජනරජෙ(cid:591) අ(cid:431) (cid:618)ෙශෂ ගැස(cid:376) ප(cid:436)ය - 2026.02.17 1A
பகுதி III - இலங்ைகச் சனநாயக ேசாச(cid:8098)சக் கு(cid:8074)யரசு வர்த்தமானப் பத்திாிைக - அதி விேசஷமான(cid:8080) - 2026.02.17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22447766//1111 –– 22002266 ෙෙපපබබරරවවාා(cid:604)(cid:604) මමසස 1177 වවැැ(cid:487)(cid:487) අඅඟඟහහ(cid:606)(cid:606)වවාාදදාා –– 22002266..0022..1177
22447766//1111 ஆஆம்ம் இஇலலக்க்ககம்ம் –– 22002266 ஆஆம்ம் ஆஆண்ண்(cid:8076)(cid:8076) ெெபபப்ப்(cid:8087)(cid:8087)(cid:8094)(cid:8094)வவாாிி மமாாததம்ம் 1177 ஆஆந்ந் ததிிககததிி ெ ெசசவ்வ்வவாாய்ய்க்க்ககிிழழைைமம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II. ககாாணணிியயிின்ன் வவிிபபரரம்ம் :: மத்திய மாகாணத்தின் கண்(cid:8074)
மாவட்டத்தின் ஹாாிஸ்பத்(cid:8080)வ பிரேதச ெசயலாளர்
பிாிவின் கு(cid:8100)கம்மன சியபத்(cid:8080)வ சி(cid:8096) பிாிவின், இலக்கம்
5 ஆம் பிாிவின் ப(cid:8074)யான பிரகடனம்
456 கு(cid:8094)ந்(cid:8080)வத்த கிராம அ(cid:8100)வலர் பிாிவின், கு(cid:8094)ந்(cid:8080)வத்த
கிராமத்தில் அைமந்(cid:8080)ள்ள நிலஅளைவயாளர் நாயகத்தினால்
இங்கு கீேழ விபாிக்கப்பட்(cid:8076)ள்ள காணி ஒ(cid:8094) ெபா(cid:8080) தயாாிக்கப்பட்ட Maha/HRS/2022/122 மற்(cid:8096)ம் 2022.11.16
விடயத்திற்குத் ேதைவ என(cid:8107)ம், அதைன காணி எ(cid:8076)த்தற் ஆந் திகதியிடப்பட்ட ேமம்ப(cid:8076)த்தப்பட்ட வைரபடத்தில்
சட்டத்தின் ஏற்பா(cid:8076)களின் பிரகாரம் எ(cid:8076)க்கப்ப(cid:8076)ெமன(cid:8107)ம், விபரமாக குறிப்பிடப்பட்(cid:8076)ள்ள பின்வ(cid:8094)ம் ெபயா்கள்
விஸ்தீரணங்கைளக் ெகாண்ட காணித் (cid:8080)ண்(cid:8076)களின்
காணி எ(cid:8076)த்தற் சட்டத்தின் 5 ஆம் பிாிவின் (1) ஆம்
எல்ைலகள் :
உபபிாிவின் பிரகாரம், கமத்ெதாழில், கால்நைட வளங்கள்,
காணி மற்(cid:8096)ம் நீர்ப்பாசன அைமச்சர் குரகமேக ெதான் லால்
01. (cid:8080)(cid:8080)ண்ண்(cid:8076)(cid:8076) ''''AA"" –– குகு(cid:8094)(cid:8094)ந்ந்(cid:8080)(cid:8080)வவத்த்தத ஜஜனனபபததயய -- வவிிஸ்ஸ்ததீீரரணணம்ம் ::
காந்த ஆகிய நான், இத்தால் அறிவித்தல் ெசய்கின்ேறன். 00..00001155 ெெஹஹக்க்டடயயாார்ர்
அத்தைகய காணி எ(cid:8076)த்தல் உாிைம எந்தக் காணியி(cid:8098)(cid:8094)ந்(cid:8080) வடக்கு: எம்.எம்.பீ. ரன்எதனா உாிைமேகா(cid:8094)ம் கு(cid:8094)ந்(cid:8080)வத்த
ெபற்(cid:8096)க்ெகாள்ளப்ப(cid:8076)ம் என்ப(cid:8080) II ஆம் நிர(cid:8098)ல் விவாிக்கப் ஜனபதய மற்(cid:8096)ம் பிரேதச சைப (cid:8106)தி; கிழக்கு: பிரேதச சைப (cid:8106)தி
மற்(cid:8096)ம் பீ.டீ.ஜீ.ஏ.பீ. ேதவசிறி உாிைமேகா(cid:8094)ம் கு(cid:8094)ந்(cid:8080)வத்த
பட்(cid:8076)ள்ள(cid:8080).
ஜனபதய; ெதற்கு: பீ.டீ.ஜீ.ஏ.பீ. ேதவசிறி உாிைமேகா(cid:8094)ம்
கு(cid:8094)ந்(cid:8080)வத்த ஜனபதய, ஓைட மற்(cid:8096)ம் (cid:8080)ண்(cid:8076) B; ேமற்கு:
அஅட்ட்டடவவைைணண
(cid:8080)ண்(cid:8076) C மற்(cid:8096)ம் எம்.எம்.பீ. ரன்எதனா உாிைமேகா(cid:8094)ம்
கு(cid:8094)ந்(cid:8080)வத்த ஜனபதய.
I. ககாாணணிி எஎ(cid:8076)(cid:8076)த்த்ததல்ல் உஉத்த்ததிிேேயயாாககத்த்ததர்ர் :: ககண்ண்(cid:8074)(cid:8074) வவடடக்க்குகு
பபாாதத(cid:8080)(cid:8080)ம்ம்பபரர ஒஒ(cid:8094)(cid:8094)ங்ங்ககிிைைணணந்ந்தத நநீீர்ர் வவழழங்ங்ககல்ல் ததிிட்ட்டடத்த்ததிின்ன் 02. (cid:8080)(cid:8080)ண்ண்(cid:8076)(cid:8076) ''''BB"" –– குகுறறிிப்ப்பபிிடடப்ப்பபடடவவிில்ல்ைைலல -- வவிிஸ்ஸ்ததீீரரணணம்ம் ::
யயஹஹலலெெததன்ன்னன ேேசசைைவவ நநீீர்ர்த்த்ேேததக்க்ககத்த்ததிி(cid:8098)(cid:8098)(cid:8094)(cid:8094)ந்ந்(cid:8080)(cid:8080) அஅலலெெததனனிியய 00..00000077 ெெஹஹக்க்டடயயாார்ர்
(cid:8089)(cid:8089)(cid:8094)(cid:8094)ததலலாாவவ பபிிரரததாானன (cid:8106)(cid:8106)ததிி வவைைரர வவிிநநிிேேயயாாககக்க் குகுழழாாய்ய்ககைைளளப்ப் வடக்கு: எம்.எம்.பீ. ரன்எதனா உாிைமேகா(cid:8094)ம் கு(cid:8094)ந்(cid:8080)வத்த
பபததிிப்ப்பபததற்ற்ககாாககக்க் ககாாணணிிைையய எஎ(cid:8076)(cid:8076)த்த்ததல்ல் உஉாாிிைைமமைையயப்ப் ெெபபற்ற்(cid:8096)(cid:8096)க்க் ஜனபதய மற்(cid:8096)ம் (cid:8080)ண்(cid:8076) A; கிழக்கு: பீ.டீ.ஜீ.ஏ.பீ. ேதவசிறி
ெெககாாள்ள்(cid:8102)(cid:8102)ததல்ல்.. உாிைமேகா(cid:8094)ம் கு(cid:8094)ந்(cid:8080)வத்த ஜனபதய மற்(cid:8096)ம் ஒைட;
1A – G46309 – 09(2026/02)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- 2026.02.17
பகுதி III - இலங்ைகச் சனநாயக ேசாச(cid:8098)சக் கு(cid:8074)யரசு வர்த்தமானப் பத்திாிைக - அதி விேசஷமான(cid:8080) - 2026.02.17
ெதற்கு: பீ.டீ.ஜீ.ஏ.பீ. ேதவசிறி உாிைமேகா(cid:8094)ம் கு(cid:8094)ந்(cid:8080)வத்த (cid:8080)ண்(cid:8076) J; ெதற்கு: (cid:8080)ண்(cid:8076) J மற்(cid:8096)ம் பிரேதச சைப (cid:8106)தி; ேமற்கு:
ஜனபதய மற்(cid:8096)ம் ஓைட ; ேமற்கு: (cid:8080)ண்(cid:8076) C மற்(cid:8096)ம் எம்.எம். எம்.எம்.பீ. ரன்எதனா உாிைமேகா(cid:8094)ம் கு(cid:8094)ந்(cid:8080)வத்த ஜனபதய.
பீ. ரன்எதனா உாிைமேகா(cid:8094)ம் கு(cid:8094)ந்(cid:8080)வத்த ஜனபதய.
09. (cid:8080)(cid:8080)ண்ண்(cid:8076)(cid:8076) ''''JJ"" –– குகு(cid:8094)(cid:8094)ந்ந்(cid:8080)(cid:8080)வவத்த்தத ஜஜனனபபததயய -- வவிிஸ்ஸ்ததீீரரணணம்ம் ::
00..00000022 ெெஹஹக்க்டடயயாார்ர்
03. (cid:8080)(cid:8080)ண்ண்(cid:8076)(cid:8076) ''''CC"" –– குகு(cid:8094)(cid:8094)ந்ந்(cid:8080)(cid:8080)வவத்த்தத ஜஜனனபபததயய -- வவிிஸ்ஸ்ததீீரரணணம்ம் ::
வடக்கு: (cid:8080)ண்(cid:8076) H மற்(cid:8096)ம் ஓைட; கிழக்கு: பீ.டீ.ஜீ.ஏ.பீ.
00..00000088 ெெஹஹக்க்டடயயாார்ர்
ேதவசிறி உாிைமேகா(cid:8094)ம் கு(cid:8094)ந்(cid:8080)வத்த ஜனபதய; ெதற்கு:
வடக்கு: எம்.எம்.பீ. ரன்எதனா உாிைமேகா(cid:8094)ம் கு(cid:8094)ந்(cid:8080)வத்த
பீ.டீ.ஜீ.ஏ.பீ. ேதவசிறி உாிைமேகா(cid:8094)ம் கு(cid:8094)ந்(cid:8080)வத்த ஜனபதய
ஜனபதய மற்(cid:8096)ம் (cid:8080)ண்(cid:8076) A; கிழக்கு: (cid:8080)ண்(cid:8076) B, ஓைட மற்(cid:8096)ம்
மற்(cid:8096)ம் பிரேதச சைப (cid:8106)தி; ேமற்கு: (cid:8080)ண்(cid:8076) H.
(cid:8080)ண்(cid:8076) D; ெதற்கு: (cid:8080)ண்(cid:8076) D; ேமற்கு: ஓைட மற்(cid:8096)ம் எம்.எம்.
பீ. ரன்எதனா உாிைமேகா(cid:8094)ம் கு(cid:8094)ந்(cid:8080)வத்த ஜனபதய.
ேக.(cid:8074). லால் காந்த,
கமத்ெதாழில், கால்நைட வளங்கள், காணி
04. (cid:8080)(cid:8080)ண்ண்(cid:8076)(cid:8076) ''''DD"" –– குகுறறிிப்ப்பபிிடடப்ப்பபடடவவிில்ல்ைைலல -- வவிிஸ்ஸ்ததீீரரணணம்ம் ::
மற்(cid:8096)ம் நீர்ப்பாசன அைமச்சர்.
00..00000033 ெெஹஹக்க்டடயயாார்ர்
வடக்கு: எம்.எம்.பீ. ரன்எதனா உாிைமேகா(cid:8094)ம் கு(cid:8094)ந்(cid:8080)வத்த என(cid:8080) இல. : 4–3/18/2021/WS/127.
ஜனபதய, (cid:8080)ண்(cid:8076) C மற்(cid:8096)ம் B; கிழக்கு: ஓைட மற்(cid:8096)ம் பீ.டீ. கமத்ெதாழில், கால் நைட வளங்கள், காணி
ஜீ.ஏ.பீ. ேதவசிறி உாிைமேகா(cid:8094)ம் கு(cid:8094)ந்(cid:8080)வத்த ஜனபதய; மற்(cid:8096)ம் நீர்ப்பாசன அைமச்சு,
ெதற்கு: பீ.டீ.ஜீ.ஏ.பீ. ேதவசிறி உாிைமேகா(cid:8094)ம் கு(cid:8094)ந்(cid:8080)வத்த மிஹிகத ெம(cid:8080)ர,
ஜனபதய மற்(cid:8096)ம் (cid:8080)ண்(cid:8076) E; ேமற்கு: ஓைட மற்(cid:8096)ம் எம்.எம்.பீ. இல. 1200/ 6, ரஜமல்வத்த (cid:8106)தி,
ரன்எதனா உாிைமேகா(cid:8094)ம் கு(cid:8094)ந்(cid:8080)வத்த ஜனபதய. பத்தர(cid:8089)ல்ைல,
2025, திெசம்பர் 19.
05. (cid:8080)(cid:8080)ண்ண்(cid:8076)(cid:8076) ''''EE"" –– குகு(cid:8094)(cid:8094)ந்ந்(cid:8080)(cid:8080)வவத்த்தத ஜஜனனபபததயய -- வவிிஸ்ஸ்ததீீரரணணம்ம் ::
EOG 02–0139
00..00003311 ெெஹஹக்க்டடயயாார்ர்
வடக்கு: எம்.எம்.பீ. ரன்எதனா உாிைமேகா(cid:8094)ம் கு(cid:8094)ந்(cid:8080)வத்த
ஜனபதய, ஓைட, பீ.டீ.ஜீ.ஏ.பீ. ேதவசிறி உாிைமேகா(cid:8094)ம்
கு(cid:8094)ந்(cid:8080)வத்த ஜனபதய, (cid:8080)ண்(cid:8076) D மற்(cid:8096)ம் ஓைட; கிழக்கு: பீ.டீ.
ககாாணணிி எஎ(cid:8076)(cid:8076)த்த்ததற்ற் சசட்ட்டடம்ம் ((அஅத்த்ததிியயாாயயம்ம் 446600))
ஜீ.ஏ.பீ. ேதவசிறி உாிைமேகா(cid:8094)ம் கு(cid:8094)ந்(cid:8080)வத்த ஜனபதய
மற்(cid:8096)ம் (cid:8106)தி; ெதற்கு: (cid:8106)தி, ஓைட மற்(cid:8096)ம் (cid:8080)ண்(cid:8076) F; ேமற்கு: 5 ஆம் பிாிவின் ப(cid:8074)யான பிரகடனம்
(cid:8080)ண்(cid:8076) F, ஓைட மற்(cid:8096)ம் எம்.எம்.பீ. ரன்எதனா உாிைமேகா(cid:8094)ம்
கு(cid:8094)ந்(cid:8080)வத்த ஜனபதய. என(cid:8080) இல. : 4–3/10/2011/PC/89.
பிரேதச ெசயலாளர் குறிப்(cid:8087) இல. : MUL/LND/2/ACQ/35.
06. (cid:8080)(cid:8080)ண்ண்(cid:8076)(cid:8076) ''''FF"" –– குகுறறிிப்ப்பபிிடடப்ப்பபடடவவிில்ல்ைைலல -- வவிிஸ்ஸ்ததீீரரணணம்ம் ::
00..00001122 ெெஹஹக்க்டடயயாார்ர் காணி எ(cid:8076)த்தற் சட்டத்தின் 18 ஆம் பிாிவின் பிரகாரம்
வடக்கு: ஓைட மற்(cid:8096)ம் எம்.எம்.பீ. ரன்எதனா உாிைம கமத்ெதாழில், கால்நைட வளங்கள், காணி மற்(cid:8096)ம் நீர்ப்பாசன
ேகா(cid:8094)ம் கு(cid:8094)ந்(cid:8080)வத்த ஜனபதய மற்(cid:8096)ம் ஓைட; கிழக்கு: அைமச்சர் குரகமேக ெதான் லால் காந்த ஆகிய நான், 2212/33
ஆம் இலக்க, 2021.01.29 ஆம் திகதிய இலங்ைகச் சனநாயக
(cid:8080)ண்(cid:8076) E, (cid:8106)தி மற்(cid:8096)ம் ஓைட; ெதற்கு: பீ.டீ.ஜீ.ஏ.பீ. ேதவசிறி
ேசாச(cid:8098)சக் கு(cid:8074)யரசின் அதிவிேசட வர்த்தமானியில் 1A
உாிைமேகா(cid:8094)ம் கு(cid:8094)ந்(cid:8080)வத்த ஜனபதய, ஓைட மற்(cid:8096)ம் (cid:8080)ண்(cid:8076)
பக்கத்தில் (cid:8089)ம்ெமாழிகளில் பிரசுாிக்கப்பட்ட 5 ஆம் பிாிவின்
H மற்(cid:8096)ம் G; ேமற்கு: (cid:8080)ண்(cid:8076) G, எம்.எம்.பீ. ரன்எதனா
பிரகடனத்ைத இத்தால் இரத்(cid:8080)ச் ெசய்கிேறன்.
உாிைமேகா(cid:8094)ம் கு(cid:8094)ந்(cid:8080)வத்த ஜனபதய மற்(cid:8096)ம் ஓைட.
ேக.(cid:8074). லால் காந்த,
07. (cid:8080)(cid:8080)ண்ண்(cid:8076)(cid:8076) ''''GG"" –– குகு(cid:8094)(cid:8094)ந்ந்(cid:8080)(cid:8080)வவத்த்தத ஜஜனனபபததயய -- வவிிஸ்ஸ்ததீீரரணணம்ம் ::
கமத்ெதாழில், கால்நைட வளங்கள், காணி
00..00002200 ெெஹஹக்க்டடயயாார்ர்
மற்(cid:8096)ம் நீர்ப்பாசன அைமச்சர்.
வடக்கு: எம்.எம்.பீ. ரன்எதனா உாிைமேகா(cid:8094)ம் கு(cid:8094)ந்(cid:8080)வத்த
ஜனபதய, ஓைட மற்(cid:8096)ம் (cid:8080)ண்(cid:8076) F; கிழக்கு: (cid:8080)ண்(cid:8076) F, ஓைட கமத்ெதாழில், கால்நைட வளங்கள், காணி
மற்(cid:8096)ம் (cid:8080)ண்(cid:8076) H; ெதற்கு: (cid:8080)ண்(cid:8076) H; ேமற்கு: எம்.எம்.பீ. மற்(cid:8096)ம் நீர்ப்பாசன அைமச்சு,
ரன்எதனா உாிைமேகா(cid:8094)ம் கு(cid:8094)ந்(cid:8080)வத்த ஜனபதய. மிஹிகத ெம(cid:8080)ர,
இல. 1200/ 6, ரஜமல்வத்த (cid:8106)தி,
08. (cid:8080)(cid:8080)ண்ண்(cid:8076)(cid:8076) ''''HH"" –– குகுறறிிப்ப்பபிிடடப்ப்பபடடவவிில்ல்ைைலல -- வவிிஸ்ஸ்ததீீரரணணம்ம் :: பத்தர(cid:8089)ல்ைல,
00..00000066 ெெஹஹக்க்டடயயாார்ர் 2025, நெவம்பர் 18.
வடக்கு: (cid:8080)ண்(cid:8076) G மற்(cid:8096)ம் F; கிழக்கு: ஓைட, பீ.டீ.ஜீ.ஏ.பீ.
ேதவசிறி உாிைமேகா(cid:8094)ம் கு(cid:8094)ந்(cid:8080)வத்த ஜனபதய மற்(cid:8096)ம் EOG 02–0140
இலங்ைக அரசாங்க அச்சுத் திைணக்களத்தில் அச்சிடப்பட்ட(cid:8080).</t>
  </si>
  <si>
    <t>9614f48c-57f0-4889-81ce-bd0b85361dee</t>
  </si>
  <si>
    <t>2476_12</t>
  </si>
  <si>
    <t>2476/12</t>
  </si>
  <si>
    <t>Title Registration Act, No. 21 of 1998, Section 14 — Commissioner of Title Settlement's decision under Section 14 (Gazette 2476/12)</t>
  </si>
  <si>
    <t>m1/raw/2476_12.pdf</t>
  </si>
  <si>
    <t>7ea29aa6-9644-4b69-a436-8f39efc5b4a3</t>
  </si>
  <si>
    <t>2476_13</t>
  </si>
  <si>
    <t>2476/13</t>
  </si>
  <si>
    <t>Title Registration Act, No. 21 of 1998, Section 14 — Commissioner of Title Settlement's decision under Section 14 (Gazette 2476/13)</t>
  </si>
  <si>
    <t>m1/raw/2476_13.pdf</t>
  </si>
  <si>
    <t>a05eb28c-8299-4d7e-b7b6-c39b31a762ed</t>
  </si>
  <si>
    <t>2476_14</t>
  </si>
  <si>
    <t>2476/14</t>
  </si>
  <si>
    <t>Title Registration Act, No. 21 of 1998, Section 14 — Commissioner of Title Settlement's decision under Section 14 (Gazette 2476/14)</t>
  </si>
  <si>
    <t>m1/raw/2476_14.pdf</t>
  </si>
  <si>
    <t>fcbf4196-167d-4616-8c37-d106555e813d</t>
  </si>
  <si>
    <t>2476_15</t>
  </si>
  <si>
    <t>2476/15</t>
  </si>
  <si>
    <t>Title Registration Act, No. 21 of 1998, Section 14 — Commissioner of Title Settlement's decision under Section 14 (Gazette 2476/15)</t>
  </si>
  <si>
    <t>m1/raw/2476_15.pdf</t>
  </si>
  <si>
    <t>bb267252-7eb8-4a1d-b182-ccbe7967c88d</t>
  </si>
  <si>
    <t>2476_16</t>
  </si>
  <si>
    <t>2476/16</t>
  </si>
  <si>
    <t>Title Registration Act, No. 21 of 1998, Section 14 — Commissioner of Title Settlement decision (Gazette 2476/16)</t>
  </si>
  <si>
    <t>m1/raw/2476_16.pdf</t>
  </si>
  <si>
    <t>III ෙකොටස – ශී ලංකා පජාතාන්තික සමාජවාදී ජනරජෙය් අති විෙශෂ ගැසට් පතය – 2026.02.18 1 A
பகுதி III – இலங்ைகச் சனநாயக ேசாச(cid:8098)சக் கு(cid:8074)யரசு வர்த்தமானப் பத்திாிைக - அதி விேசஷமான(cid:8080) – 2026.02.18
ශී ලංකා පජාතාන්තික සමාජවාදී ජනරජෙය් ගැසට් පතය
இலங்ைகச் சனநாயக ேசாச(cid:8098)சக் கு(cid:8074)யரசு வர்த்தமானப் பத்திாிைக
අති විෙශෂ அதி விேசஷமான(cid:8080)
අංක 2476/16 - 2026 ෙපබරවාරි මස 18 වැනි බදාදා - 2026.02.18
2476/16 ஆம் இலக்கம் - 2026 ஆம் ஆண்(cid:8076) ெபப்(cid:8087)(cid:8094)வாி மாதம் 18 ஆந் திகதிய (cid:8087)தன்கிழைம
(அரசாங்கத்தின் அதிகாரத்(cid:8080)டன் பிரசுாிக்கப்பட்ட(cid:8080))
பகுதி III - காணிகள்
உாித்(cid:8080)ப் பதி(cid:8107) ெசய்தல்
1998 ஆம் ஆண்(cid:8074)ன் 21 ஆம் இலக்க உாித்(cid:8080)ப் பதி(cid:8107)ச் சட்டம்
14 ஆம் பிாிவின் கீழ் உாித்(cid:8080) நிர்ணய ஆைணயாளாின் தீர்மானத்ைத ெவளிப்ப(cid:8076)த்தல்
1998 ஆம் ஆண்(cid:8074)ன் 21 ஆம் இலக்க உாித்(cid:8080)ப் பதி(cid:8107)ச் சட்டத்தின் 14 ஆம் பிாிவின் கீழ் எனக்குாித்தாக்கப்பட்(cid:8076)ள்ள தத்(cid:8080)வங்களின்
பயைனக்ெகாண்(cid:8076), கீேழ ஒப்பமிட்(cid:8076)ள்ள நான், 1998 ஆம் ஆண்(cid:8074)ன் 21 ஆம் இலக்க உாித்(cid:8080)ப் பதி(cid:8107)ச் சட்டத்தின் 12 ஆம் பிாிவின்
நியதிகளின்ப(cid:8074) 2024.09.26 ஆம் திகதிய 2403/44 ஆம் இலக்க வர்த்தமானியில் உாிய (cid:8089)ைறயில் ெவளியிடப்பட்ட(cid:8080)ம், காணிக்கான
உாிைமக் ேகாாிக்ைககைளக் ேகா(cid:8094)கின்ற(cid:8080)மான 81/0365 ஆம் இலக்க அறிவித்த(cid:8098)ல் குறிப்பீ(cid:8076) ெசய்யப்பட்ட ெதன் மாகாணத்தில், கா(cid:8098)
மாவட்டத்தில், எல்பி(cid:8074)ய பிரேதச ெசயலாளர் பிாிவில், இல. 26 பீ - இகல தலாவ கிராம அ(cid:8100)வலர் பிாிவி(cid:8084)ள் இகல தலாவ கிராமத்தில்
அைமந்(cid:8080)ள்ள(cid:8080)ம் 810746 ஆம் இலக்க கடத்திரல் அளைவ வைரபடத்தில் பிாி(cid:8107) இல. 05 இல் அடங்கி(cid:8092)ள்ள(cid:8080)மான 1:33, 1:34, 1:35, 1:38,
1:146, 1:147, 1:148, 1:167 ஆம் இலக்கங்கைளக் ெகாண்ட காணித்(cid:8080)ண்(cid:8076)க(cid:8102)க்கான உாித்(cid:8080) ெதாடர்பாக இதேனா(cid:8076) இைணக்கப்பட்ட
அட்டவைணயில் தரப்பட்(cid:8076)ள்ளவாறான என(cid:8080) தீர்மானத்ைத இத்தால் ெவளிப்ப(cid:8076)த்(cid:8080)கின்ேறன்.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11 ஆம் திகதி.
1A - G 46314 - 03 (2026 / 02)
(cid:8089). கு. - இவ் அதிவிேஷட வர்த்தமானிைய www.documents.gov.lk எ(cid:8084)ம் இைணயத்தளத்தி(cid:8098)(cid:8094)ந்(cid:8080) பதிவிறக்கம் ெசய்ய (cid:8089)(cid:8074)(cid:8092)ம்.
2 A III ෙකොටස – ශී ලංකා පජාතාන්තික සමාජවාදී ජනරජෙය් අති විෙශෂ ගැසට් පතය – 2026.02.18
பகுதி III – இலங்ைகச் சனநாயக ேசாச(cid:8098)சக் கு(cid:8074)யரசு வர்த்தமானப் பத்திாிைக - அதி விேசஷமான(cid:8080) – 2026.02.18
அட்டவைண
காணி விேசட
தாள் வழக்கிற்கு அல்ல(cid:8080)
மற்(cid:8096)ம் விஸ்தீரணம் ெசாந்தக்காரர்/ ெசாந்தக் ேதசிய உாித்(cid:8080)க்குாிய உாித்தின(cid:8080) உட்பட்ட தனியா(cid:8094)க்
காணித் காரர்களின் (cid:8089)(cid:8104)ப் ெபயர்க(cid:8102)ம் அைடயாள இடத்தின் வகுப்(cid:8087)ம் ஈ(cid:8076), குத் குாிய சட்டங்
(cid:8080)ண்(cid:8074)ன் (ெஹக்டயார்) (cid:8089)கவாி(cid:8092)ம் அட்ைட விஸ்தீரணம் இயல்(cid:8087)ம் தைக க(cid:8102)ள் எவ்
இல. இல. த(cid:8076)ப்(cid:8087)க் வைகக்கும்
கட்டைள அைமந்தி(cid:8094)ப்
பற்றிய பின் விபரங்
விபரங்கள் கள்
1 : 33 0.0514 விேஜேசகர குணவர்தன கு(cid:8094)சிங்க 861441776V (cid:8089)(cid:8104)வ(cid:8080)ம் 1வ(cid:8080) வகுப்(cid:8087) _ _
ஆரச்சி தி(cid:8098)ன ஷமீர டயஷ்
501/01,
நானயக்கார மாவத்ைத,
தலாவ, எல்பி(cid:8074)ய.
1 : 34 0.0101 தனியார் இல்ைல (cid:8089)(cid:8104)வ(cid:8080)ம் 1வ(cid:8080) வகுப்(cid:8087) _ கா.(cid:8080).இல. 38,
39 இன்
பிரேவசத்திற்கு.
1 : 35 0.0254 உ(cid:8076)கம சூாியேக சஜித் ரங்கன 198101403533 (cid:8089)(cid:8104)வ(cid:8080)ம் 1வ(cid:8080) வகுப்(cid:8087) _ _
60/19,
மி(cid:8094)க ைவத்தியசாைல மாவத்ைத,
அ(cid:8100)த்கம பாைத, எல்பி(cid:8074)ய.
1 : 38 0.0248 ஈஸ்வராவாாீ ஆாியசிாி விமல் 712623055V (cid:8089)(cid:8104)வ(cid:8080)ம் 1வ(cid:8080) வகுப்(cid:8087) மக்கள் வங்கி _
இல. 501/2, இல. 12296 -
நானயக்கார மாவத்ைத, 2017.01.03
கு(cid:8094)ந்(cid:8080)கஹ. எ(cid:8084)ம்
அடகிற்கு
உட்பட்ட(cid:8080).
1 : 146 0.0345 ேபாத்திெவல ேஹவாேக காயத்ாீ 906381354V (cid:8089)(cid:8104)வ(cid:8080)ம் 1வ(cid:8080) வகுப்(cid:8087) _
சுலக்ஷ னா
தலாவ பாைத, எல்பி(cid:8074)ய.
1 : 147 0.0339 ேபாத்திெவல ேஹவாேக சஹன் 921180020V (cid:8089)(cid:8104)வ(cid:8080)ம் 1வ(cid:8080) வகுப்(cid:8087) _ _
சந்த(cid:8094)வன்
தலாவ பாைத, எல்பி(cid:8074)ய.
1 : 148 0.0435 ேதான ரம்யா கு(cid:8089)(cid:8080)னீ த வாஸ் 648161182V (cid:8089)(cid:8104)வ(cid:8080)ம் 1வ(cid:8080) வகுப்(cid:8087) _
குணேசகர
தலாவ பாைத, எல்பி(cid:8074)ய.
1 : 167 0.0910 ேதான ரம்யா கு(cid:8089)(cid:8080)னீ த வாஸ் 648161182V (cid:8089)(cid:8104)வ(cid:8080)ம் 1வ(cid:8080) வகுப்(cid:8087) _ _
குணேசகர
தலாவ பாைத, எல்பி(cid:8074)ய.
EOG 02 - 0145
இலங்ைக அரசாங்க அச்சுத் திைணக்களத்தில் பதிப்பிக்கப்ெபற்ற(cid:8080).</t>
  </si>
  <si>
    <t>58adead6-d6ee-42a1-b43d-94f3ebd39370</t>
  </si>
  <si>
    <t>2476_17</t>
  </si>
  <si>
    <t>2476/17</t>
  </si>
  <si>
    <t>Title Registration Act, No. 21 of 1998, Section 14 — Commissioner of Title Settlement decision (Gazette 2476/17)</t>
  </si>
  <si>
    <t>m1/raw/2476_17.pdf</t>
  </si>
  <si>
    <t>ශ්‍රී ලංකා ප්‍රජාාාා්ත්‍රික සමාජාවාදී ජානරජායේ ගැසට් පත්‍රය
අති විශෙෂ
අංක 2476/17 - 2026 ශෙබරවාරි මස 18 වැනි බදාදා - 2026.02.18
(රජායේ බලයපිට ප්‍රසිද්ධ කරන ලදී)
III වැනි ශකොටස - ඉඩම්
හිමිකම් ලියාෙදංචි කිරීම
1998 අංක 21 දරන හිමිකම් ලියාෙදංචි කිරීශම් ෙනත
14 වැනි වග්තතිය යටයේ හිමිකම් නිරවුල් කිරීයම් යකොමසාරිස්යේ තීරණ ප්‍රකායය
වයඹ පළායේ කුරුණෑගල දිස්්‍රික්කයකයේ ප්තනල ප්‍රාය්ධය ය යල්කම් යකොට්සාසයේ කංක 18 - ඉහළ මාකඳුර ග්‍රාම නිල ාරි යකොට්සාසය ළ ළ ඉහළ
මාකඳුර නමැති ගයම් පිහිටියා වූ ද, කංක 420801 දරන කැඩැස්ාර සිදතියයම් කලාප කංක 06 හි කැබලි කංක 1 : 99 දරන ඉඩම් යකොටස් යලස
යප්තනුම් යකොට ඇේාා වූ ද, හිමිකම් පෑම් ඉදිරිපේ කරන යලස දැනුම් යදමි්ත 199 කංක 21 දරන හිමිකම් ලියාපදිංචි කිරීයම් පනයේ 88 වැනි
වග්තතිය ප්‍රකාර 201 006006 වැනි දින කංක 2044119 දරන ගැසට් පත්‍රයේ යථා පරිදි පළකරන ලද දැ්තවීයම් සඳහ්ත යකොට ඇේාා වූ ද, ඉඩම්
යකොටස්වල කයිතිය සම්බ්ත යය්ත යමහි උපයල්ඛනයේ දැක්කයයවන මායේ තීරණ 199 කංක 21 දරන හිමිකම් ලියාපදිංචි කිරීයම් පනයේ 14 වැනි
වග්තතියය්ත පහා කේස්ත කරන මා යවා පවරා ඇති බලාල ප්‍රකාර, මම යමයි්ත ප්‍රකාය කරමි0
පී. සී. ඩී. සිශේරා,
ඉඩම් හිමිකම් නිරවුල් කිරීයම් යකොමසාරිස් ජානරාල්0
2028 යදසැම්බර් මස 18 වැනි දින,
බේාරමුල්ල,
රජාමල්වේා පාර,
"මිහිකා මැදුර", කංක 120016,
ඉඩම් හිමිකම් නිරවුල් කිරීයම් යදපාර්ායම්්තළ යේ දී ය0
1A - G 046315 - 03 (2026/02)
සැ0යු0- යමම කති වියයෂ ගැසට් පත්‍රය www.documents.gov.lk යවබ් කඩවියය්ත බාගා කළ හැක0
2 A III ශකොටස - ශ්‍රී කංකා ‍රජාාතා්ත්‍රික සමාජාවා ජ ජානරජාශඅ අති විශෙෂ සැස ප ෙ‍රය - 2026.02.18
උෙශේඛනය
පත්‍ර කංකය විනිය්චය්ත සහ යම් වියයේෂ යහෝ
සහ ඉ්තයජා්තෂ්ත ාහනම් යපෞ්ධගලික
ඉඩම් වියාලේවය කයිතිකරුයේ1කයිතිකරුව්තයේ ජාාතික කයිති කයිතියේ කයේක්කයෂායව්ත ඇති නීතියකට යටේ
යකොටයස ේ සම්පූර්ණ නම1නම් සහ ලිපිනය හැඳුනුම්පේ ඉඩයම් ප්තතිය සහ උකස් සහ බැඳීම් නම් ඒ පිළිබඳ
කංකය කංකය ප්‍රමාණය ස්වභාවය පිළිබඳ විස්ාර විස්ාර
(යහක්කයටයාර්)
1 : 99 000140 දිසානායක මුදිය්තයසේලායේ බිමල්කා 04 91389V සම්පූර්ණ ප්‍රථම ප්තතිය – –
සාරංගානි දිසානායක
කංක 102, හුලංගමුව පාර, මාායල්0
EOG 02 - 0146/1
1998 අංක 21 දරන හිමිකම් ලියාෙදංචි කිරීශම් ෙනත
14 වැනි වග්තතිය යටයේ හිමිකම් නිරවුල් කිරීයම් යකොමසාරිස්යේ තීරණ ප්‍රකායය
වයඹ පළායේ කුරුණෑගල දිස්්‍රික්කයකයේ ප්තනල ප්‍රාය්ධය ය යල්කම් යකොට්සාසයේ කංක 1604 - සඳලංකාව ග්‍රාම නිල ාරි යකොට්සාසය ළ ළ
සඳලංකාව නමැති ගයම් පිහිටියා වූ ද, කංක 420808 දරන කැඩැස්ාර සිදතියයම් කලාප කංක 01 හි කැබලි කංක 20 : 02, 20 : 03, සහ 20 : 04 දරන
ඉඩම් යකොටස් යලස යප්තනුම් යකොට ඇේාා වූ ද, හිමිකම් පෑම් ඉදිරිපේ කරන යලස දැනුම් යදමි්ත 199 කංක 21 දරන හිමිකම් ලියාපදිංචි කිරීයම්
පනයේ 88 වැනි වග්තතිය ප්‍රකාර 2024011026 වැනි දින කංක 2412116 දරන ගැසට් පත්‍රයේ යථා පරිදි පළකරන ලද දැ්තවීයම් සඳහ්ත යකොට ඇේාා
වූ ද, ඉඩම් යකොටස්වල කයිතිය සම්බ්ත යය්ත යමහි උපයල්ඛනයේ දැක්කයයවන මායේ තීරණ 199 කංක 21 දරන හිමිකම් ලියාපදිංචි කිරීයම් පනයේ
14 වැනි වග්තතියය්ත පහා කේස්ත කරන මා යවා පවරා ඇති බලාල ප්‍රකාර, මම යමයි්ත ප්‍රකාය කරමි0
පී. සී. ඩී. සිශේරා,
ඉඩම් හිමිකම් නිරවුල් කිරීයම් යකොමසාරිස් ජානරාල්0
2028 යදසැම්බර් මස 18 වැනි දින,
බේාරමුල්ල,
රජාමල්වේා පාර,
"මිහිකා මැදුර", කංක 120016,
ඉඩම් හිමිකම් නිරවුල් කිරීයම් යදපාර්ායම්්තළ යේ දී ය0
උෙශේඛනය
පත්‍ර කංකය විනිය්චය්ත සහ යම් වියයේෂ යහෝ
සහ ඉ්තයජා්තෂ්ත ාහනම් යපෞ්ධගලික
ඉඩම් වියාලේවය කයිතිකරුයේ1කයිතිකරුව්තයේ ජාාතික කයිති කයිතියේ කයේක්කයෂායව්ත ඇති නීතියකට යටේ
යකොටයස ේ සම්පූර්ණ නම1නම් සහ ලිපිනය හැඳුනුම්පේ ඉඩයම් ප්තතිය සහ උකස් සහ බැඳීම් නම් ඒ පිළිබඳ
කංකය කංකය ප්‍රමාණය ස්වභාවය පිළිබඳ විස්ාර විස්ාර
(යහක්කයටයාර්)
20 : 02 001314 ර්තපටි ය්ධවයේ චමි්තද ලක්කයමාල් 004 0 61V සම්පූර්ණ ප්‍රථම ප්තතිය කැබලි කංක 1 : 181හි –
ලංසිදයගොඩැල්ල, සඳලංකාව0 මාර්ග කයිතිය සමඟ
20 : 03 001314 ර්තපටි ය්ධවයේ චාමර මධුසංක ලක්කයමාල් 82488016V සම්පූර්ණ ප්‍රථම ප්තතිය කැබලි කංක 1 : 181හි –
ලංසිදයගොඩැල්ල, සඳලංකාව0 මාර්ග කයිතිය සමඟ
20 : 04 001314 ර්තපටි ය්ධවයේ නිෂාදිනී යේජාා ලක්කයමාලි 341 3486V සම්පූර්ණ ප්‍රථම ප්තතිය කැබලි කංක 1 : 181හි –
ලංසිදයගොඩැල්ල, සඳලංකාව0 මාර්ග කයිතිය සමඟ
EOG 02 - 0146/2
ශ්‍රී ලංකා රජායේ මු‍රණ යදපාර්ායම්්තළ යේ මු‍රණය කරන ලදී0</t>
  </si>
  <si>
    <t>aca6d3f9-840b-4b5c-b225-c7572fe8bf6c</t>
  </si>
  <si>
    <t>2476_18</t>
  </si>
  <si>
    <t>2476/18</t>
  </si>
  <si>
    <t>Ministry of Education — Sri Lanka Teachers Service competitive examination notice (Gazette 2476/18)</t>
  </si>
  <si>
    <t>m1/raw/2476_18.pdf</t>
  </si>
  <si>
    <t>2ac8a593-cefb-44a8-8e81-d4bdf4f97de9</t>
  </si>
  <si>
    <t>2476_19</t>
  </si>
  <si>
    <t>2476/19</t>
  </si>
  <si>
    <t>Provincial Councils Act, No. 42 of 1987 — Appointment under Section 32(1) (Gazette 2476/19)</t>
  </si>
  <si>
    <t>m1/raw/2476_19.pdf</t>
  </si>
  <si>
    <t>ශ්‍රී ලංකා ප්‍රාජාතාන්ත්‍රික සමාජවාාදී ජනරජපෙ� ගැසට් ෙත්‍රය
අංති විපෙ�ෂ
අංංක 2476/19 - 2026 පෙෙබරවාාරි මස 18 වාැනි බදාාදාා - 2026.02.18
(රජපෙ� බලයපිට ප්‍රාසිේධ කරන ලදී)
IV (ආ) වාැනි පෙකාටස - ෙළාාත් ොලනය
ෙළාාත් ොලන ආයතන ඡන්දා විමසීම් ආඥාාෙනත යටපෙත් දාැන්වීම්
(262 වාන අංධිකාරය) ෙළාාත් ොලන ආයතන ඡන්දා විමසීම් ආඥාාෙනපෙත් 66අං(1) වාගන්තිය යටපෙත්
අංකුරණ ප්‍රාාපෙේශීය සභාාපෙේ
සභික ධූරපෙ� පුරප්ොඩුවාක් පිරවීම
මිය යාම යේ�තුේ යේකාාට යේ�න අකුරණ ප්‍රාායේේශීය සභාායේේ යේ තාරේ ා එවාා ඇති සභිකායේයකුයේ� ධූරයක් පුරප්පාාඩු වී ඇති යේ�යින් ෙ;
ඉ�ත කී ආඥාාපානයේ� 66අ (1) වා�න්තිය යටයේ� අකුරණ ප්‍රාායේේශීය සභාාවා සඳ�ා යේතාරේ ා එවාා ඇති සභිකායේයකු යේලංස පා� වූ
පා�ලං වාලංේයේේ අබ්දූල් අසීසේ �ජ්ජු යේමාහිදින් අය� වාන්නා වූ එක්ස� ජාතිකා සන්ධාානය න�වාන පිළි�� යේේශපාාලංන පාක්ෂයේ� යේල්කා�ට
දින ති� (30) කා කාාලං පාරිච්යේේෙය ඇතුළත පාළා� පාාලංන ආයතන ඡන්ෙ විමසී� ආඥාාපානයේ� (262 වාන අධිකාාරය) 9 වා�න්තිය යටයේ�
නුසුදුසේයේසකු වී යේනාමැති අයේප්ක්ෂකායේයකු, සහිකායේයකු වාශයේයන් යේතාේරා පා�කාර �නු ලංැබිය යුතුයැයි ප්‍රාකාාශ කාරනු ලංැබිය යුතු වූ ෙ,
එම පාක්ෂයට අය� වාන්නා වූ ෙ, එම අකුරණ ප්‍රාායේේශීය සභාාවා සඳ�ා යේතාරේ ා එවිය යුතු සභිකායා පිළිබඳවා තීරණය කිරීමට මා විසින් නියම
කාරනු ලංැබ ඇති යේ�යින් ෙ;
ඉ�ත කී පිළි�� යේේශපාාලංන පාක්ෂයේ� යේල්කා� විසින් එම පුරප්පාාඩුවා පිරවීම සඳ�ා යේමා��ඩ් සලී� යේමා��ඩ් �සේවාර් න�
කිරීයේ � සේවාකීය තීරණය ෙන්වානු ලංැබ ඇති යේ�යින් ෙ;
අකුරණ ප්‍රාායේේශීය සභාායේේ යේ�රී�භාාර නිලංධාාරි යේ�ේවායේ� ධානුෂේකා නලීන් ස�පා� ප්‍රානාන්දු, වාන මම, පාළා� පාාලංන ආයතන
ඡන්ෙ විමසී� ආඥාාපානයේ� (262 වාන අධිකාාරය) 66අ(1) වා�න්තිය ප්‍රාකාාරවා ක්‍රියා කාරමින් යේමා��ඩ් සලී� යේමා��ඩ් �සේවාර්, අකුරණ
ප්‍රාායේේශීය සභාායේේ යේතාරේ ා එවාා ඇති සභිකායේයකු යේලංස යේමයින් ප්‍රාකාාශ කාරමි.
එච්. ඩී. එන්. එස්. ප්‍රානාන්දු,
යේ�රී�භාාර නිලංධාාරි,
අකුරණ ප්‍රාායේේශීය සභාාවා.
2026 යේපාබරවාාරි මස 18 වාැනි දින,
දිසේත්‍රික් මැතිවාරණ කාාර්යාලංය,
ම�නුවාර.
EOG 02 - 0149
1A - PG 7529 — 08 (2026/02) ශ්‍රී ලංංකාා රජයේ� මුද්‍රණ යේෙපාාර්තයේ�න්තුයේේ මුද්‍රණය කාරන ලංදී.
fuu w;s úfYI .eiÜ m;%h www.documents.gov.lk fjí wvúfhka nd.; l&lt; yel'</t>
  </si>
  <si>
    <t>d826937f-42f5-46f6-a72d-6ab5eb1ca16a</t>
  </si>
  <si>
    <t>2476_20</t>
  </si>
  <si>
    <t>2476/20</t>
  </si>
  <si>
    <t>Provincial Councils Act, No. 42 of 1987 — Appointment under Section 32(1) (Gazette 2476/20)</t>
  </si>
  <si>
    <t>m1/raw/2476_20.pdf</t>
  </si>
  <si>
    <t>Y%S ,xld m%cd;dka;%sl iudcjd§ ckrcfha .eiÜ m;%h
w;s úfYI
,yq;ifr; rdehaf Nrhryprf; FbauR th;j;jkhdg; gj;jphpif
mjp tpNr\khdJ
wxl 2476$20 - 2026 fmnrjdß ui 18 jeks nodod - 2026'02'18
2476/ 20 Mk; ,yf;fk; - 2026 Mk; Mz;L ngg;GUtup khjk; 18 Me; jpfjp Gjd;fpoik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அஅத்த்திதிிியாயாாாயாயாமாமாாானன)) உஉள்ள்ளூளூர்ர் அஅதிதிிிகாகாாாரர சசபைபைைைகாகாள்ள் தேதேதிதிர்ர்திதில்ல்காகாள்ள் காகாட்ட்டடபைபைைைச்ச் சசட்ட்டடத்த்திதிிின்ன் 6666அஅ((11)) ஆஆம்ம்
ைைிிாாிிவிவிிின்ன் காகாீீழ்ழ் கககாகாாாட்ட்டடககைைாாலல ைைிிரரதேதேதிதிசச சசபைபைைையாயாிின்ன் உஉறுறுப்ப்ைைிினனர்ர் ஒஒருருவிவிாாிின்ன் ைைதிதிவிவிிியாயாிிலலாானன ககவிவிற்ற்றிறிிிடடத்த்பைபைதிதி நிநிிிரரப்ப்புபுதிதில்ல்
கககாகாாாட்ட்டடககைைாாலல ைைிிரரதேதேதிதிசச சசபைபைைைக்க்குகு ககதிதிாாிிந்ந்ககதிதிடுடுத்த்துது அஅனுனுப்ப்ைைப்ப்ைைட்ட்டட உஉறுறுப்ப்ைைிினனர்ர் ஒஒருருவிவிாாிின்ன் ைைதிதிவிவிிி அஅனுனுமாமாதிதிிியாயாிின்ன்றிறிிி மூமூன்ன்றுறு சசபைபைைைக்க்
கூகூட்ட்டடங்ங்காகாளுளுக்க்குகு சசமுமுகாகாமாமாைைிிக்க்காகாாாபைபைமாமா காகாாாரரணணமாமாாாகாகா ககவிவிற்ற்றிறிிிடடமாமாாாகாகாிியாயாிிருருக்க்காகாிின்ன்றிறிதிதிாாதிதிலலாாலுலும்ம்;;
தேதேமாமாற்ற்குகுறிறிிித்த்திதி காகாட்ட்டடபைபைைைச்ச் சசட்ட்டடத்த்திதிிின்ன் 6666அஅ((11)) ஆஆம்ம் ைைிிாாிிவிவிிின்ன் காகாீீழ்ழ்,, கககாகாாாட்ட்டடககைைாாலல ைைிிரரதேதேதிதிசச சசபைபைைைக்க்குகு ககதிதிாாிிந்ந்ககதிதிடுடுத்த்துது
அஅனுனுப்ப்ைைப்ப்ைைட்ட்டுடுள்ள்ைை உஉறுறுப்ப்ைைிினனரராாகாகா ககதிதிாாிிவுவு ககசசய்ய்யாயாப்ப்ைைட்ட்டட திதிிிருரு.. ரராாதேதே��ந்ந்திதிிிரரன்ன் சசஷிஷிிி எஎன்ன்ைைவிவிர்ர் அஅங்ங்காகாம்ம் விவிகாகாிிக்க்காகாிின்ன்றிறி ஐஐக்க்காகாிியாயா குகுடிடியாயாரரசுசு
முமுன்ன்னனணணிி எஎன்ன்றிறி அஅங்ங்காகாீீகாகாாாிிக்க்காகாப்ப்ைைட்ட்டட அஅரரசசிியாயால்ல் காகாட்ட்சசிியாயாிின்ன் ககசசயாயாலலாாைைர்ர் முமுப்ப்ைைதுது ((3300)) நிநிாாட்ட் காகாாாலலக்க்கககாகாடுடுவுவுக்க்குகுள்ள்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தேதேவிவிட்ட்ைைாாைைககரராாருருவிவிரராாகாகா,,
உஉறுறுப்ப்ைைிினனககரராாருருவிவிரராாகாகா தேதேதிதிர்ர்ந்ந்ககதிதிடுடுக்க்காகாப்ப்ைைட்ட்டடவிவிககரரனன ககவிவிைைிிப்ப்ைைடுடுத்த்திதிப்ப்ைைடட தேதேவிவிண்ண்டிடியாயாவிவிருரும்ம் அஅக்க்காகாட்ட்சசிிபைபையாயாச்ச் தேதேசசர்ர்ந்ந்திதிவிவிருருமாமாாானன
கககாகாாாட்ட்டடககைைாாலல ைைிிரரதேதேதிதிசச சசபைபைைைக்க்குகு ககதிதிாாிிந்ந்ககதிதிடுடுத்த்துது அஅனுனுப்ப்ைைப்ப்ைைட்ட்டுடுள்ள்ைை உஉறுறுப்ப்ைைிினனர்ர் ககதிதிாாடடர்ர்ைைாாகாகா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அஅரரசசிியாயால்ல் காகாட்ட்சசிியாயாிின்ன் ககசசயாயாலலாாைைாாிினனாால்ல் அஅவ்வ்ககவிவிற்ற்றிறிிிடடத்த்பைபைதிதி நிநிிிரரப்ப்புபுவிவிதிதிற்ற்காகாாாகாகா திதிிிருருமாமாதிதிிி
காகாாாலிலிமுமுத்த்துது நிநிிிதேதேரராா��னனிி எஎன்ன்ைைவிவிபைபைரரப்ப் ககைையாயார்ர் குகுறிறிிித்த்துது நிநிிியாயாமாமாிிக்க்குகும்ம் திதிமாமாதுது முமுடிடிவிவிிிபைபைனன அஅறிறிிிவிவிிித்த்துதுள்ள்ைைாாரராாதிதிலலாாலுலும்ம் ;;
கககாகாாாட்ட்டடககைைாாலல ைைிிரரதேதேதிதிசச சசபைபைைையாயாிின்ன் ககதிதிாாிிவிவித்த்திதிாாட்ட்சசிி அஅலுலுவிவிலலரராானன புபுலலஸ்ஸ்திதிிி தேதேசசரரசசிிங்ங்ஹஹ ைைதிதிிிரரணண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ககசசயாயாற்ற்ைைட்ட்டுடு
காகாாாலிலிமுமுத்த்துது நிநிிிதேதேரராா��னனிிஎஎன்ன்ைைவிவிர்ர் கககாகாாாட்ட்டடககைைாாலல ைைிிரரதேதேதிதிசச சசபைபைைைக்க்குகு ககதிதிாாிிந்ந்ககதிதிடுடுத்த்துது அஅனுனுப்ப்ைைப்ப்ைைட்ட்டுடுள்ள்ைை உஉறுறுப்ப்ைைிினனர்ர் ஒஒருருவிவிரராாகாகாத்த்
தேதேதிதிர்ர்ந்ந்ககதிதிடுடுக்க்காகாப்ப்ைைட்ட்டுடுள்ள்ைைதிதிாாகாகா இஇத்த்திதிாால்ல் ககவிவிைைிிப்ப்ைைடுடுத்த்துதுகாகாிின்ன்தேதேறிறின்ன்..
பீபீ.. எஎஸ்ஸ்.. ைைதிதிிிரரணண,,
ககதிதிாாிிவிவித்த்திதிாாட்ட்சசிி அஅலுலுவிவிலலர்ர்,,
கககாகாாாட்ட்டடககைைாாலல ைைிிரரதேதேதிதிசச சசபைபைைை..
மாமாாாவிவிட்ட்டடத்த் தேதேதிதிர்ர்திதில்ல்காகாள்ள் அஅலுலுவிவிலலகாகாம்ம்,,
மாமாாாத்த்திதிபைபைறிறி,,
22002266,, ககைைப்ப்புபுருருவிவிாாிி� � 1188..
EEOOGG 0022 -- 00115500
1A - PG 7530 — 09 (2026/02) ,yq;if murhq;f mr;Rj; jpizf;fsj;jpw; gjpg;gpf;fg;ngw;wJ.
,t; mjptpNrl tu;j;jkhdpia www.documents.gov.lk vDk; ,izaj;jsj;jpypUe;J gjptpwf;fk; nra;a KbAk;.</t>
  </si>
  <si>
    <t>320d2b17-57be-4f38-a973-cea729cfc02d</t>
  </si>
  <si>
    <t>2476_21</t>
  </si>
  <si>
    <t>2476/21</t>
  </si>
  <si>
    <t>Local Authorities Elections Ordinance (Chapter 262), Section 66A(1)(A) - Filling vacancy in Theraniyagama Pradeshiya Sabha caused by resignation of elected member</t>
  </si>
  <si>
    <t>පළාත් පාලන ආයතන ඡන්ද විමසීම් ආඥාපනත (262 අධිකාරය), 66අ(1)(අ) වගන්තිය - තේරියනියගම ප්‍රාදේශීය සභාවේ තේරී පත්වූ සභිකයකුගේ ඉල්ලා අස්වීම නිසා ඇතිවූ පුරප්පාඩුව පිරවීම</t>
  </si>
  <si>
    <t>உள்ளூராட்சி அதிகார சபைகள் தேர்தல்கள் கட்டளைச் சட்டம் (262 ஆம் அத்தியாயம்), 66அ(1)(அ) ஆம் பிரிவின் கீழ் - தெராணியகம பிரதேச சபை உறுப்பினர் ஒருவரின் பதவி இறப்பு / விலகலினால் ஏற்பட்ட வெற்றிடத்தை நிரப்புதல்</t>
  </si>
  <si>
    <t>Notice under Section 66A(1)(A) of the Local Authorities Elections Ordinance regarding the filling of a vacancy in the Theraniyagama Pradeshiya Sabha caused by the resignation/death of an elected member nominated by the political party. Process per Section 12 - the relevant party Secretary must nominate a replacement within prescribed period. Issued by the Election Commission, 18 February 2026.</t>
  </si>
  <si>
    <t>m1/raw/2476_21.pdf</t>
  </si>
  <si>
    <t>Y%S ,xld m%cd;dka;%sl iudcjd§ ckrcfha .eiÜ m;%h
w;s úfYI
,yq;ifr; rdehaf Nrhryprf; FbauR th;j;jkhdg; gj;jphpif
mjp tpNr\khdJ
wxl 2476$21 - 2026 fmnrjdß ui 18 jeks nodod - 2026'02'18
2476/ 21 Mk; ,yf;fk; - 2026 Mk; Mz;L ngg;GUtup khjk; 18 Me; jpfjp Gjd;fpoik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6666அஅ((11))((அஅ)) எஎன்ன்னுனும்ம்
ைைிிாாிிவிவிிின்ன் காகாீீழ்ழ் தெதெதிதிரரணிணிிியாயாகாகாபைபைைை ைைிிரரதேதேதிதிசச சசபைபைைை உஉறுறுப்ப்ைைிினனர்ர் ஒஒருருவிவிாாிின்ன் ைைதிதிவிவிிியாயாிிைைாானன தெதெவிவிற்ற்றிறிிிடடத்த்பைபைதிதி நிநிிிரரப்ப்புபுதிதில்ல்
தெதெதிதிரரணிணிிியாயாகாகாபைபைைை ைைிிரரதேதேதிதிசச சசபைபைைையாயாிின்ன் தெதெதிதிாாிிந்ந்தெதெதிதிடுடுத்த்துது அஅனுனுப்ப்ைைப்ப்ைைட்ட்டட உஉறுறுப்ப்ைைிினனர்ர் ஒஒருருவிவிாாிின்ன் ைைதிதிவிவிிி இஇறிறிப்ப்தெதெைைய்ய்திதிிியாயாபைபைைை காகாாாரரணிணிைைாாகாகா
தெதெவிவிற்ற்றிறிிிடடைைாாகாகாிியாயாிிருருக்க்காகாிின்ன்றிறிதிதிாாதிதிைைாாலுலும்ம்;;
தேதேைைற்ற்குகுறிறிிித்த்திதி காகாட்ட்டடபைபைைைச்ச் சசட்ட்டடத்த்திதிிின்ன் 6666அஅ((11))((அஅ)) ஆஆம்ம் ைைிிாாிிவிவிிின்ன் காகாீீழ்ழ்,, தெதெதிதிரரணிணிிியாயாகாகாபைபைைை ைைிிரரதேதேதிதிசச சசபைபைைையாயாிின்ன் இஇைைக்க்காகாம்ம் 1122
திதிிிக்க்எஎல்ல்ைைகாகாந்ந்திதி விவிட்ட்டடாாரரத்த்திதிிிற்ற்குகு தெதெதிதிாாிிவுவு தெதெசசய்ய்யாயாப்ப்ைைட்ட்டட விவிிிதிதிாானன குகுருருப்ப்புபு ஆஆரரச்ச்சசிிைைாாதேதேகாகா ரரங்ங்ஜிஜிிித்த் குகுருருப்ப்புபு எஎன்ன்ைைவிவிர்ர் அஅங்ங்காகாம்ம் விவிகாகாிிக்க்காகாிின்ன்றிறி
ஐஐக்க்காகாிியாயா ைைக்க்காகாள்ள் சசக்க்திதிிி எஎன்ன்றிறி அஅங்ங்காகாீீகாகாாாிிக்க்காகாப்ப்ைைட்ட்டட அஅரரசசிியாயால்ல் காகாட்ட்சசிியாயாிின்ன் தெதெசசயாயாைைாாைைர்ர் முமுப்ப்ைைதுது ((3300)) நிநிாாட்ட் காகாாாைைக்க்தெதெகாகாடுடுவுவுக்க்குகுள்ள்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திதிபைபைகாகாபைபைைையுயுபைபைடடயாயா
தேதேவிவிட்ட்ைைாாைைதெதெரராாருருவிவிரராாகாகா,, உஉறுறுப்ப்ைைிினனதெதெரராாருருவிவிரராாகாகா தேதேதிதிர்ர்ந்ந்தெதெதிதிடுடுக்க்காகாப்ப்ைைட்ட்டடவிவிதெதெரரனன தெதெவிவிைைிிப்ப்ைைடுடுத்த்திதிப்ப்ைைடட தேதேவிவிண்ண்டிடியாயாவிவிருரும்ம் அஅக்க்காகாட்ட்சசிிபைபையாயாச்ச்
தேதேசசர்ர்ந்ந்திதிவிவிருருைைாானன தெதெ திதிரரணிணிிியாயாகாகாபைபைைை ைைிிரரதேதேதிதிசச சசபைபைைை இஇைைக்க்காகாம்ம் 1122 திதிிிக்க்எஎல்ல்ைைகாகாந்ந்திதி விவிட்ட்டடாாரரத்த்திதிிின்ன் உஉறுறுப்ப்ைைிினனர்ர் தெதெதிதிாாடடர்ர்ைைாாகாகா திதிீீர்ர்ைைாானனிிக்க்குகுைைாாறுறு
எஎன்ன்னனாால்ல் ைைணிணிிிக்க்காகாப்ப்ைைட்ட்டுடுள்ள்ைைாாரராாதிதிைைாாலுலும்ம் ;;
தேதேைைதேதேைை கூகூறிறிப்ப்ைைட்ட்டட அஅங்ங்காகாீீகாகாாாிிக்க்காகாப்ப்ைைட்ட்டட அஅரரசசிியாயால்ல் காகாட்ட்சசிியாயாிின்ன் தெதெசசயாயாைைாாைைாாிினனாால்ல் அஅவ்வ்தெதெவிவிற்ற்றிறிிிடடத்த்பைபைதிதி நிநிிிரரப்ப்புபுவிவிதிதிற்ற்காகாாாகாகா ரராாைைன்ன்
விவிிிக்க்தேதேனனஸ்ஸ்விவிரரரராாஜிஜிாா எஎன்ன்ைைவிவிபைபைரரப்ப் தெதெைையாயார்ர் குகுறிறிிித்த்துது நிநிிியாயாைைிிக்க்குகும்ம் திதிைைதுது முமுடிடிவிவிிிபைபைனன அஅறிறிிிவிவிிித்த்துதுள்ள்ைைாாரராாதிதிைைாாலுலும்ம் ;;
தெதெ திதிரரணிணிிியாயாகாகாபைபைைை ைைிிரரதேதேதிதிசச சசபைபைைையாயாிின்ன் தெதெதிதிாாிிவிவித்த்திதிாாட்ட்சசிி அஅலுலுவிவிைைரராானன காகாருருணிணிாாதிதிிிைைகாகா ரராாைைஹாஹாாாைைிிைைாாதேதேகாகா விவிசுசுந்ந்திதிரராா எஎரரந்ந்திதிிி திதிிிசசாாநிநிாாயாயாக்க்காகா
ஆஆகாகாிியாயா நிநிாான்ன்,, உஉள்ள்ளூளூர்ர் அஅதிதிிிகாகாாாரர சசபைபைைைகாகாள்ள் தேதேதிதிர்ர்திதில்ல்காகாள்ள் காகாட்ட்டடபைபைைைச்ச் சசட்ட்டடத்த்திதிிின்ன் ((226622 ஆஆம்ம் அஅத்த்திதிிியாயாாாயாயாைைாானன)) 6666அஅ((11))((அஅ)) எஎன்ன்னுனும்ம்
ைைிிாாிிவிவிிின்ன் நிநிிியாயாதிதிிிகாகாைைிின்ன்ைைடிடி தெதெசசயாயாற்ற்ைைட்ட்டுடு ரராாைைன்ன் விவிிிக்க்தேதேனனஸ்ஸ்விவிரரரராாஜிஜிாா எஎன்ன்ைைவிவிர்ர் தெதெ திதிரரணிணிிியாயாகாகாபைபைைை ைைிிரரதேதேதிதிசச சசபைபைைை இஇைைக்க்காகாம்ம் 1122 திதிிிக்க்எஎல்ல்ைைகாகாந்ந்திதி
விவிட்ட்டடாாரரத்த்திதிிின்ன் உஉறுறுப்ப்ைைிினனர்ர் ஒஒருருவிவிரராாகாகாத்த் தேதேதிதிர்ர்ந்ந்தெதெதிதிடுடுக்க்காகாப்ப்ைைட்ட்டுடுள்ள்ைைதிதிாாகாகா இஇத்த்திதிாால்ல் தெதெவிவிைைிிப்ப்ைைடுடுத்த்துதுகாகாிின்ன்தேதேறிறின்ன்..
தேதேகாகா.. ஆஆர்ர்.. விவிசுசுந்ந்திதிரராா இஇ.. திதிிிசசாாநிநிாாயாயாக்க்காகா,,
தெதெதிதிாாிிவிவித்த்திதிாாட்ட்சசிி அஅலுலுவிவிைைர்ர் ,,
தெதெதிதிரரணிணிிியாயாகாகாபைபைைை ைைிிரரதேதேதிதிசச சசபைபைைை..
ைைாாவிவிட்ட்டடத்த் தேதேதிதிர்ர்திதில்ல்காகாள்ள் அஅலுலுவிவிைைகாகாம்ம்,,
தேதேகாகாகாகாாாபைபைைை,,
22002266,, தெதெைைப்ப்புபுருருவிவிாாிி 1188 ஆஆம்ம் திதிிிகாகாதிதிிி..
EEOOGG 0022 -- 00115511
1A - PG 7531 — 09 (2026/02) ,yq;if murhq;f mr;Rj; jpizf;fsj;jpw; gjpg;gpf;fg;ngw;wJ.
,t; mjptpNrl tu;j;jkhdpia www.documents.gov.lk vDk; ,izaj;jsj;jpypUe;J gjptpwf;fk; nra;a KbAk;.</t>
  </si>
  <si>
    <t>21971e94-9a46-4dda-921a-ce3b61827993</t>
  </si>
  <si>
    <t>2476_22</t>
  </si>
  <si>
    <t>2476/22</t>
  </si>
  <si>
    <t>Provincial Councils Act, No. 42 of 1987 — Appointment under Section 32(1) (Gazette 2476/22)</t>
  </si>
  <si>
    <t>m1/raw/2476_22.pdf</t>
  </si>
  <si>
    <t>Y%S ,xld m%cd;dka;%sl iudcjd§ ckrcfha .eiÜ m;%h
w;s úfYI
,yq;ifr; rdehaf Nrhryprf; FbauR th;j;jkhdg; gj;jphpif
mjp tpNr\khdJ
wxl 2476$22 - 2026 fmnrjdß ui 18 jeks nodod - 2026'02'18
2476/ 22 Mk; ,yf;fk; - 2026 Mk; Mz;L ngg;GUtup khjk; 18 Me; jpfjp Gjd;fpoik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 ஆஆம்ம்
ைைிிாாிிவிவிிின்ன் காகாீீழ்ழ் விவிறிறிக்க்காகாாாப்ப்பபைைாாலல ைைிிரரதேதேதிதிசச சசபைபைைையாயாிின்ன் உஉறுறுப்ப்ைைிினனர்ர் ஒஒருருவிவிாாிின்ன் ைைதிதிவிவிிியாயாிிலலாானன பபவிவிற்ற்றிறிிிடடத்த்பைபைதிதி நிநிிிரரப்ப்புபுதிதில்ல்
விவிறிறிக்க்காகாாாப்ப்பபைைாாலல ைைிிரரதேதேதிதிசச சசபைபைைையாயாிின்ன் பபதிதிாாிிந்ந்பபதிதிடுடுத்த்துது அஅனுனுப்ப்ைைப்ப்ைைட்ட்டட உஉறுறுப்ப்ைைிினனர்ர் ஒஒருருவிவிாாிின்ன் ைைதிதிவிவிிி தேதேகாகாட்ட்டுடு விவிிிலலகாகாிியாயாபைபைைை காகாாாரரணணைைாாகாகா
பபவிவிற்ற்றிறிிிடடைைாாயாயாிிருருக்க்காகாிின்ன்றிறிதிதிாாதிதிலலாாலுலும்ம்;;
தேதேைைற்ற்குகுறிறிிித்த்திதி காகாட்ட்டடபைபைைைச்ச் சசட்ட்டடத்த்திதிிின்ன் 6666அஅ((11)) ஆஆம்ம் ைைிிாாிிவிவிிின்ன் காகாீீழ்ழ்,, விவிறிறிக்க்காகாாாப்ப்பபைைாாலல ைைிிரரதேதேதிதிசச சசபைபைைையாயாிின்ன் பபதிதிாாிிந்ந்பபதிதிடுடுத்த்துது
அஅனுனுப்ப்ைைப்ப்ைைட்ட்டுடுள்ள்ைை உஉறுறுப்ப்ைைிினனரராாகாகா பபதிதிாாிிவுவு பபசசய்ய்யாயாப்ப்ைைட்ட்டட ைைாாலலசூசூாாிியாயா ஆஆரரச்ச்சசிில்ல்லலாாதேதேகாகா பபகாகாயுயுைைிி காகாாாவ்வ்யாயாாா ைைாாலலசூசூாாிியாயா எஎன்ன்ைைவிவிர்ர் அஅங்ங்காகாம்ம்
விவிகாகாிிக்க்காகாிின்ன்றிறி ஐஐக்க்காகாிியாயா ைைக்க்காகாள்ள் சசக்க்திதிிி எஎன்ன்றிறி அஅங்ங்காகாீீகாகாாாிிக்க்காகாப்ப்ைைட்ட்டட அஅரரசசிியாயால்ல் காகாட்ட்சசிியாயாிின்ன் பபசசயாயாலலாாைைர்ர் முமுப்ப்ைைதுது ((3300)) நிநிாாட்ட் காகாாாலலக்க்பபகாகாடுடுவுவுக்க்குகுள்ள்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திதிபைபைகாகாபைபைைையுயுபைபைடடயாயா
தேதேவிவிட்ட்ைைாாைைபபரராாருருவிவிரராாகாகா,, உஉறுறுப்ப்ைைிினனபபரராாருருவிவிரராாகாகா தேதேதிதிர்ர்ந்ந்பபதிதிடுடுக்க்காகாப்ப்ைைட்ட்டடவிவிபபரரனன பபவிவிைைிிப்ப்ைைடுடுத்த்திதிப்ப்ைைடட தேதேவிவிண்ண்டிடியாயாவிவிருரும்ம் அஅக்க்காகாட்ட்சசிிபைபையாயாச்ச்
தேதேசசர்ர்ந்ந்திதிவிவிருருைைாானன விவிறிறிக்க்காகாாாப்ப்பபைைாாலல ைைிிரரதேதேதிதிசச சசபைபைைையாயாிின்ன் பபதிதிாாிிந்ந்பபதிதிடுடுத்த்துது அஅனுனுப்ப்ைைப்ப்ைைட்ட்டுடுள்ள்ைை உஉறுறுப்ப்ைைிினனர்ர் பபதிதிாாடடர்ர்ைைாாகாகா திதிீீர்ர்ைைாானனிிக்க்குகுைைாாறுறு
எஎன்ன்னனாால்ல் ைைணணிிக்க்காகாப்ப்ைைட்ட்டுடுள்ள்ைைாாரராாதிதிலலாாலுலும்ம் ;;
தேதேைைதேதேலல கூகூறிறிப்ப்ைைட்ட்டட அஅங்ங்காகாீீகாகாாாிிக்க்காகாப்ப்ைைட்ட்டட அஅரரசசிியாயால்ல் காகாட்ட்சசிியாயாிின்ன் பபசசயாயாலலாாைைாாிினனாால்ல் அஅவ்வ்பபவிவிற்ற்றிறிிிடடத்த்பைபைதிதி நிநிிிரரப்ப்புபுவிவிதிதிற்ற்காகாாாகாகா வீவீரரசூசூாாிியாயா
அஅச்ச்சசிில்ல்லலாாதேதேகாகா ைைிிஹிஹிிிாாிி ைைதூதூஷிஷிிி வீவீரரசூசூாாிியாயா எஎன்ன்ைைவிவிபைபைரரப்ப் பபைையாயார்ர் குகுறிறிிித்த்துது நிநிிியாயாைைிிக்க்குகும்ம் திதிைைதுது முமுடிடிவிவிிிபைபைனன அஅறிறிிிவிவிிித்த்துதுள்ள்ைைாாரராாதிதிலலாாலுலும்ம்;;
விவிறிறிக்க்காகாாாப்ப்பபைைாாலல ைைிிரரதேதேதிதிசச சசபைபைைையாயாிின்ன் பபதிதிாாிிவிவித்த்திதிாாட்ட்சசிி அஅலுலுவிவிலலரராானன காகாருருணணாாதிதிிிலலகாகா ரராாலலஹிஹிாாைைிிலலாாதேதேகாகா விவிசுசுந்ந்திதிரராா எஎரரந்ந்திதிிி திதிிிசசாாநிநிாாயாயாக்க்காகா
ஆஆகாகாிியாயா நிநிாான்ன்,, உஉள்ள்ளூளூர்ர் அஅதிதிிிகாகாாாரர சசபைபைைைகாகாள்ள் தேதேதிதிர்ர்திதில்ல்காகாள்ள் காகாட்ட்டடபைபைைைச்ச் சசட்ட்டடத்த்திதிிின்ன் ((226622 ஆஆம்ம் அஅத்த்திதிிியாயாாாயாயாைைாானன)) 6666அஅ((11)) எஎன்ன்னுனும்ம் ைைிிாாிிவிவிிின்ன்
நிநிிியாயாதிதிிிகாகாைைிின்ன்ைைடிடி பபசசயாயாற்ற்ைைட்ட்டுடு வீவீரரசூசூாாிியாயா அஅச்ச்சசிில்ல்லலாாதேதேகாகா ைைிிஹிஹிிிாாிி ைைதூதூஷிஷிிி வீவீரரசூசூாாிியாயா எஎன்ன்ைைவிவிர்ர் விவிறிறிக்க்காகாாாப்ப்பபைைாாலல ைைிிரரதேதேதிதிசச சசபைபைைையாயாிின்ன்
பபதிதிாாிிந்ந்பபதிதிடுடுத்த்துது அஅனுனுப்ப்ைைப்ப்ைைட்ட்டுடுள்ள்ைை உஉறுறுப்ப்ைைிினனர்ர் ஒஒருருவிவிரராாகாகாத்த் தேதேதிதிர்ர்ந்ந்பபதிதிடுடுக்க்காகாப்ப்ைைட்ட்டுடுள்ள்ைைதிதிாாகாகா இஇத்த்திதிாால்ல் பபவிவிைைிிப்ப்ைைடுடுத்த்துதுகாகாிின்ன்தேதேறிறின்ன்..
தேதேகாகா.. ஆஆர்ர்.. விவிசுசுந்ந்திதிரர இஇ.. திதிிிசசாாநிநிாாயாயாக்க்காகா,,
பபதிதிாாிிவிவித்த்திதிாாட்ட்சசிி அஅலுலுவிவிலலர்ர்,,
விவிறிறிக்க்காகாாாப்ப்பபைைாாலல ைைிிரரதேதேதிதிசச சசபைபைைை..
ைைாாவிவிட்ட்டடத்த் தேதேதிதிர்ர்திதில்ல்காகாள்ள் அஅலுலுவிவிலலகாகாம்ம்,,
தேதேகாகாகாகாாாபைபைலல,,
22002266,, பபைைப்ப்புபுருருவிவிாாிி 1188..
EEOOGG 0022 -- 00115522
1A - PG 7532 — 09 (2026/02) ,yq;if murhq;f mr;Rj; jpizf;fsj;jpw; gjpg;gpf;fg;ngw;wJ.
,t; mjptpNrl tu;j;jkhdpia www.documents.gov.lk vDk; ,izaj;jsj;jpypUe;J gjptpwf;fk; nra;a KbAk;.</t>
  </si>
  <si>
    <t>b62b9a5d-5677-48bc-994b-624cdf43d47a</t>
  </si>
  <si>
    <t>2476_23</t>
  </si>
  <si>
    <t>2476/23</t>
  </si>
  <si>
    <t>Provincial Councils Act, No. 42 of 1987 — Appointment under Section 32(1) (Gazette 2476/23)</t>
  </si>
  <si>
    <t>m1/raw/2476_23.pdf</t>
  </si>
  <si>
    <t>Y%S ,xld m%cd;dka;%sl iudcjd§ ckrcfha .eiÜ m;%h
w;s úfYI
,yq;ifr; rdehaf Nrhryprf; FbauR th;j;jkhdg; gj;jphpif
mjp tpNr\khdJ
wxl 2476$23 - 2026 fmnrjdß ui 18 jeks nodod - 2026'02'18
2476/ 23 Mk; ,yf;fk; - 2026 Mk; Mz;L ngg;GUtup khjk; 18 Me; jpfjp Gjd;fpoik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6666அஅ((11))((அஅ)) எஎன்ன்னுனும்ம்
ைைிிாாிிவிவிிின்ன் காகாீீழ்ழ் ஹஹக்க்மமனன ைைிிரரதேதேதிதிசச சசபைபைைை உஉறுறுப்ப்ைைிினனர்ர் ஒஒருருவிவிாாிின்ன் ைைதிதிவிவிிியாயாிிலாலாாானன வவவிவிற்ற்றிறிிிடடத்த்பைபைதிதி நிநிிிரரப்ப்புபுதிதில்ல்
ஹஹக்க்மமனன ைைிிரரதேதேதிதிசச சசபைபைைை உஉறுறுப்ப்ைைிினனர்ர் ஒஒருருவிவிாாிின்ன் ைைதிதிவிவிிி தேதேகாகாட்ட்டுடு விவிிிலாலாகாகாிியாயாபைபைமம காகாாாரரணணமமாாகாகா வவவிவிற்ற்றிறிிிடடமமாாகாகாிியாயாிிருருக்க்காகாிின்ன்றிறிதிதிாாதிதிலாலாாாலுலும்ம்;;
தேதேமமற்ற்குகுறிறிிித்த்திதி காகாட்ட்டடபைபைைைச்ச் சசட்ட்டடத்த்திதிிின்ன் 6666அஅ((11))((அஅ)) ஆஆம்ம் ைைிிாாிிவிவிிின்ன் காகாீீழ்ழ்,, ஹ ஹக்க்மமனன ைைிிரரதேதேதிதிசச சசபைபைைையாயாிின்ன் இஇலாலாக்க்காகாம்ம் 0055 எஎல்ல்தேதேலாலாவவவிவிலாலா
விவிட்ட்டடாாரரத்த்திதிிிற்ற்குகு வவதிதிாாிிவுவு வவசசய்ய்யாயாப்ப்ைைட்ட்டட தேதேஹஹவிவிாா அஅலாலாங்ங்காகாாாரரதேதேகாகா தேதேரராாஹஹாான்ன் திதிிிலாலாக்க்காகாரரத்த்னன எஎன்ன்ைைவிவிர்ர் அஅங்ங்காகாம்ம் விவிகாகாிிக்க்காகாிின்ன்றிறி தேதேதிதிசசிியாயா
மமக்க்காகாள்ள் சசக்க்திதிிி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தேதேசசர்ர்ந்ந்திதிவிவிருருமமாானன
ஹஹக்க்மமனன ைைிிரரதேதேதிதிசச சசபைபைைையாயாிின்ன் இஇலாலாக்க்காகாம்ம் 0055 எஎல்ல்தேதேலாலாவவவிவிலாலா விவிட்ட்டடாாரரத்த்திதிிின்ன் உஉறுறுப்ப்ைைிினனர்ர் வவதிதிாாடடர்ர்ைைாாகாகா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அஅரரசசிியாயால்ல் காகாட்ட்சசிியாயாிின்ன் வவசசயாயாலாலாாாைைாாிினனாால்ல் அஅவ்வ்வவவிவிற்ற்றிறிிிடடத்த்பைபைதிதி நிநிிிரரப்ப்புபுவிவிதிதிற்ற்காகாாாகாகா நிநிம்ம்முமுன்ன்னனிி
ஆஆரரச்ச்சசிிதேதேகாகா தேதேைைமமலாலாாால்ல் எஎன்ன்ைைவிவிபைபைரரப்ப் வவைையாயார்ர் குகுறிறிிித்த்துது நிநிிியாயாமமிிக்க்குகும்ம் திதிமமதுது முமுடிடிவிவிிிபைபைனன அஅறிறிிிவிவிிித்த்துதுள்ள்ைைாாரராாதிதிலாலாாாலுலும்ம் ;;
ஹஹக்க்மமனன ைைிிரரதேதேதிதிசச சசபைபைைையாயாிின்ன் வவதிதிாாிிவிவித்த்திதிாாட்ட்சசிி அஅலுலுவிவிலாலாரராானன புபுலாலாஸ்ஸ்திதிிி தேதேசசரரசசிிங்ங்ஹஹ ைைதிதிிிரரணண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6666அஅ((11))((அஅ)) எஎன்ன்னுனும்ம் ைைிிாாிிவிவிிின்ன் நிநிிியாயாதிதிிிகாகாைைிின்ன்ைைடிடி வவசசயாயாற்ற்ைைட்ட்டுடு
நிநிம்ம்முமுன்ன்னனிி ஆஆரரச்ச்சசிிதேதேகாகா தேதேைைமமலாலாாால்ல் எஎன்ன்ைைவிவிர்ர் ஹ ஹக்க்மமனன ைைிிரரதேதேதிதிசச சசபைபைைையாயாிின்ன் இஇலாலாக்க்காகாம்ம் 0055 எஎல்ல்தேதேலாலாவவவிவிலாலா விவிட்ட்டடாாரரத்த்திதிிின்ன் உஉறுறுப்ப்ைைிினனர்ர்
ஒஒருருவிவிரராாகாகாத்த் தேதேதிதிர்ர்ந்ந்வவதிதிடுடுக்க்காகாப்ப்ைைட்ட்டுடுள்ள்ைைதிதிாாகாகா இஇத்த்திதிாால்ல் வவவிவிைைிிப்ப்ைைடுடுத்த்துதுகாகாிின்ன்தேதேறிறின்ன்..
பீபீ.. எஎஸ்ஸ்.. ைைதிதிிிரரணண,,
வவதிதிாாிிவிவித்த்திதிாாட்ட்சசிி அஅலுலுவிவிலாலார்ர் ,,
ஹஹக்க்மமனன ைைிிரரதேதேதிதிசச சசபைபைைை..
மமாாவிவிட்ட்டடத்த் தேதேதிதிர்ர்திதில்ல்காகாள்ள் அஅலுலுவிவிலாலாகாகாம்ம்,,
மமாாத்த்திதிபைபைறிறி,,
22002266,, வவைைப்ப்புபுருருவிவிாாிி 1188 ஆஆம்ம் திதிிிகாகாதிதிிி..
EEOOGG 0022 -- 00115533
1A - PG 7533 — 08 (2026/02) ,yq;if murhq;f mr;Rj; jpizf;fsj;jpw; gjpg;gpf;fg;ngw;wJ.
,t; mjptpNrl tu;j;jkhdpia www.documents.gov.lk vDk; ,izaj;jsj;jpypUe;J gjptpwf;fk; nra;a KbAk;.</t>
  </si>
  <si>
    <t>fc2c591c-3ddb-44f6-8623-8a06252fcdff</t>
  </si>
  <si>
    <t>2476_24</t>
  </si>
  <si>
    <t>2476/24</t>
  </si>
  <si>
    <t>Provincial Councils Act, No. 42 of 1987 — Appointment under Section 32(1) (Gazette 2476/24)</t>
  </si>
  <si>
    <t>m1/raw/2476_24.pdf</t>
  </si>
  <si>
    <t>Y%S ,xld m%cd;dka;%sl iudcjd§ ckrcfha .eiÜ m;%h
w;s úfYI
,yqi; fr ; rdehaf Nrhryprf ; FbauR thj; j; khdg ; gjj; phpif
mjp tpNr\khdJ
wxl 2476$24 - 2026 fmnrjdß ui 18 jeks nodod - 2026'02'18
2476/ 24 Mk; ,yf;fk; - 2026 Mk; Mz;L ngg;GUtup khjk; 18 Me; jpfjp Gjd;fpoik
(murhq;fj;jpd; mjpfhuj;Jld; gpuRupf;fg;gl;lJ)
gFjp IV(M) - cs;~uhl;rp
cs;~u; mjpfhu rigfs; Nju;jy;fs; fl;lisr;rl;l mwptpj;jy;fs;
(262 Mk; mj;jpahakhd) cs;~u; mjpfhu rigfs; Nju;jy;fs; fl;lisr; rl;lk;
2012 ஆம் ஆண்டின் 22 ஆம் இலக்க, உள்ளூர் அதிிகார சபைைகள் தேதிர்தில்கள் (திிருத்திச்) சட்டத்திினாால்
திிருத்திப்ைட்ட (262 ஆம் அத்திியாாயாமாானா) தேதிர்தில்கள் கட்டபைைச் சட்டத்திின் 66எ சரத்திின் கீழ் விிடுவிிக்கப்ைடும்
அறிிவிித்தில்
2012 ஆம் ஆண்டின் 22 ஆம் இலக்க, உள்ளூர் அதிிகார சபைைகள் தேதிர்தில்கள் (திிருத்திம்) சட்டத்திினாால் திிருத்திப்ைட்ட
(262 ஆம் அதிிகாரமாானா) உள்ளூர் அதிிகார சபைைகள் தேதிர்தில்கள் கட்டபைைச் சட்டத்திின் 66எ. சரத்திின் கீழ் என்னாிடம்
பைாறுப்ைைிக்கப்ைட்டுள்ை அதிிகாரத்திின் ைிரகாரம் பசயாற்ைட்டு, பதின் மாாகாணத்திின் மாாத்திபைறி மாாவிட்டத்திின் பவிலிகமா ைிரதேதிச
சபைையாில் பவிற்றிிடமாாக நிிலவிியா திவிிசாைர் ைதிவிிக்கு சிந்திக திர்ஷனா தே�விா ைதிிரண என்ைவிர் 2026.02.02 ஆந் திிகதிி பதிாிவு
பசய்யாப்ைட்டுள்ைார் என்ைபைதி இத்திால் அறிிவிிப்பு பசய்கிதேறின்.
எஎரரந்ந்திதிிி உஉமாமாங்ங்ககாா பபமாமான்ன்திதிிிஸ்ஸ்,,
உள்ளூராட்சி ஆபைணயாாைர்,
பதின் மாாகாணம்.
பதின் மாாகாண உள்ளூராட்சித் திிபைணக்கைம்,
காலி மாாவிட்ட பசயாலக அலுவிலகக் கட்டிடம்,
6 ஆம் மாாடி,
2026, பைப்புருவிாி 17.
EOG 02 - 0154
,yq;if murhq;f mr;Rj; jpizf;fsj;jpw; gjpg;gpf;fg;ngw;wJ.
1A - PG 7534 — 04 (2026/02)
,t; mjp tpNrl tu;j;jkhdpia www.documents.gov.lk vd;Dk; ,izaj;jsj;jpypUe;J gjptpwf;fk; nra;a KbAk;.</t>
  </si>
  <si>
    <t>d782e482-377e-424b-9f8b-191723b66d15</t>
  </si>
  <si>
    <t>2476_25</t>
  </si>
  <si>
    <t>2476/25</t>
  </si>
  <si>
    <t>Sri Lanka Development Plan / Industrial Promotion Order No. 1670/32 of 2010 — Notice (Gazette 2476/25)</t>
  </si>
  <si>
    <t>ශ්‍රී ලංකා සංවර්ධන සැලැස්ම - 2010 අංක 1670/32 යටතේ දැන්වීම</t>
  </si>
  <si>
    <t>இலங்கை அபிவிருத்திச் சேவைகள் சட்டத்தின் கீழ் 2010 ஆம் ஆண்டின் 1670/32 அறிவித்தல்</t>
  </si>
  <si>
    <t>Notice issued under the Sri Lanka Development Services Act referencing Order No. 1670/32 of 2010 (08 sub-section). Lists references to amendment gazettes including 1783/37 of 4 February 2012, 1816/32 of 28 September 2013, and 1992/77 of 11 March 2016. Dated 13 February 2026.</t>
  </si>
  <si>
    <t>m1/raw/2476_25.pdf</t>
  </si>
  <si>
    <t>Y%S ,xld m%cd;dka;%sl iudcjd§ ckrcfha .eiÜ m;%h
w;s úfYI
,yq;ifr; rdehaf Nrhryprf; FbauR th;j;jkhdg; gj;jphpif
mjp tpNr\khdJ
wxl 2476$25 - 2026 fmnrjdß ui 18 jeks nodod - 2026'02'18
2476/ 25 Mk; ,yf;fk; - 2026 Mk; Mz;L ngg;GUtup khjk; 18 Me; jpfjp Gjd;fpoik
(murhq;fj;jpd; mjpfhuj;Jld; gpuRupf;fg;gl;lJ)
gFjp I : njhFjp (I) - nghJ
murhq;f mwptpj;jy;fs;
0088 ஆஆவவதுது திதிிிருருத்த்திதிம்ம்
இலங்கைைத் திிட்டமிிடல் சேேகைவயிின் சேேகைவப் பிிரமிாணக் குறிிப்பு
2010, செேத்செதிம்பிர் மிாதிம் 10 ஆம் திிைதிியி 1670/32 ஆம் இலக்ை இலங்கைைச் ேனநாாயிை சேோேலிேக் குடியிரேின் அதிிவிசேேட
வர்த்திமிானப் பித்திிாிகைையிில் பிிரசுாிக்ைப்பிட்ட பிின்வரும் பிகுதிி I இல் குறிிப்பிிடப்பிட்டுள்ளவாறு திிருத்திியிகைமிக்ைப்பிட்ட
இலங்கைைத் திிட்டமிிடல் சேேகைவயிின் சேேகைவப் பிிரமிாணக் குறிிப்பு பிின்வரும் பிகுதிி II இல் குறிிப்பிிடப்பிட்டுள்ளவாறு மிீள
திிருத்திியிகைமிக்ைப்பிடுைின்றிது. அதிில் குறிிப்பிிடப்பிட்டுள்ள ஏகைனயி விடயிங்ைளும் நாிபிந்திகைனைளும் மிாற்றிமிின்றிி செதிாடர்ந்தும்
செேயில்வலுப்செபிறும். பிின்வரும் பிகுதிி II இல் குறிிப்பிிடப்பிட்டுள்ள திிருத்திியிகைமிக்ைப்பிட்ட ஏற்பிாடுைள் 2026.01.01 ஆம்
திிைதிியிிலிருந்து செேயில்வலுப்செபிறும் வகைையிில் நாகைடமுகைறிப்பிடுத்திப்பிடும்.
பிைிரங்ை சேேகைவ ஆகைணக்குழுவின் ைட்டகைளயிின் பிிரைாரம்,
டடப்ப்ளளிியூயூ..எஎச்ச்..எஎம்ம்..எஎம்ம்..ேேீீ..சேசேைை..திதியியிாாரரத்த்னன,,
செேயிலாளர்,
பிைிரங்ை சேேகைவ ஆகைணக்குழு.
2026, செபிப்புருவாி 13.
பிபிகுகுதிதிிி I
திிருத்தி இலக்ைம் 1 – 2012, நாசெவம்பிர் மிாதிம் 09 ஆம் திிைதிியி 1783/37 ஆம் இலக்ை அதிிவிசேேட வர்த்திமிானப் பித்திிாிகைை
திிருத்தி இலக்ைம் 2 – 2013, யூன் மிாதிம் 28 ஆம் திிைதிியி 1816/32 ஆம் இலக்ை அதிிவிசேேட வர்த்திமிானப் பித்திிாிகைை
திிருத்தி இலக்ைம் 3 – 2016, நாசெவம்பிர் மிாதிம் 11 ஆம் திிைதிியி 1992/77 ஆம் இலக்ை அதிிவிசேேட வர்த்திமிானப் பித்திிாிகைை
1A - G 46317- 04 (2026/02)
,t; mjptpNrl tu;j;jkhdpia www.documents.gov.lk vDk; ,izaj;jsj;jpypUe;J gjptpwf;fk; nra;a KbAk;.
2A I fldgi ( ^I&amp; fPoh - YS% ,xld m%cd;dka;s%l iudcjd§ ckrcfha w;s úfYI .eiÜ m;%h - 2026'02'18
gFjp I : njhFjp (I) - ,yq;ifr; rdehaf Nrhryprf; FbauR tu;j;jkhdg; gj;;jpupif - mjp tpNr\khdJ - 2026.02.18
திிருத்தி இலக்ைம் 4 – 2019, ஓைத்து மிாதிம் 20 ஆம் திிைதிியி 2137/26 ஆம் இலக்ை அதிிவிசேேட வர்த்திமிானப் பித்திிாிகைை
திிருத்தி இலக்ைம் 5 – 2020, ஒற்சேறிாபிர் மிாதிம் 08 ஆம் திிைதிியி 2196/42 ஆம் இலக்ை அதிிவிசேேட வர்த்திமிானப் பித்திிாிகைை
திிருத்தி இலக்ைம் 6 – 2021, ஏப்பிிறில் மிாதிம் 21 ஆம் திிைதிியி 2224/20 ஆம் இலக்ை அதிிவிசேேட வர்த்திமிானப் பித்திிாிகைை
திிருத்தி இலக்ைம் 7 – 2022, செேத்செதிம்பிர் மிாதிம் 30 ஆம் திிைதிியி 2299/65 ஆம் இலக்ை அதிிவிசேேட வர்த்திமிானப் பித்திிாிகைை
பிபிகுகுதிதிிி II
08. வவிிகைகைனனத்த்திதிிிறிறின்ன்ைைாாண்ண் திதிகைகைடடதிதிாாண்ண்டடல்ல்
சேேகைவப் பிிரமிாணக் குறிிப்பிிற்கு சேமிற்செைாள்ளப்பிட்ட 3 ஆவது திிருத்தித்திின் மூலம் திிருத்திியிகைமிக்ைப்பிட்ட 8.1 இல்
குறிிப்பிிடப்பிட்டுள்ள அட்டவகைணயிின் 3 ஆம் விகைனத்திிறின்ைாண் திகைடதிாண்டலின் தின்கைமியிின் ைீழ்க் குறிிப்பிிடப்பிட்டுள்ள
“இயிலுகைமி விருத்திி மிட்டம் I பிாடசெநாறிி”, “இயிலுகைமி விருத்திி மிட்டம் III பிாடசெநாறிி” எனத் திிருத்திியிகைமிக்ைப்பிடுைிறிது.
ஏகைனயி விடயிங்ைள் மிாற்றிமிின்றிி செதிாடர்ந்தும் செேயில்வலுப்செபிறும்.
10. திதிரரம்ம் உஉயியிர்ர்த்த்துதுதிதில்ல்
10.1.1.1. இன் ைீழ் பிின்வரும் திகைைகைமியும் புதிிதிாை உள்ளடக்ைப்பிடுைின்றிது.
(vii) இயிலுகைமி விருத்திி மிட்டம் - I பிாடசெநாறிிகையிப் பூர்த்திி செேய்திிருத்தில்.
10.2.1.1 இன் ைீழ் பிின்வரும் திகைைகைமியும் புதிிதிாை உள்ளடக்ைப்பிடுைின்றிது.
(vi) இயிலுகைமி விருத்திி மிட்டம் - II பிாடசெநாறிிகையிப் பூர்த்திி செேய்திிருத்தில்.
12. II. நாநாிிபுபுணணத்த்துதுவவ அஅபிபிிிவவிிருருத்த்திதிிி
12. II. (ஆ) இன் ைீழாான சேேகைவக்ைாலப் பியிிற்ேிக்குாியி ஏற்பிாடுைளுக்குப் பிதிிலாைப் பிின்வரும் ஏற்பிாடுைள் பிதிிலீடு செேய்யிப்பிடு
ைின்றின. ஏகைனயி விடயிங்ைள் மிாற்றிமிின்றிி செதிாடர்ந்தும் செேயில்வலுப்செபிறும்.
(ஆ) இஇயியிலுலுகைகைமிமி வவிிருருத்த்திதிிிப்ப் பிபிாாடடசெசெநாநாறிறிிிைைள்ள்
i. திரம் III உத்திிசேயிாைத்திர்ைள் திரம் II இற்குப் பிதிவியுயிர்த்திப்பிடுவதிற்கு முன்னர் இயிலுகைமி விருத்திி மிட்டம்-
I பிாடசெநாறிிகையிப் பூர்த்திி செேய்தில் சேவண்டும்.
ii. திரம் II உத்திிசேயிாைத்திர்ைள் திரம் I இற்குப் பிதிவியுயிர்த்திப்பிடுவதிற்கு முன்னர் இயிலுகைமி விருத்திி மிட்டம் - II
பிாடசெநாறிிகையிப் பூர்த்திி செேய்தில் சேவண்டும்.
EOG 02 - 0155
,yq;if murhq;f mr;Rj; jpizf;fsj;jpw; gjpg;gpf;fg;ngw;wJ.</t>
  </si>
  <si>
    <t>e35bbd31-6ac3-49d2-a3dc-e908804a3edf</t>
  </si>
  <si>
    <t>2476_26</t>
  </si>
  <si>
    <t>2476/26</t>
  </si>
  <si>
    <t>Title Registration Act, No. 21 of 1998, Section 14 — Commissioner of Title Settlement decision (Gazette 2476/26)</t>
  </si>
  <si>
    <t>m1/raw/2476_26.pdf</t>
  </si>
  <si>
    <t>III ෙකොටස – ශී ලංකා පජාතාන්තික සමාජවාදී ජනරජෙය් අති විෙශෂ ගැසට් පතය – 2026.02.19 1 A
பகுதி III – இலங்ைகச் சனநாயக ேசாச(cid:8098)சக் கு(cid:8074)யரசு வர்த்தமானப் பத்திாிைக - அதி விேசஷமான(cid:8080) – 2026.02.19
ශී ලංකා පජාතාන්තික සමාජවාදී ජනරජෙය් ගැසට් පතය
இலங்ைகச் சனநாயக ேசாச(cid:8098)சக் கு(cid:8074)யரசு வர்த்தமானப் பத்திாிைக
අති විෙශෂ அதி விேசஷமான(cid:8080)
අංක 2476/26 - 2026 ෙපබරවාරි මස 19 වැනි බහසප් තින්දා - 2026.02.19
2476/26 ஆம் இலக்கம் - 2026 ஆம் ஆண்(cid:8076) ெபப்(cid:8087)(cid:8094)வாி மாதம் 19 ஆந் திகதி வியாழக்கிழைம
(அரசாங்கத்தின் அதிகாரத்(cid:8080)டன் பிரசுாிக்கப்பட்ட(cid:8080))
பகுதி III - காணிகள்
உாித்(cid:8080)ப் பதி(cid:8107) ெசய்தல்
1998 ஆம் ஆண்(cid:8074)ன் 21 ஆம் இலக்க உாித்(cid:8080)ப் பதி(cid:8107)ச் சட்டம்
14 ஆம் பிாிவின் கீழ் உாித்(cid:8080) நிர்ணய ஆைணயாளாின் தீர்மானத்ைத ெவளிப்ப(cid:8076)த்தல்
1998 ஆம் ஆண்(cid:8074)ன் 21 ஆம் இலக்க உாித்(cid:8080)ப் பதி(cid:8107)ச் சட்டத்தின் 14 ஆம் பிாிவின் கீழ் எனக்குாித்தாக்கப்பட்(cid:8076)ள்ள தத்(cid:8080)வங்களின்
பயைனக்ெகாண்(cid:8076), கீேழ ஒப்பமிட்(cid:8076)ள்ள நான், 1998 ஆம் ஆண்(cid:8074)ன் 21 ஆம் இலக்க உாித்(cid:8080)ப் பதி(cid:8107)ச் சட்டத்தின் 55 ஆம் பிாிவின்
நியதிகளின்ப(cid:8074) 2025.05.30 ஆம் திகதிய, காணிக்கான உாிைமக் ேகாாிக்ைககைளக் ேகா(cid:8094)கின்ற(cid:8080)மான 2438/58 ஆம் இலக்க அறிவித்த(cid:8098)ல்
குறிப்பீ(cid:8076) ெசய்யப்பட்ட ேமல் மாகாணத்தில், ெகா(cid:8104)ம்(cid:8087) மாவட்டத்தில், ேஹாமாகம பிரேதச ெசயலாளர் பிாிவில், இல. 482ஈ - மீகஸ்(cid:8089)ல்ல
கிராம அ(cid:8100)வலர் பிாிவி(cid:8084)ள் பனாெகாட கிராமத்தில் அைமந்(cid:8080)ள்ள(cid:8080)ம் 520021 ஆம் இலக்க கடத்திரல் அளைவ வைரபடத்தில் பிாி(cid:8107) இல. 02
இல் அடங்கி(cid:8092)ள்ள(cid:8080)மான 211 ஆம் இலக்கத்ைதக் ெகாண்ட காணித்(cid:8080)ண்(cid:8074)ற்கான உாித்(cid:8080) ெதாடர்பாக இதேனா(cid:8076) இைணக்கப்பட்ட
அட்டவைணயில் தரப்பட்(cid:8076)ள்ளவாறான என(cid:8080) தீர்மானத்ைத இத்தால் ெவளிப்ப(cid:8076)த்(cid:8080)கின்ேறன்.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19 ஆம் திகதி.
1A - G 46318 - 03 (2026 / 02)
(cid:8089). கு. - இவ் அதிவிேஷட வர்த்தமானிைய www.documents.gov.lk எ(cid:8084)ம் இைணயத்தளத்தி(cid:8098)(cid:8094)ந்(cid:8080) பதிவிறக்கம் ெசய்ய (cid:8089)(cid:8074)(cid:8092)ம்.
2 A III ෙකොටස – ශී ලංකා පජාතාන්තික සමාජවාදී ජනරජෙය් අති විෙශෂ ගැසට් පතය – 2026.02.19
பகுதி III – இலங்ைகச் சனநாயக ேசாச(cid:8098)சக் கு(cid:8074)யரசு வர்த்தமானப் பத்திாிைக - அதி விேசஷமான(cid:8080) – 2026.02.19
அட்டவைண
காணி விேசட
வழக்கிற்கு அல்ல(cid:8080)
காணித் விஸ்தீரணம் ெசாந்தக்காரர்/ ெசாந்தக் ேதசிய உாித்(cid:8080)க்குாிய உாித்தின(cid:8080) உட்பட்ட தனியா(cid:8094)க்
(cid:8080)ண்(cid:8074)ன் காரர்களின் (cid:8089)(cid:8104)ப் ெபயர்க(cid:8102)ம் அைடயாள இடத்தின் வகுப்(cid:8087)ம் ஈ(cid:8076), குத் குாிய சட்டங்
இல. (ெஹக்டயார்) (cid:8089)கவாி(cid:8092)ம் அட்ைட விஸ்தீரணம் இயல்(cid:8087)ம் தைக க(cid:8102)ள் எவ்
இல. த(cid:8076)ப்(cid:8087)க் வைகக்கும்
கட்டைள அைமந்தி(cid:8094)ப்
பற்றிய பின் விபரங்
விபரங்கள் கள்
211 0.1029 க(cid:8087)(cid:8094)ேக ெதான் விராஜ வ(cid:8094)ணசங்க 963300140v (cid:8089)(cid:8104)வ(cid:8080)ம் 1வ(cid:8080) வகுப்(cid:8087) மஹகமேக ரமணி –
294, மீகஸ்(cid:8089)ல்ல, என்பவர(cid:8080) சீவிய
ெத(cid:8074)க(cid:8089)வ. உாித்திற்கு
உட்பட்ட(cid:8080).
EOG 02 - 0156 / 1
1998 ஆம் ஆண்(cid:8074)ன் 21 ஆம் இலக்க உாித்(cid:8080)ப் பதி(cid:8107)ச் சட்டம்
14 ஆம் பிாிவின் கீழ் உாித்(cid:8080) நிர்ணய ஆைணயாளாின் தீர்மானத்ைத ெவளிப்ப(cid:8076)த்தல்
1998 ஆம் ஆண்(cid:8074)ன் 21 ஆம் இலக்க உாித்(cid:8080)ப் பதி(cid:8107)ச் சட்டத்தின் 14 ஆம் பிாிவின் கீழ் எனக்குாித்தாக்கப்பட்(cid:8076)ள்ள தத்(cid:8080)வங்களின்
பயைனக்ெகாண்(cid:8076), கீேழ ஒப்பமிட்(cid:8076)ள்ள நான், 1998 ஆம் ஆண்(cid:8074)ன் 21 ஆம் இலக்க உாித்(cid:8080)ப் பதி(cid:8107)ச் சட்டத்தின் 55 ஆம் பிாிவின்
நியதிகளின்ப(cid:8074) 2024.09.13 ஆம் திகதிய, காணிக்கான உாிைமக் ேகாாிக்ைககைளக் ேகா(cid:8094)கின்ற(cid:8080)மான 2401/30 ஆம் இலக்க அறிவித்த(cid:8098)ல்
குறிப்பீ(cid:8076) ெசய்யப்பட்ட ேமல் மாகாணத்தில், ெகா(cid:8104)ம்(cid:8087) மாவட்டத்தில், ேஹாமாகம பிரேதச ெசயலாளர் பிாிவில், இல. 448 - வடெரக
ெதற்கு கிராம அ(cid:8100)வலர் பிாிவி(cid:8084)ள் வடெரக கிராமத்தில் அைமந்(cid:8080)ள்ள(cid:8080)ம் 520028 ஆம் இலக்க கடத்திரல் அளைவ வைரபடத்தில் பிாி(cid:8107)
இல. 25 இல் அடங்கி(cid:8092)ள்ள(cid:8080)மான 12 ஆம் இலக்கத்ைதக் ெகாண்ட காணித்(cid:8080)ண்(cid:8074)ற்கான உாித்(cid:8080) ெதாடர்பாக இதேனா(cid:8076) இைணக்கப்பட்ட
அட்டவைணயில் தரப்பட்(cid:8076)ள்ளவாறான என(cid:8080) தீர்மானத்ைத இத்தால் ெவளிப்ப(cid:8076)த்(cid:8080)கின்ேறன்.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19 ஆம் திகதி.
அட்டவைண
காணி விேசட
வழக்கிற்கு அல்ல(cid:8080)
காணித் விஸ்தீரணம் ெசாந்தக்காரர்/ ெசாந்தக் ேதசிய உாித்(cid:8080)க்குாிய உாித்தின(cid:8080) உட்பட்ட தனியா(cid:8094)க்
(cid:8080)ண்(cid:8074)ன் காரர்களின் (cid:8089)(cid:8104)ப் ெபயர்க(cid:8102)ம் அைடயாள இடத்தின் வகுப்(cid:8087)ம் ஈ(cid:8076), குத் குாிய சட்டங்
இல. (ெஹக்டயார்) (cid:8089)கவாி(cid:8092)ம் அட்ைட விஸ்தீரணம் இயல்(cid:8087)ம் தைக க(cid:8102)ள் எவ்
இல. த(cid:8076)ப்(cid:8087)க் வைகக்கும்
கட்டைள அைமந்தி(cid:8094)ப்
பற்றிய பின் விபரங்
விபரங்கள் கள்
12 0.0455 ச(cid:8080)ாி இஷங்கா ேஹவேக 855080583v (cid:8089)(cid:8104)வ(cid:8080)ம் 1வ(cid:8080) வகுப்(cid:8087) கா.(cid:8080).இல. 10 –
இல. 404/5, வடெரக, அ(cid:8078)குவழி ேசவக
பா(cid:8080)க்க. உாித்திற்கு
உட்பட்ட(cid:8080).
EOG 02 - 0156 / 2
III ෙකොටස – ශී ලංකා පජාතාන්තික සමාජවාදී ජනරජෙය් අති විෙශෂ ගැසට් පතය – 2026.02.19 3 A
பகுதி III – இலங்ைகச் சனநாயக ேசாச(cid:8098)சக் கு(cid:8074)யரசு வர்த்தமானப் பத்திாிைக - அதி விேசஷமான(cid:8080) – 2026.02.19
1998 ஆம் ஆண்(cid:8074)ன் 21 ஆம் இலக்க உாித்(cid:8080)ப் பதி(cid:8107)ச் சட்டம்
14 ஆம் பிாிவின் கீழ் உாித்(cid:8080) நிர்ணய ஆைணயாளாின் தீர்மானத்ைத ெவளிப்ப(cid:8076)த்தல்
1998 ஆம் ஆண்(cid:8074)ன் 21 ஆம் இலக்க உாித்(cid:8080)ப் பதி(cid:8107)ச் சட்டத்தின் 14 ஆம் பிாிவின் கீழ் எனக்குாித்தாக்கப்பட்(cid:8076)ள்ள தத்(cid:8080)வங்களின்
பயைனக்ெகாண்(cid:8076), கீேழ ஒப்பமிட்(cid:8076)ள்ள நான், 1998 ஆம் ஆண்(cid:8074)ன் 21 ஆம் இலக்க உாித்(cid:8080)ப் பதி(cid:8107)ச் சட்டத்தின் 55 ஆம் பிாிவின்
நியதிகளின்ப(cid:8074) 2024.09.13 ஆம் திகதிய, காணிக்கான உாிைமக் ேகாாிக்ைககைளக் ேகா(cid:8094)கின்ற(cid:8080)மான 2401/30 ஆம் இலக்க அறிவித்த(cid:8098)ல்
குறிப்பீ(cid:8076) ெசய்யப்பட்ட ேமல் மாகாணத்தில், ெகா(cid:8104)ம்(cid:8087) மாவட்டத்தில், ேஹாமாகம பிரேதச ெசயலாளர் பிாிவில், இல. 448 - வடெரக
ெதற்கு கிராம அ(cid:8100)வலர் பிாிவி(cid:8084)ள் வடெரக கிராமத்தில் அைமந்(cid:8080)ள்ள(cid:8080)ம் 520028 ஆம் இலக்க கடத்திரல் அளைவ வைரபடத்தில் பிாி(cid:8107)
இல. 25 இல் அடங்கி(cid:8092)ள்ள(cid:8080)மான 06 ஆம் இலக்கத்ைதக் ெகாண்ட காணித்(cid:8080)ண்(cid:8074)ற்கான உாித்(cid:8080) ெதாடர்பாக இதேனா(cid:8076) இைணக்கப்பட்ட
அட்டவைணயில் தரப்பட்(cid:8076)ள்ளவாறான என(cid:8080) தீர்மானத்ைத இத்தால் ெவளிப்ப(cid:8076)த்(cid:8080)கின்ேறன்.
பீ.சீ.டீ. சிேகரா,
காணி உாித்(cid:8080) நிர்ணய ஆைணயாளர் நாயகம்.
காணி உாித்(cid:8080) நிர்ணயத் திைணக்களம்,
இல. 1200/6, “மிஹிகத ெம(cid:8080)ர”,
இரஜமல்வத்த (cid:8106)தி,
பத்தர(cid:8089)ல்ைல,
2025 ஆம் ஆண்(cid:8076) திெசம்பர் மாதம் 19 ஆம் திகதி.
அட்டவைண
காணி விேசட
வழக்கிற்கு அல்ல(cid:8080)
காணித் விஸ்தீரணம் ெசாந்தக்காரர்/ ெசாந்தக் ேதசிய உாித்(cid:8080)க்குாிய உாித்தின(cid:8080) உட்பட்ட தனியா(cid:8094)க்
(cid:8080)ண்(cid:8074)ன் காரர்களின் (cid:8089)(cid:8104)ப் ெபயர்க(cid:8102)ம் அைடயாள இடத்தின் வகுப்(cid:8087)ம் ஈ(cid:8076), குத் குாிய சட்டங்
இல. (ெஹக்டயார்) (cid:8089)கவாி(cid:8092)ம் அட்ைட விஸ்தீரணம் இயல்(cid:8087)ம் தைக க(cid:8102)ள் எவ்
இல. த(cid:8076)ப்(cid:8087)க் வைகக்கும்
கட்டைள அைமந்தி(cid:8094)ப்
பற்றிய பின் விபரங்
விபரங்கள் கள்
06 0.0665 ச(cid:8080)ாி இஷங்கா ேஹவேக 855080583v (cid:8089)(cid:8104)வ(cid:8080)ம் 1வ(cid:8080) வகுப்(cid:8087) கா.(cid:8080).இல. 05 –
இல. 404/5, வடெரக, அ(cid:8078)குவழி ேசவக
பா(cid:8080)க்க. உாித்திற்கு
உட்பட்ட(cid:8080).
EOG 02 - 0156 / 3
இலங்ைக அரசாங்க அச்சுத் திைணக்களத்தில் பதிப்பிக்கப்ெபற்ற(cid:8080).</t>
  </si>
  <si>
    <t>fcfe67e0-30a4-4653-bea1-b522b34aca18</t>
  </si>
  <si>
    <t>2476_27</t>
  </si>
  <si>
    <t>2476/27</t>
  </si>
  <si>
    <t>Title Registration Act, No. 21 of 1998, Section 14 — Commissioner of Title Settlement decision (Gazette 2476/27)</t>
  </si>
  <si>
    <t>m1/raw/2476_27.pdf</t>
  </si>
  <si>
    <t>III ෙක(cid:675)ටස – (cid:636) ලංකා (cid:541)ජාතා(cid:486)(cid:437)ක සමාජවා(cid:463) ජනරජෙ(cid:591) අ(cid:431) (cid:618)ෙශෂ ගැස(cid:376) ප(cid:436)ය – 2026.02.19 1 A
ப(cid:8065)தி III – இல(cid:8113)ைக(cid:8114) சனநாயக ேசாச(cid:8098)ச(cid:8112) (cid:8065)(cid:8074)யர(cid:8070) வ(cid:8125)(cid:8119)தமான(cid:8122) ப(cid:8119)திாிைக - அதி விேசஷமான(cid:8080) – 2026.02.19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2476/27 - 2026 ෙපබරවා(cid:604) මස 19 වැ(cid:487) (cid:559)හසප් (cid:431)(cid:486)දා - 2026.02.19
2476/27 ஆ(cid:8123) இல(cid:8112)க(cid:8123) - 2026 ஆ(cid:8123) ஆ(cid:8118)(cid:8076) ெப(cid:8122)(cid:8087)(cid:8094)வாி மாத(cid:8123) 19 ஆ(cid:8120) திகதி வியாழ(cid:8112)கிழைம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12 ஆ(cid:8123) பிாிவி(cid:8121)
நியதிகளி(cid:8121)ப(cid:8074) 2024.07.01 ஆ(cid:8120) திகதிய 2391/08 ஆ(cid:8123) இல(cid:8112)க வ(cid:8125)(cid:8119)தமானியி(cid:8127) உாிய (cid:8089)ைறயி(cid:8127) ெவளியிட(cid:8122)ப(cid:8117)ட(cid:8080)(cid:8123), காணி(cid:8112)கான
உாிைம(cid:8112) ேகாாி(cid:8112)ைககைள(cid:8112) ேகா(cid:8094)கி(cid:8121)ற(cid:8080)மான 82/0280 ஆ(cid:8123) இல(cid:8112)க அறிவி(cid:8119)த(cid:8098)(cid:8127) (cid:8065)றி(cid:8122)(cid:8086)(cid:8076) ெச(cid:8124)ய(cid:8122)ப(cid:8117)ட ெத(cid:8121) மாகாண(cid:8119)தி(cid:8121),
மா(cid:8119)தைற மாவ(cid:8117)ட(cid:8119)தி(cid:8127), ெதவி(cid:8082)வர பிரேதச ெசயலாள(cid:8125) பிாிவி(cid:8127), இல. 449(cid:8075) - வ(cid:8127)(cid:8087)(cid:8100)கஹேஹன கிராம அ(cid:8100)வல(cid:8125) பிாிவி(cid:8084)(cid:8128)
கடெவ(cid:8119)(cid:8080)வ கிராம(cid:8119)தி(cid:8127) அைம(cid:8120)(cid:8080)(cid:8128)ள(cid:8080)(cid:8123) 820287 ஆ(cid:8123) இல(cid:8112)க கட(cid:8119)திர(cid:8127) அளைவ வைரபட(cid:8119)தி(cid:8127) பிாி(cid:8107) இல. 02 இ(cid:8127) அட(cid:8113)கி(cid:8092)(cid:8128)ள(cid:8080)மான
1:58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2025 ஆ(cid:8123) ஆ(cid:8118)(cid:8076) ஓக(cid:8119)(cid:8080) மாத(cid:8123) 11 ஆ(cid:8120) திகதி.
1A - G 46319 - 03 (2026 / 02)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2026.02.19
ப(cid:8065)தி III – இல(cid:8113)ைக(cid:8114) சனநாயக ேசாச(cid:8098)ச(cid:8112) (cid:8065)(cid:8074)யர(cid:8070) வ(cid:8125)(cid:8119)தமான(cid:8122) ப(cid:8119)திாிைக - அதி விேசஷமான(cid:8080) – 2026.02.19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1:58 0.2222 அர(cid:8070) _ (cid:8089)(cid:8104)வ(cid:8080)(cid:8123) 1ஆவ(cid:8080) வ(cid:8065)(cid:8122)(cid:8087) _ அ(cid:8084)மதி இல.
449(cid:8075)/44 கீ(cid:8129)
உட அப(cid:8094)(cid:8112)க ,
த(cid:8123)பகல,
மீமனெகால
ஆரெதணிய
வசி(cid:8112)(cid:8065)(cid:8123) ேஹவா
க(cid:8113)கான(cid:8123)ேக
ேர(cid:8078)கா
உாி(cid:8119)தி(cid:8126)(cid:8065)
உ(cid:8117)ப(cid:8117)ட(cid:8080).
EOG 02 - 0157
இல(cid:8113)ைக அரசா(cid:8113)க அ(cid:8114)(cid:8070)(cid:8119) திைண(cid:8112)கள(cid:8119)தி(cid:8127) பதி(cid:8122)பி(cid:8112)க(cid:8122)ெப(cid:8126)ற(cid:8080).</t>
  </si>
  <si>
    <t>90e892a6-01d6-40c8-9b4e-0608fe1cab9d</t>
  </si>
  <si>
    <t>2476_28</t>
  </si>
  <si>
    <t>2476/28</t>
  </si>
  <si>
    <t>Title Registration Act, No. 21 of 1998, Section 14 — Commissioner of Title Settlement decision (Gazette 2476/28)</t>
  </si>
  <si>
    <t>Commissioner of Title Settlement's decision under Section 14 of the Title Registration Act No. 21 of 1998. Part III — Lands. Land Parcel Nos. 1:51, 1:62, 1:65, 1:66, 1:79, 1:80, 1:96, 1:107, 1:116, 1:125, 1:128, 1:156, 1:157, 1:161, 1:163, 1:164 of Block 1, contained in the Cadastral Map No. 610462, situated in the Village of Karawelaniya within the Grama Niladhari Division of No. 105A - Ruwanwella in the Divisional Secretary's Division of Kegalle, in the Province of Sabaragamuwa. References Gazette 2388/36 of 15th June, 2024.</t>
  </si>
  <si>
    <t>m1/raw/2476_28.pdf</t>
  </si>
  <si>
    <t>ශ්‍රී ලංකා ප්‍රජාාාා්ත්‍රික සමාජාවාදී ජානරජායේ ගැසට් පත්‍රය
The Gazette of the Democratic Socialist Republic of Sri Lanka
අති විශෙෂ EXTRAORDINARY
No. 2476/28 - 2026 ශෙබරවාරි 19 වැනි බ්‍රහස්ෙප ති්දා ා - 2026.02.19
No. 2476/28 – THURSDAY, FEBRUARY 19,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Nos.1:51, 1:62, 1:65, 1:66,
1:79, 1:80, 1:96, 1:107, 1:116, 1:125, 1:128, 1:156, 1:157, 1:161, 1:163, 1:164 of Block 1, contained in the Cadastral Map No. 610442,
situated in the Village of Karawdeniya within the Grama Niladhari Division of No. 105A - Ruwanwella in the Divisional Secretary's
Division of Ruwanwella, in the District of Kegalle, in the Province of Sabaragamuwa, referred to in Notice No. 61/0259 calling for
claims to land parcels which was duly published in the Gazette No. 2388/36 of 15th June, 2024 in terms of Section 12 of the
Registration of Title Act, No.21 of 1998.
P.C. D. Sigera,
Commissioner General of Land Title Settlement.
Land Title Settlement Department,
No. 1200/6, “Mihikatha Medura”,
Rajamalwatta Road,
Battaramulla,
19th January, 2026.
1A - G 046320 - 03 (02/2026)
N.B.– This Gazette Extraordinary can be downloaded from www.documents.gov.lk
2 A III යකොටස - ශ්‍රී ලංකා ප්‍රජාාාා්ත්‍රික සමාජාවාදී ජානරජායේ ි ව ශෙය ග ගැසට් පත්‍රය - 2026.02.19
Part III – GAZETTE EXTRA ORDINARY OF THE DEMOCRATIC SOCIALIST REPUBLIC OF SRI LANKA – 19.02.2026
SCHEDULE
Particulars Particulars
Sheet Class and regarding if
No. and National Extent Nature Mortgages subject
Parcel Extent Full Name/s of Owner/s Identity Owned of Encumbrances to any
No. and Address Card No. Title pending form of
Adjudication special or
and personal
Injunction law
(Hectare)
1 : 128 0.0409 Henegama Pathirannehelage Kema 611670176V Full 1st Class With the right
Sri Sanath Pathirana of way of
C 166/3, parcel No. 127
Karawdeniya, Ruwanwella
1 : 156 0.0275 Mathara Jayasundara Arachchige Don 782342061V Full 1st Class With the right
Pushpa Tharanga Jayasundara of way of
150/6, Karawdeniya, parcel No. 142
Ruwanwella With the right
to access with
servitude of
parcel No. 157
1 : 157 0.0046 Private – Full 1st Class - -
1 : 161 0.0365 Abdul Wahid Siththi Sifaya 477891241V Full 1st Class - -
47, Court Road,
Walawwaththa, Mawanella
1 : 163 0.0126 Sahul Hameed Mohammadu Paise 520452931V Full 1st Class - -
168, Karawdeniya,
Ruwanwella
1 : 164 0.0148 Sahul Hameed Mohammadu Paise 562972838V Full 1st Class - -
168 A, Karawdeniya,
Ruwanwella
1 : 96 0.0298 Liyanage Seetha Kanthi 195756210089 Full 1st Class - -
Liyanage
C/43/6/1, Karawdeniya,
Ruwanwella
1 : 107 0.0386 Gee Kiyanage Chaminda Deepal 197226801487 Full 1st Class Subject to the
Priyanjith life interest of
No. 208, Anguruwella, Edirisooriya
Ruwanwella Appuhamillage
Rupawathi Alwis
1 : 116 0.0529 Herath Mudiyanselage 532974666V Full 1st Class With the right
Karunarathna of way of
Karawdeniya, Ruwanwella parcel No. 87
1 : 125 0.0019 Private – Full 1st Class - -
1 : 51 0.0126 Sandamannalage Lakmini Anuradhi 795764879V Full 1st Class - -
131/1,
Kurahanwaththa, Karawdeniya,
Ruwanwella
1 : 62 0.0271 Iddamalpitiyage Nirmala 198278803816 Full 1st Class With the right
Iddamalpitiya of way of
C 142/3, Karawdeniya, parcel No. 64
Ruwanwella
1 : 65 0.0488 Liyanage Don Sumanadasa 196200104222 Full 1st Class Subject to the
246/4, mortgage
Anguruwella, Ruwanwella No. 92 and
dated 21.06.2016
to the Sanasa Bank
With the right
to access with
servitude of
parcel No. 64
1 : 66 0.4604 Gardiyawasam Warnakulasooriya 845371300V Full 1st Class With the right
Visuddhika Lakshrini Warnakulasooriya of way of
246/10, parcel No. 64
Karawdeniya, Ruwanwella
III යකොටස - ශ්‍රී ලංකා ප්‍රජාාාා්ත්‍රික සමාජාවාදී ජානරජායේ ි ව ශෙය ග ගැසට් පත්‍රය - 2026.02.19 3 A
Part III – GAZETTE EXTRA ORDINARY OF THE DEMOCRATIC SOCIALIST REPUBLIC OF SRI LANKA – 19.02.2026
SCHEDULE - (Contd.
Particulars Particulars
Sheet Class and regarding if
No. and National Extent Nature Mortgages subject
Parcel Extent Full Name/s of Owner/s Identity Owned of Encumbrances to any
No. and Address Card No. Title pending form of
Adjudication special or
and personal
Injunction law
(Hectare)
1 : 79 0.0355 Mulleyalage Chandima Udeni 805031336V Full 1st Class With the right
Somasiri of way of
234/6, Karawdeniya, parcel No. 82
Ruwanwella and the right of
servitude of
the trench of
parcel No. 78
1 : 80 0.0456 Mulleyalage Ranjith Sisira Kumara 832001040V Full 1st Class With the right
Somasiri of way of
234/6 A, Karawdeniya, parcel No. 82
Ruwanwella and the right of
servitude of
the trench of
parcel No. 78
EOG 02 - 0158/1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Nos.1:1, 1:2, 1:3 of Block 3,
contained in the Cadastral Map No. 610436, situated in the Village of Siyambalawala within the Grama Niladhari Division of No. 100B
- Siyambalawala in the Divisional Secretary's Division of Ruwanwella, in the District of Kegalle, in the Province of Sabaragamuwa,
referred to in Notice No. 61/0271 calling for claims to land parcels which was duly published in the Gazette No. 2400/09 of
02nd September, 2024 in terms of Section 12 of the Registration of Title Act, No.21 of 1998.
P.C. D. Sigera,
Commissioner General of Land Title Settlement.
Land Title Settlement Department,
No. 1200/6, “Mihikatha Medura”,
Rajamalwatta Road,
Battaramulla.
19th January, 2026
4 A III යකොටස - ශ්‍රී ලංකා ප්‍රජාාාා්ත්‍රික සමාජාවාදී ජානරජායේ ි ව ශෙය ග ගැසට් පත්‍රය - 2026.02.19
Part III – GAZETTE EXTRA ORDINARY OF THE DEMOCRATIC SOCIALIST REPUBLIC OF SRI LANKA – 19.02.2026
SCHEDULE
Particulars Particulars
Sheet Class and regarding if
No. and National Extent Nature Mortgages subject
Parcel Extent Full Name/s of Owner/s Identity Owned of Encumbrances to any
No. and Address Card No. Title pending form of
Adjudication special or
and personal
Injunction law
(Hectare)
1 : 1 0.0029 The State _ Full 1st Class - -
1 : 2 0.0159 The State _ Full 1st Class Possessed by
R.M.Samitha
Viraj Senavirathna
of under the
licence No 507512,
Subject to the
conditions of
L.D.O
1 : 3 0.0015 The State _ Full 1st Class - -
EOG 02 - 0158/2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No.1:1 of Block 2,
contained in the Cadastral Map No. 610446, situated in the Village of Moraliya within the Grama Niladhari Division of No. 103 A -
Moraliya in the Divisional Secretary's Division of Ruwanwella, in the District of Kegalle, in the Province of Sabaragamuwa, referred to
in Notice No. 61/0272 calling for claims to land parcels which was duly published in the Gazette No. 2400/09 of 02nd September, 2024
in terms of Section 12 of the Registration of Title Act, No.21 of 1998.
P.C. D. Sigera,
Commissioner General of Land Title Settlement.
Land Title Settlement Department,
No. 1200/6, “Mihikatha Medura”,
Rajamalwatta Road,
Battaramulla,
19th January, 2026.
SCHEDULE
Particulars Particulars
Sheet Class and regarding if
No. and National Extent Nature Mortgages subject
Parcel Extent Full Name/s of Owner/s Identity Owned of Encumbrances to any
No. and Address Card No. Title pending form of
Adjudication special or
and personal
Injunction law
(Hectare)
1 : 1 0.8094 The State _ Full 1st Class - To acquire
the land for the
construction of the
Ruwanwella
water purification
plant of the water
supply project,
Which was acquired
by Malwatta valley
Plantation Company Ltd.
EOG 02 - 0158/3
PRINTED AT THE DEPARTMENT OF GOVERNMENT PRINTING, SRI LANKA.</t>
  </si>
  <si>
    <t>db803797-8671-4fdf-8858-28985d0f6a62</t>
  </si>
  <si>
    <t>2476_29</t>
  </si>
  <si>
    <t>2476/29</t>
  </si>
  <si>
    <t>Title Registration Act, No. 21 of 1998, Section 14 — Commissioner of Title Settlement decision (Gazette 2476/29)</t>
  </si>
  <si>
    <t>m1/raw/2476_29.pdf</t>
  </si>
  <si>
    <t>ශ්‍රී ලංකා ප්‍රජාාාා්ත්‍රික සමාජාවාදී ජානරජායේ ගැසට් පත්‍රය
අති විශෙෂ
අිං 2476/29 - 2026 ශපබරවාරි 1 9 වැනි බ්‍රහසසපප ති්දදා - 2026.02.19
(රජායේ බලයපිට ප්‍රසිද්ධ කරන ලදී)
III වැනි ශ ොටස - ඉඩම්
හිමි ම් ලියාපදිංචි කිරීම
1998 අිං 21 දරන හිමි ම් ලියාපදිංචි කිරීශම් පනත
14 වැනි වග්තතිය යටයේ හිමිකම් නිරවුල් කිරීයම් යකොමසාරිස්යේ තීරණ ප්‍රකායය
ම යම පාායේ මනුවවර ිසස්්‍රික්කයකයේ ගඉ ළනා යකළරයා ප්‍රාය්ධය ය යල්කම් යකොට්සාසයේ කංක 17 - ගම්යපොලයවල ග්‍රාම නිල ාරි
යකොට්සාසය තුා ගම්යපොලයවල නමැති ගයම් පිහිටියා වූ ද, කංක 327 47 දරන කැඩැස්ාර සිදතියයම් කලාප කංක 2 හි කැබලි කංක 1 : 42, 1 : 145
සන 1 : 155 දරන ළඩම් යකොටස් යලස යප්තුවම් යකොට ඇේාා වූ ද, හිමිකම් පෑම් ළිසරිපේ කරන යලස දැුවම් යදමි්ත 1998 කංක 21 දරන හිමිකම්
ලියාපිසංචි කිරීයම් පනයේ 12 වැනි වග්තතිය ප්‍රකාර 272207202 වැනි ිසන කංක 22 8992 දරන ගැසට් පත්‍රයේ යථා පරිිස පාකරන ලද කංක 3297 92
දරන දැ්තවීයම් සඳන්ත යකොට ඇේාා වූ ද, ළඩම් යකොටස්වල කයිතිය සම්බ්ත යය්ත යමහි උපයල්ඛනයේ දැක්කයයවන මායේ තීරණ 1998 කංක 21
දරන හිමිකම් ලියාපිසංචි කිරීයම් පනයේ 14 වැනි වග්තතියය්ත පනා කේස්ත කරන මා යවා පවරා ඇති බලාල ප්‍රකාර, මම යමයි්ත ප්‍රකාය කරමි0
පී.සී.ඩී. සිශේරා,
ළඩම් හිමිකම් නිරවුල් කිරීයම් යකොමසාරිස් ජානරාල්0
2725 යනොවැම්බර් මස 11 වැනි ිසන,
බේාරමුල්ල,
රජාමල්වේා පාර,
"මිහිකා මැදුර", කංක 12779 ,
ළඩම් හිමිකම් නිරවුල් කිරීයම් යදපාර්ායම්්තතුයේ දී ය0
1A - G 046321 - 03 (2026/02)
සැ0යු0- යමම කති වියයෂ ගැසට් පත්‍රය www.documents.gov.lk යවබ් කඩවියය්ත බාගා කා නැක0
2 A III ශ ොටස : ශ්‍රී කිං ා ‍රජාාතා්ද්‍රි සමාජාවා ජ ජානරජාශඅ අති විශෙෂ සැස ප ප‍රය - 2026.02.19
උපශේඛනය
විනිය්චය්ත සන යම් වියය ෂ යනළ
පත්‍ර කංකය ළ්තයජා්තෂ්ත ානනම් යපෞ්ධගලික
සන ළඩම් වියාලේවය කයිතිකරුයේ9කයිතිකරුව්තයේ ජාාතික කයිති කයිතියේ කයේක්කයෂායව්ත ඇති නීතියකට යටේ
යකොටයස සම්පූර්ණ නම9නම් සන ලිපිනය නැඳුුවම්පේ ළඩයම් ප්තතිය සන උකස් සන බැඳීම් නම් ඒ පිළිබඳ
කංකය කංකය ප්‍රමාණය ස්වභාවය පිළිබඳ විස්ාර විස්ාර
(යනක්කයටයාර්)
1:42 70114 කුරුදුවේා ප්‍රාය්ධය ය සභාව සම්පූර්ණ ප්‍රථම ප්තතිය _ මාර්ගය
1:145 70771 පු්ධගලික සම්පූර්ණ ප්‍රථම ප්තතිය _ කාණුව
1:155 707772 රජාය සම්පූර්ණ ප්‍රථම ප්තතිය _ විවෘා මුඩුබිම
EOG 02 - 0159/1
1998 අිං 21 දරන හිමි ම් ලියාපදිංචි කිරීශම් පනත
14 වැනි වග්තතිය යටයේ හිමිකම් නිරවුල් කිරීයම් යකොමසාරිස්යේ තීරණ ප්‍රකායය
ම යම පාායේ මනුවවර ිසස්්‍රික්කයකයේ ගඉ ළනා යකළරයා ප්‍රාය්ධය ය යල්කම් යකොට්සාසයේ කංක 17 - ගම්යපොලයවල ග්‍රාම නිල ාරි
යකොට්සාසය තුා ගම්යපොලයවල නමැති ගයම් පිහිටියා වූ ද, කංක 327 47 දරන කැඩැස්ාර සිදතියයම් කලාප කංක 8 හි කැබලි කංක 1 : 2 දරන ළඩම්
යකොටස් යලස යප්තුවම් යකොට ඇේාා වූ ද, හිමිකම් පෑම් ළිසරිපේ කරන යලස දැුවම් යදමි්ත 1998 කංක 21 දරන හිමිකම් ලියාපිසංචි කිරීයම් පනයේ
12 වැනි වග්තතිය ප්‍රකාර 2724072028 වැනි ිසන කංක 23 948 දරන ගැසට් පත්‍රයේ යථා පරිිස පාකරන ලද කංක 329793 දරන දැ්තවීයම් සඳන්ත
යකොට ඇේාා වූ ද, ළඩම් යකොටස්වල කයිතිය සම්බ්ත යය්ත යමහි උපයල්ඛනයේ දැක්කයයවන මායේ තීරණ 1998 කංක 21 දරන හිමිකම් ලියාපිසංචි
කිරීයම් පනයේ 14 වැනි වග්තතියය්ත පනා කේස්ත කරන මා යවා පවරා ඇති බලාල ප්‍රකාර, මම යමයි්ත ප්‍රකාය කරමි0
පී.සී.ඩී.සිශේරා,
ළඩම් හිමිකම් නිරවුල් කිරීයම් යකොමසාරිස් ජානරාල්0
2725 යනොවැම්බර් මස 11 වැනි ිසන,
බේාරමුල්ල,
රජාමල්වේා පාර,
"මිහිකා මැදුර", කංක 12779 ,
ළඩම් හිමිකම් නිරවුල් කිරීයම් යදපාර්ායම්්තතුයේ දී ය0
උපශේඛනය
විනිය්චය්ත සන යම් වියය ෂ යනළ
පත්‍ර කංකය ළ්තයජා්තෂ්ත ානනම් යපෞ්ධගලික
සන ළඩම් වියාලේවය කයිතිකරුයේ9කයිතිකරුව්තයේ ජාාතික කයිති කයිතියේ කයේක්කයෂායව්ත ඇති නීතියකට යටේ
යකොටයස සම්පූර්ණ නම9නම් සන ලිපිනය නැඳුුවම්පේ ළඩයම් ප්තතිය සන උකස් සන බැඳීම් නම් ඒ පිළිබඳ
කංකය කංකය ප්‍රමාණය ස්වභාවය පිළිබඳ විස්ාර විස්ාර
(යනක්කයටයාර්)
1: 2 707944 චම්පා ිසල්රුක්කයෂි යබළකලමුල්ල 59 12 8V සම්පූර්ණ ප්‍රථම ප්තතිය කැබලි කංක මාර්ග _
කංක 54, ගම්යපොලයවල, ගම්යපොල පරවයයාා කයිතිය
නා ජාල නල විදුලි
රැනැ්ත ඇදීම ආදී
යපොදුයේ පාවිච්චි
කිරීයම් යපොදු
පරවයයාා ද
සහිාව
EOG 02 - 0159/2
ශ්‍රී ලංකා රජායේ මු‍රණ යදපාර්ායම්්තතුයේ මු‍රණය කරන ලදී0</t>
  </si>
  <si>
    <t>677cb824-6749-4ae8-bdcd-e9b370ed985b</t>
  </si>
  <si>
    <t>2476_30</t>
  </si>
  <si>
    <t>2476/30</t>
  </si>
  <si>
    <t>Title Registration Act, No. 21 of 1998, Section 14 — Commissioner of Title Settlement's decision under Section 14 (Gazette 2476/30)</t>
  </si>
  <si>
    <t>m1/raw/2476_30.pdf</t>
  </si>
  <si>
    <t>0313d94f-9bc0-4c05-8975-763139d6e117</t>
  </si>
  <si>
    <t>2476_31</t>
  </si>
  <si>
    <t>2476/31</t>
  </si>
  <si>
    <t>Title Registration Act, No. 21 of 1998, Section 14 — Commissioner of Title Settlement's decision under Section 14 (Gazette 2476/31)</t>
  </si>
  <si>
    <t>m1/raw/2476_31.pdf</t>
  </si>
  <si>
    <t>0faaca16-169a-4b40-b571-1cba83576b70</t>
  </si>
  <si>
    <t>2476_32</t>
  </si>
  <si>
    <t>2476/32</t>
  </si>
  <si>
    <t>Title Registration Act, No. 21 of 1998, Section 14 — Commissioner of Title Settlement's decision under Section 14 (Gazette 2476/32)</t>
  </si>
  <si>
    <t>m1/raw/2476_32.pdf</t>
  </si>
  <si>
    <t>98d6fe5b-ba48-414e-aa26-9463eaf1fc4f</t>
  </si>
  <si>
    <t>2476_33</t>
  </si>
  <si>
    <t>2476/33</t>
  </si>
  <si>
    <t>Local Authorities Elections (Amendment) Act No. 22 of 2012, Section 9 — Notice (Gazette 2476/33)</t>
  </si>
  <si>
    <t>2012 අංක 22 දරන පළාත් පාලන ඡන්ද විමසීම් (සංශෝධන) පනත, 9 වැනි වගන්තිය යටතේ දැන්වීම</t>
  </si>
  <si>
    <t>2012 ஆம் ஆண்டின் 22 ஆம் இலக்க உள்ளூராட்சி தேர்தல்கள் (திருத்தச்) சட்டம், 9 ஆம் பிரிவின் கீழ் அறிவித்தல்</t>
  </si>
  <si>
    <t>Notice issued by the District Returning Officer under Section 9 of the Local Authorities Elections (Amendment) Act No. 22 of 2012. Part IV — Local Government. Dated 13 February 2026.</t>
  </si>
  <si>
    <t>m1/raw/2476_33.pdf</t>
  </si>
  <si>
    <t>Y%S ,xld m%cd;dka;%sl iudcjd§ ckrcfha .eiÜ m;%h
w;s úfYI
,yqi; fr ; rdehaf Nrhryprf ; FbauR thj; j; khdg ; gjj; phpif
mjp tpNr\khdJ
wxl 2476$33 - 2026 fmnrjdß ui 19 jeks n%yiam;skaod - 2026'02'19
2476/ 33 Mk; ,yf;fk; - 2026 Mk; Mz;L ngg;GUtup khjk; 19 Me; jpfjp tpahof;fpoik
(murhq;fj;jpd; mjpfhuj;Jld; gpuRupf;fg;gl;lJ)
gFjp IV(M) - cs;~uhl;rp
cs;~u; mjpfhu rigfs; Nju;jy;fs; fl;lisr;rl;l mwptpj;jy;fs;
(262 Mk; mj;jpahakhd) cs;~uhl;rp kd;wj; Nju;jy;fs; fl;lisr; rl;lk;
2012 ஆம் ஆண்டின் 22 ஆம் இலக்க, உள்ளூர் அதிிகார சபைைகள் (திிருத்திச்) சட்டத்திின் திிருத்திியபைைக்கப்ைட்ட
(262 ஆம் அத்திியாயம்) உள்ளூராட்சி ைன்றத் தேதிர்தில்கள் கட்டபைைச் சட்டத்திின் 66எ(1) ஆம் உை ைிாிவிின் கீழ்
செசய்யப்ைடும் அறிவிித்தில்
2012 ஆம் ஆண்டின் 22 ஆம் இலக்க, உள்ளூர் அதிிகார சபைைகள் (திிருத்திச்) சட்டத்திின் திிருத்திியபைைக்கப்ைட்ட (262 ஆம்
அத்திியாயம்) உள்ளூராட்சி ைன்றத் தேதிர்தில்கள் கட்டபைைச் சட்டத்திின் 66எ(1) உை ைிாிவிின் கீழ் எனக்கு விழங்கப்ைட்டுள்ை
அதிிகாரத்திின் மூலம் செசயற்ைடுத்துவிதின் ைின் ைலாங்செகாபைட நகர சபைையின் திவிிசாைர் செதிாிவு செசய்யப்ைட்ட ைதிவிிநிபைல
உறுப்ைினர் உறுதிியாக கீழ் குறிப்ைிடப்ைடும் அட்டவிபை�யில் குறிப்ைிடப்ைட்டுள்ை விபைகயில் இருக்கும் என்ைபைதி இதின் மூலம்
அறிவிிக்கிதேறன்.
எஎல்ல்.. எஎம்ம்.. பீபீ.. டடப்ப்.. ைைண்ண்டடாாரர,,
உள்ளூராட்சி ஆபை�யாைர்,
சைரகமுவி ைாகா�ம்.
உள்ளூராட்சித் திிபை�க்கைம்,
சைரகமுவி ைாகா� சபைைக் கட்டிடத் செதிாகுதிி,
புதிிய நகரம்,
இரத்திினபுாி,
2026, செைப்புருவிாி 13.
1A - PG 7535 — 04 (2026/02)
,t; mjp tpNrl tu;j;jkhdpia www.documents.gov.lk vd;Dk; ,izaj;jsj;jpypUe;J gjptpwf;fk; nra;a KbAk;.
2A IV ^wd&amp; fldgi - Y%S ,xld m%cd;dka;%sl iudcjd§ ckrcfha w;s úfYI .eiÜ m;%h - 2026'02'19
gFjp IV (M) - ,yq;ifr; rdehaf Nrhryprf; FbauR tu;j;jkhdg; gj;;jpupif - mjp tpNr\khdJ - 2026.02.19
அஅட்ட்டடவிவிபைபை��
செதிாிவு
உள்ளூராட்சி செதிாிவு
ைாவிட்டம் செசய்யப்ைட்ட செதிாிவு செசய்யப்ைட்ட உறுப்ைினர்கள்
ைன்றத்திின் செையர் செசய்யப்ைட்ட திிகதிி
ைதிவிிகள்
இரத்திினபுாி ைலாங்செகாபைட திவிிசாைர் நிகலன்திவித்தேதி தேைசல துஷாார ஜயதேசன 2026.02.12
நகர சபைை
EOG 02 - 0170
,yq;if murhq;f mr;Rj; jpizf;fsj;jpw; gjpg;gpf;fg;ngw;wJ.</t>
  </si>
  <si>
    <t>30a4dd32-7289-462a-b274-ce308ce25a60</t>
  </si>
  <si>
    <t>2476_34</t>
  </si>
  <si>
    <t>2476/34</t>
  </si>
  <si>
    <t>Title Registration Act, No. 21 of 1998, Section 14 — Commissioner of Title Settlement's decision under Section 14 (Gazette 2476/34)</t>
  </si>
  <si>
    <t>m1/raw/2476_34.pdf</t>
  </si>
  <si>
    <t>45c8684d-4fc5-4912-9026-a790fecf7016</t>
  </si>
  <si>
    <t>2476_35</t>
  </si>
  <si>
    <t>2476/35</t>
  </si>
  <si>
    <t>Title Registration Act, No. 21 of 1998, Section 14 — Commissioner of Title Settlement's decision under Section 14 (Gazette 2476/35)</t>
  </si>
  <si>
    <t>m1/raw/2476_35.pdf</t>
  </si>
  <si>
    <t>ea0daf62-0ba3-4fa2-b237-2d88e617a65b</t>
  </si>
  <si>
    <t>2476_36</t>
  </si>
  <si>
    <t>2476/36</t>
  </si>
  <si>
    <t>Title Registration Act, No. 21 of 1998, Section 14 — Commissioner of Title Settlement's decision under Section 14 (Gazette 2476/36)</t>
  </si>
  <si>
    <t>m1/raw/2476_36.pdf</t>
  </si>
  <si>
    <t>3502b946-6099-4593-a399-601e7a4a5c7d</t>
  </si>
  <si>
    <t>2476_37</t>
  </si>
  <si>
    <t>2476/37</t>
  </si>
  <si>
    <t>Title Registration Act, No. 21 of 1998, Section 14 — Commissioner of Title Settlement's decision under Section 14 (Gazette 2476/37)</t>
  </si>
  <si>
    <t>m1/raw/2476_37.pdf</t>
  </si>
  <si>
    <t>91315207-169f-418b-8657-d4f2a4c5b075</t>
  </si>
  <si>
    <t>2476_38</t>
  </si>
  <si>
    <t>2476/38</t>
  </si>
  <si>
    <t>Title Registration Act, No. 21 of 1998, Section 14 — Commissioner of Title Settlement decision (Gazette 2476/38)</t>
  </si>
  <si>
    <t>Commissioner of Title Settlement's decision under Section 14 of the Title Registration Act No. 21 of 1998. Part III — Lands. Land parcels with references to Gazette 2025-00-03 and 2417/19 of 21 January 2025. Land cadastral references 1130, 1131, 1132, 1133, 1134, 1135, 1136, 1137, 1138, 1139, 1140, 1141, 1142, 1143, 1144, 1145, 1146, 1147, 1148, 1149, 1151, 1152, 1153, 1154, 1156. Dated 03 January 2026.</t>
  </si>
  <si>
    <t>m1/raw/2476_38.pdf</t>
  </si>
  <si>
    <t>ශී ලංකා පජාතාන්තික සමාජවාදී ජනරජෙය් ගැසට් පතය
අති විෙශෂ
අංක 2476/38 - 2026 ෙපබරවාරි මස 19 වැනි බහස්පතින්දා - 2026.02.19
(රජෙය් බලයපිට පසිද්ධ කරන ලදී)
III වැනි ෙකොටස - ඉඩම්
හිමිකම් ලියාපදිංචි කිරීම
1998 අංක 21 දරන හිමිකම් ලියාපදිංචි කිරීෙම් පනත
14 වැනි වගන්තිය යටෙත් හිමිකම් නිරවුල් කිරීෙම් ෙකොමසාරිස්ෙග් තීරණ පකාශය
සබරගමු ව පළාෙත්, රත්නපුර දිසති් ක්කෙය්, පැල්මඩුල්ල පාෙද්ශීය ෙල්කම් ෙකොට්ඨාසෙය්, අංක 178ඒ - ෙගෝණකුඹුර ගාම නිලධාරි ෙකොට්ඨාසය
තුළ ෙගෝණකුඹුර නමැති ගෙම් පිහිටියා වූ ද අංක 620705 දරන කැඩැස්තර සිතියෙම් කලාප අංක 9 හි කැබලි අංක 1:130, 1:131, 1:132, 1:133,
1:134, 1:135, 1:136, 1:137, 1:138, 1:139, 1:140, 1:141, 1:142, 1:143, 1:145, 1:146, 1:147, 1:148, 1:149, 1:150, 1:151, 1:152, 1:153,
1:154, 1:155, 1:156 දරන ඉඩම් ෙකොටස් ෙලස ෙපන්නුම් ෙකොට ඇත්තා වූ ද, හිමිකම්පෑම් ඉදිරිපත් කරන ෙලස දැනුම් ෙදමින් 1998 අංක 21 දරන
හිමිකම් ලියාපදිංචි කිරීෙම් පනෙත් 12 වැනි වගන්තිය පකාර 2025-01-03 වැනි දින අංක 2417/39 දරන ගැසට් පතෙය් යථා පරිදි පළකරන ලද අංක
62/0851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ජුනි මස 03 වැනි දින,
බත්තරමුල්ල,
රජමල්වත්ත පාර,
"මිහිකත මැදුර", අංක 1200/6,
ඉඩම් හිමිකම් නිරවුල් කිරීෙම් ෙදපාර්තෙම්න්තුෙව් දී ය.
1A - G 046329 - 03 (2026 /02)
සැ.යු.- ෙමම අති විෙශෂ ගැසට් පතය www.documents.gov.lk ෙවබ් අඩවිෙයන් බාගත කළ හැක.
2 A III ෙකොටස - ශී ලංකා පජාතාන්තික සමාජවාදී ජනරජෙය් අති විෙශෂ ගැසට් පතය - 2026.02.19
උපෙල්ඛනය
———————————————————————————————–--———————————————————————————————————————————————————
විනිශ්චයන් සහ යම් විෙශේෂ ෙහෝ
පත අංකය ඉන්ෙජන්ෂන් තහනම් ෙපෞද්ගලික
සහ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 : 130 0.0199 සභාපති - ඉඩම් පතිසංස්කරණ _ සම්පූර්ණ පථම පන්තිය _ _
ෙකොමිෂන් සභාව
අංක 475, කඩුෙවල පාර,
ගෙන්ෙහේන, බත්තරමුල්ල
1 : 131 0.3122 සභාපති - ඉඩම් පතිසංස්කරණ _ සම්පූර්ණ පථම පන්තිය _ _
ෙකොමිෂන් සභාව
අංක 475, කඩුෙවල පාර,
ගෙන්ෙහේන, බත්තරමුල්ල
1 : 132 0.1317 සභාපති - ඉඩම් පතිසංස්කරණ _ සම්පූර්ණ පථම පන්තිය _ _
ෙකොමිෂන් සභාව
අංක 475, කඩුෙවල පාර,
ගෙන්ෙහේන, බත්තරමුල්ල
1 : 133 0.1249 සභාපති - ඉඩම් පතිසංස්කරණ _ සම්පූර්ණ පථම පන්තිය _ _
ෙකොමිෂන් සභාව
අංක 475, කඩුෙවල පාර,
ගෙන්ෙහේන, බත්තරමුල්ල
1 : 134 0.1451 සභාපති - ඉඩම් පතිසංස්කරණ _ සම්පූර්ණ පථම පන්තිය _ _
ෙකොමිෂන් සභාව
අංක 475, කඩුෙවල පාර,
ගෙන්ෙහේන, බත්තරමුල්ල
1 : 135 0.1075 සභාපති - ඉඩම් පතිසංස්කරණ _ සම්පූර්ණ පථම පන්තිය _ _
ෙකොමිෂන් සභාව
අංක 475, කඩුෙවල පාර,
ගෙන්ෙහේන, බත්තරමුල්ල
1 : 136 0.0649 සභාපති - ඉඩම් පතිසංස්කරණ _ සම්පූර්ණ පථම පන්තිය _ _
ෙකොමිෂන් සභාව
අංක 475, කඩුෙවල පාර,
ගෙන්ෙහේන, බත්තරමුල්ල
1 : 137 0.0786 සභාපති - ඉඩම් පතිසංස්කරණ _ සම්පූර්ණ පථම පන්තිය _ _
ෙකොමිෂන් සභාව
අංක 475, කඩුෙවල පාර,
ගෙන්ෙහේන, බත්තරමුල්ල
1 : 138 0.0490 සභාපති - ඉඩම් පතිසංස්කරණ _ සම්පූර්ණ පථම පන්තිය _ _
ෙකොමිෂන් සභාව
අංක 475, කඩුෙවල පාර,
ගෙන්ෙහේන, බත්තරමුල්ල
1 : 139 0.1044 සභාපති - ඉඩම් පතිසංස්කරණ _ සම්පූර්ණ පථම පන්තිය _ _
ෙකොමිෂන් සභාව
අංක 475, කඩුෙවල පාර,
ගෙන්ෙහේන, බත්තරමුල්ල
1 : 140 0.1123 සභාපති - ඉඩම් පතිසංස්කරණ _ සම්පූර්ණ පථම පන්තිය _ _
ෙකොමිෂන් සභාව
අංක 475, කඩුෙවල පාර,
ගෙන්ෙහේන, බත්තරමුල්ල
1 : 141 0.1141 සභාපති - ඉඩම් පතිසංස්කරණ _ සම්පූර්ණ පථම පන්තිය _ _
ෙකොමිෂන් සභාව
අංක 475, කඩුෙවල පාර,
ගෙන්ෙහේන, බත්තරමුල්ල
1 : 142 0.0371 සභාපති - ඉඩම් පතිසංස්කරණ _ සම්පූර්ණ පථම පන්තිය _ _
ෙකොමිෂන් සභාව
අංක 475, කඩුෙවල පාර,
ගෙන්ෙහේන, බත්තරමුල්ල
1 : 143 0.3905 සභාපති - ඉඩම් පතිසංස්කරණ _ සම්පූර්ණ පථම පන්තිය _ _
ෙකොමිෂන් සභාව
අංක 475, කඩුෙවල පාර,
ගෙන්ෙහේන, බත්තරමුල්ල
III ෙකොටස - ශී ලංකා පජාතාන්තික සමාජවාදී ජනරජෙය් අති විෙශෂ ගැසට් පතය - 2026.02.19 3 A
උපෙල්ඛනය
———————————————————————————————–--———————————————————————————————————————————————————
විනිශ්චයන් සහ යම් විෙශේෂ ෙහෝ
පත අංකය ඉන්ෙජන්ෂන් තහනම් ෙපෞද්ගලික
සහ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 : 145 0.3283 සභාපති - ඉඩම් පතිසංස්කරණ _ සම්පූර්ණ පථම පන්තිය කැබලි අංක 119 හි
ෙකොමිෂන් සභාව මාර් ග පරවශතා
අංක 475, කඩුෙවල පාර, අයිතිය සමග
ගෙන්ෙහේන, බත්තරමුල්ල
1 : 146 0.0390 සභාපති - ඉඩම් පතිසංස්කරණ _ සම්පූර්ණ පථම පන්තිය කැබලි අංක 119 හි
ෙකොමිෂන් සභාව මාර් ග පරවශතා
අංක 475, කඩුෙවල පාර, අයිතිය සමග
ගෙන්ෙහේන, බත්තරමුල්ල
1 : 147 0.0820 සභාපති - ඉඩම් පතිසංස්කරණ _ සම්පූර්ණ පථම පන්තිය කැබලි අංක 162 හි
ෙකොමිෂන් සභාව මාර් ග පරවශතා
අංක 475, කඩුෙවල පාර, අයිතිය සමග
ගෙන්ෙහේන, බත්තරමුල්ල
1 : 148 0.1451 සභාපති - ඉඩම් පතිසංස්කරණ _ සම්පූර්ණ පථම පන්තිය කැබලි අංක 162 සහ
ෙකොමිෂන් සභාව 119 හි මාර් ග පරවශතා
අංක 475, කඩුෙවල පාර, අයිතිය සමග
ගෙන්ෙහේන, බත්තරමුල්ල
1 : 149 0.1451 සභාපති - ඉඩම් පතිසංස්කරණ _ සම්පූර්ණ පථම පන්තිය කැබලි අංක 150 හි
ෙකොමිෂන් සභාව මාර් ග පරවශතා
අංක 475, කඩුෙවල පාර, අයිතිය සමග
ගෙන්ෙහේන, බත්තරමුල්ල
1 : 150 0.0277 සභාපති - ඉඩම් පතිසංස්කරණ _ සම්පූර්ණ පථම පන්තිය _ කැබලි අංක
ෙකොමිෂන් සභාව 149, 151,
අංක 475, කඩුෙවල පාර, 153 සහ 154
ගෙන්ෙහේන, බත්තරමුල්ල ට පෙව්ශ
විම සඳහා
1 : 151 0.0196 සභාපති - ඉඩම් පතිසංස්කරණ _ සම්පූර්ණ පථම පන්තිය කැබලි අංක 150 හි
ෙකොමිෂන් සභාව මාර් ග පරවශතා
අංක 475, කඩුෙවල පාර, අයිතිය සමග
ගෙන්ෙහේන, බත්තරමුල්ල
1 : 152 0.1038 සභාපති - ඉඩම් පතිසංස්කරණ _ සම්පූර්ණ පථම පන්තිය කැබලි අංක 106 හි
ෙකොමිෂන් සභාව මාර් ග පරවශතා
අංක 475, කඩුෙවල පාර, අයිතිය සමග
ගෙන්ෙහේන, බත්තරමුල්ල
1 : 153 0.1011 සභාපති - ඉඩම් පතිසංස්කරණ _ සම්පූර්ණ පථම පන්තිය කැබලි අංක 150 හි
ෙකොමිෂන් සභාව මාර් ග පරවශතා
අංක 475, කඩුෙවල පාර, අයිතිය සමග
ගෙන්ෙහේන, බත්තරමුල්ල
1 : 154 0.0956 සභාපති - ඉඩම් පතිසංස්කරණ _ සම්පූර්ණ පථම පන්තිය කැබලි අංක 150 හි
ෙකොමිෂන් සභාව මාර් ග පරවශතා
අංක 475, කඩුෙවල පාර, අයිතිය සමග
ගෙන්ෙහේන, බත්තරමුල්ල
1 : 155 0.1104 සභාපති - ඉඩම් පතිසංස්කරණ _ සම්පූර්ණ පථම පන්තිය කැබලි අංක 119 හි
ෙකොමිෂන් සභාව මාර් ග පරවශතා
අංක 475, කඩුෙවල පාර, අයිතිය සමග
ගෙන්ෙහේන, බත්තරමුල්ල
1 : 156 0.0857 සභාපති - ඉඩම් පතිසංස්කරණ _ සම්පූර්ණ පථම පන්තිය කැබලි අංක 119 හි
ෙකොමිෂන් සභාව මාර් ග පරවශතා
අංක 475, කඩුෙවල පාර, අයිතිය සමග
ගෙන්ෙහේන, බත්තරමුල්ල
EOG 02 - 0167/01
4 A III ෙකොටස - ශී ලංකා පජාතාන්තික සමාජවාදී ජනරජෙය් අති විෙශෂ ගැසට් පතය - 2026.02.19
1998 අංක 21 දරන හිමිකම් ලියාපදිංචි කිරීෙම් පනත
14 වැනි වගන්තිය යටෙත් හිමිකම් නිරවුල් කිරීෙම් ෙකොමසාරිස්ෙග් තීරණ පකාශය
සබරගමු ව පළාෙත්, රත්නපුර දිස්තික්කෙය්, පැල්මඩුල්ල පාෙද්ශීය ෙල්කම් ෙකොට්ඨාසෙය්, අංක 178ඒ - ෙගෝණකුඹුර ගාම නිලධාරි ෙකොට්ඨාසය
තුළ ෙගෝණකුඹුර,ෙදමනගම්මන නමැති ගෙම් පිහිටියා වූ ද අංක 620705 දරන කැඩැස්තර සිතියෙම් කලාප අංක 12 හි කැබලි අංක 1:97, 1:126,
1:128, 1:133, 1:135, 1:136, 1:145, 1:181 දරන ඉඩම් ෙකොටස් ෙලස ෙපන්නුම් ෙකොට ඇත්තා වූ ද, හිමිකම්පෑම් ඉදිරිපත් කරන ෙලස දැනුම් ෙදමින්
1998 අංක 21 දරන හිමිකම් ලියාපදිංචි කිරීෙම් පනෙත් 12 වැනි වගන්තිය පකාර 2025-02-25 වැනි දින අංක 2425/31 දරන ගැසට් පතෙය් යථා පරිදි
පළකරන ලද අංක 62/0889 දරන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පී.සී.ඩී. සිෙග්රා,
ඉඩම් හිමිකම් නිරවුල් කිරීෙම් ෙකොමසාරිස් ජනරාල්
2025 ජුනි මස 03 වැනි දින,
බත්තරමුල්ල,
රජමල්වත්ත පාර,
"මිහිකත මැදුර", අංක 1200/6,
ඉඩම් හිමිකම් නිරවුල් කිරීෙම් ෙදපාර්තෙම්න්තුෙව් දී ය.
උපෙල්ඛනය
———————————————————————————————–--———————————————————————————————————————————————————
විනිශ්චයන් සහ යම් විෙශේෂ ෙහෝ
පත අංකය ඉන්ෙජන්ෂන් තහනම් ෙපෞද්ගලික
සහ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
(ෙහක්ටයාර්)
1 : 97 0.0078 රජය _ සම්පූර්ණ පථම පන්තිය _
1 : 126 0.0054 රජය _ සම්පූර්ණ පථම පන්තිය _
1 : 128 0.0045 රජය _ සම්පූර්ණ පථම පන්තිය _
1 : 133 0.0297 රජය _ සම්පූර්ණ පථම පන්තිය _ කැබලි අංක
131, 134,
135, 148,
149 සහ 171
ට පෙව්ශ
විම සඳහා
1 : 135 0.0645 රජය _ සම්පූර්ණ පථම පන්තිය _
1 : 136 0.0053 රජය _ සම්පූර්ණ පථම පන්තිය _ කැබලි අංක
138, 137
සහ 140 ට
පෙව්ශ විම
සඳහා
1 : 145 0.0275 රජය _ සම්පූර්ණ පථම පන්තිය _ කැබලි අංක
139, 144
සහ 146 ට
පෙව්ශ විම
සඳහා
1 : 181 0.0019 රජය _ සම්පූර්ණ පථම පන්තිය _ කැබලි අංක
177, 179
සහ 181 ට
පෙව්ශ විම
සඳහා
EOG 02 - 0167/02
ශී ලංකා රජෙය් මුදණ ෙදපාර්තෙම්න්තුෙව් මුදණය කරන ලදී.</t>
  </si>
  <si>
    <t>d476a2e7-41c2-4cb8-bcee-754f58aedb3e</t>
  </si>
  <si>
    <t>2476_39</t>
  </si>
  <si>
    <t>2476/39</t>
  </si>
  <si>
    <t>Title Registration Act, No. 21 of 1998, Section 14 — Commissioner of Title Settlement decision (Gazette 2476/39)</t>
  </si>
  <si>
    <t>Commissioner of Title Settlement's decision under Section 14 of the Title Registration Act No. 21 of 1998. Part III — Lands. Land in Block 13 of Cadastral Map 830077, references Gazette 2415/06 of 18 December 2024 - Notice 83/0472.</t>
  </si>
  <si>
    <t>m1/raw/2476_39.pdf</t>
  </si>
  <si>
    <t>ශ්‍රී ඼ංකා ප්‍රජාාාා්ත්‍රික වමාජාලාදී ජානරජායේ ගැවට් පත්‍රය
The Gazette of the Democratic Socialist Republic of Sri Lanka
අති විශෙෂ EXTRAORDINARY
අංක 2476/39 - 2026 ශෙබරවාරි මස 19 වැනි බ්‍රහසෙප ති්දා ා - 2026.02.19
No. 2476/39 – THURSDAY, FEBRUARY 19,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Nos. 1:10, 1:15, 1:39, 1:43,
1:51, 1:53, 1:56, 1:63, 1:75, 1:78, 1:89, 1:91, 1:92, 1:94, 1:96, 1:102, 1:103, 1:104 of Block 13, contained in the Cadastral Map No.
830077 , situated in the Village of Mahasenpura within the Grama Niladhari Division of No. 11 Mahasenpura in the Divisional
Secretary's Division of Thissamaharama, in the District of Hambanthota, in the Province of Southern, referred to in Notice No. 83/0472
calling for claims to land parcels which was duly published in the Gazette No. 2415/06 of 16th December, 2024 in terms of Section 12
of the Registration of Title Act, No.21 of 1998.
P.C. D. Sigera,
Commissioner General of Land Title Settlement.
Land Title Settlement Department,
No. 1200/6, “Mihikatha Medura”,
Rajamalwatta Road,
Battaramulla.
11th November, 2025
1A - G 046330 - 03 (02/2026)
N.B.– This Gazette Extraordinary can be downloaded from www.documents.gov.lk
2 A III යකොටව - ශ්‍රී ඼ංකා ප්‍රජාාාා්ත්‍රික වමාජාලාදී ජානරජායේ ි ව ශෙය඾඿ ගැවට් පත්‍රය - 2026.02.19
Part III – GAZETTE EXTRA ORDINARY OF THE DEMOCRATIC SOCIALIST REPUBLIC OF SRI LANKA – 19.02.2026
SCHEDULE
Particulars Particulars
Sheet Class and regarding if
No. and National Extent Nature Mortgages subject
Parcel Extent Full Name/s of Owner/s Identity Owned of Encumbrances to any
No. and Address Card No. Title pending form of
Adjudication special or
and personal
Injunction law
(Hectare)
1 : 10 0.8536 The State _ Full 1st Class _
1 : 15 0.3799 The State _ Full 1st Class _
1 : 39 0.5632 The State _ Full 1st Class _
1 : 43 0.5915 The State _ Full 1st Class _
1 : 51 0.2455 The State _ Full 1st Class _
1 : 53 0.5330 The State _ Full 1st Class _
1 : 56 0.3696 The State _ Full 1st Class _
1 : 63 0.2529 The State _ Full 1st Class _
1 : 75 0.6135 The State _ Full 1st Class _
1 : 78 0.3693 The State _ Full 1st Class _
1 : 89 0.0099 The State _ Full 1st Class _
1 : 91 0.2384 The State _ Full 1st Class _
1 : 92 0.0232 The State _ Full 1st Class _
1 : 94 0.3559 The State _ Full 1st Class _
1 : 96 0.2448 The State _ Full 1st Class _
1 : 102 0.3325 The State _ Full 1st Class _
1 : 103 15.5775 The State _ Full 1st Class _
1 : 104 0.0869 The State _ Full 1st Class _
EOG 02 - 0168/1
________________________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Nos. 1:30, 1:31, 1:33, 1:45,
1:46, 1:47, 1:48, 1:54, 1:68, 1:69, 1:72, 1:73of Block 10, contained in the Cadastral Map No. 830077 , situated in the Village of
Mahasenpura within the Grama Niladhari Division of No. 11 Mahasenpura in the Divisional Secretary's Division of Thissamaharama,
in the District of Hambanthota, in the Province of Southern, referred to in Notice No. 83/0480 calling for claims to land parcels which
was duly published in the Gazette No. 2415/06 of 16th December, 2024 in terms of Section 12 of the Registration of Title Act, No.21 of
1998.
P.C. D. Sigera,
Commissioner General of Land Title Settlement.
Land Title Settlement Department,
No. 1200/6, “Mihikatha Medura”,
Rajamalwatta Road,
Battaramulla.
11th November, 2025
III යකොටව - ශ්‍රී ඼ංකා ප්‍රජාාාා්ත්‍රික වමාජාලාදී ජානරජායේ ි ව ශෙය඾඿ ගැවට් පත්‍රය - 2026.02.19 3 A
Part III – GAZETTE EXTRA ORDINARY OF THE DEMOCRATIC SOCIALIST REPUBLIC OF SRI LANKA – 19.02.2026
SCHEDULE
Particulars Particulars
Sheet Class and regarding if
No. and National Extent Nature Mortgages subject
Parcel Extent Full Name/s of Owner/s Identity Owned of Encumbrances to any
No. and Address Card No. Title pending form of
Adjudication special or
and personal
Injunction law
(Hectare)
1 : 30 0.0306 The State _ Full 1st Class _
1 : 31 0.2443 The State _ Full 1st Class _
1 : 33 0.7594 The State _ Full 1st Class _
1 : 45 0.4432 The State _ Full 1st Class _
1 : 46 0.7195 The State _ Full 1st Class _
1 : 47 0.0945 The State _ Full 1st Class _
1 : 48 0.6251 The State _ Full 1st Class _
1 : 54 0.9685 The State _ Full 1st Class _ Possessed by
Mirisse Lankage
Nishaman
Anuradha
under the licence
No DST 5076
Subject to the
conditions of
L.D.O
1 : 68 0.4518 The State _ Full 1st Class _
1 : 69 0.1157 The State _ Full 1st Class _
1 : 72 1.0068 The State _ Full 1st Class _
1 : 73 1.0265 The State _ Full 1st Class _ Possessed by
Edirisingha
Arachchilage
Nalanee
Shyama Edirisingha
under the licence
No ලම් ඉවුර/
කු.ග.05,472
Subject to the
conditions of
L.D.O
EOG 02 - 0168/2
PRINTED AT THE DEPARTMENT OF GOVERNMENT PRINTING, SRI LANKA.</t>
  </si>
  <si>
    <t>949b2edb-d837-4444-b1e2-ea07d1265c3f</t>
  </si>
  <si>
    <t>2476_41</t>
  </si>
  <si>
    <t>2476/41</t>
  </si>
  <si>
    <t>Provincial Councils Act, No. 42 of 1987 — Appointment under Section 32(1) (Gazette 2476/41)</t>
  </si>
  <si>
    <t>m1/raw/2476_41.pdf</t>
  </si>
  <si>
    <t>Y%S ,xld m%cd;dka;%sl iudcjd§ ckrcfha .eiÜ m;%h
w;s úfYI
,yq;ifr; rdehaf Nrhryprf; FbauR th;j;jkhdg; gj;jphpif
mjp tpNr\khdJ
wxl 2476$41 - 2026 fmnrjdß ui 20 jeks isl=rdod - 2026'02'20
2476/ 41 Mk; ,yf;fk; - 2026 Mk; Mz;L ngg;GUtup khjk; 20 Me; jpfjp nts;spf;fpoik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6666அஅ((11))((அஅ)) ஆஆம்ம்
ைைிிாாிிவிவிிின்ன் காகாீீழ்ழ் கா காலல��ன்ன்ைைிிந்ந்துதுணுணுலலவிவிவிவி ைைிிரரதேதேதிதிசச சசபைபைைையாயாிின்ன் உஉறுறுப்ப்ைைிினனர்ர் ஒஒருருவிவிாாிின்ன் ைைதிதிவிவிிியாயாிி��ாானன லலவிவிற்ற்றிறிிிடடத்த்பைபைதிதி
நிநிிிரரப்ப்புபுதிதில்ல்
காகாலல��ன்ன்ைைிிந்ந்துதுணுணுலலவிவிவிவி ைைிிரரதேதேதிதிசச சசபைபைைையாயாிின்ன் லலதிதிாாிிந்ந்லலதிதிடுடுத்த்துது அஅனுனுப்ப்ைைப்ப்ைைட்ட்டட உஉறுறுப்ப்ைைிினனர்ர் ஒஒருருவிவிாாிின்ன் ைைதிதிவிவிிி தேதேகாகாட்ட்டுடு விவிிி��காகாிியாயாபைபைைை
காகாாாரரணணைைாாகாகா லலவிவிற்ற்றிறிிிடடைைாாயாயாிிருருக்க்காகாிின்ன்றிறிதிதிாாதிதி��ாாலுலும்ம்;;
தேதேைைற்ற்குகுறிறிிித்த்திதி காகாட்ட்டடபைபைைைச்ச் சசட்ட்டடத்த்திதிிின்ன் 6666அஅ((11))((அஅ)) ஆஆம்ம் ைைிிாாிிவிவிிின்ன் காகாீீழ்ழ்,, கா காலல��ன்ன்ைைிிந்ந்துதுணுணுலலவிவிவிவி ைைிிரரதேதேதிதிசச சசபைபைைையாயாிின்ன் இஇ��க்க்காகாம்ம் 0033
துதுட்ட்டுடுலலவிவிவிவி விவிட்ட்டடாாரரத்த்திதிிிற்ற்குகு லலதிதிாாிிவுவு லலசசய்ய்யாயாப்ப்ைைட்ட்டட தேதேசசாாைைசசிிறிறிிிதேதேகாகா ஜஜயாயாநிநிாாத்த் சசந்ந்திதினுனுவிவின்ன் ரராாஜஜைைக்க்ஷஷ எஎன்ன்ைைவிவிர்ர் அஅங்ங்காகாம்ம் விவிகாகாிிக்க்காகாிின்ன்றிறி தேதேதிதிசசிியாயா
ைைக்க்காகாள்ள் சசக்க்திதிிி எஎன்ன்றிறி அஅங்ங்காகாீீகாகாாாிிக்க்காகாப்ப்ைைட்ட்டட அஅரரசசிியாயால்ல் காகாட்ட்சசிியாயாிின்ன் லலசசயாயா��ாாைைர்ர் முமுப்ப்ைைதுது ((3300)) நிநிாாட்ட் காகாாா��க்க்லலகாகாடுடுவுவுக்க்குகுள்ள்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திதிபைபைகாகாபைபைைையுயுபைபைடடயாயா தேதேவிவிட்ட்ைைாாைைலலரராாருருவிவிரராாகாகா,,
உஉறுறுப்ப்ைைிினனலலரராாருருவிவிரராாகாகா தேதேதிதிர்ர்ந்ந்லலதிதிடுடுக்க்காகாப்ப்ைைட்ட்டடவிவிலலரரனன லலவிவிைைிிப்ப்ைைடுடுத்த்திதிப்ப்ைைடட தேதேவிவிண்ண்டிடியாயாவிவிருரும்ம் அஅக்க்காகாட்ட்சசிிபைபையாயாச்ச் தேதேசசர்ர்ந்ந்திதிவிவிருருைைாானன
காகாலல��ன்ன்ைைிிந்ந்துதுணுணுலலவிவிவிவி ைைிிரரதேதேதிதிசச சசபைபைைை இஇ��க்க்காகாம்ம் 0033 துதுட்ட்டுடுலலவிவிவிவி விவிட்ட்டடாாரரத்த்திதிிின்ன் உஉறுறுப்ப்ைைிினனர்ர் லலதிதிாாடடர்ர்ைைாாகாகா திதிீீர்ர்ைைாானனிிக்க்குகுைைாாறுறு எஎன்ன்னனாால்ல்
ைைணணிிக்க்காகாப்ப்ைைட்ட்டுடுள்ள்ைைாாரராாதிதி��ாாலுலும்ம் ;;
தேதேைைதேதே�� கூகூறிறிப்ப்ைைட்ட்டட அஅங்ங்காகாீீகாகாாாிிக்க்காகாப்ப்ைைட்ட்டட அஅரரசசிியாயால்ல் காகாட்ட்சசிியாயாிின்ன் லலசசயாயா��ாாைைாாிினனாால்ல் அஅவ்வ்லலவிவிற்ற்றிறிிிடடத்த்பைபைதிதி நிநிிிரரப்ப்புபுவிவிதிதிற்ற்காகாாாகாகா ைைிிரராாஹ்ஹ்ைைனன
முமுதிதிிியாயான்ன்தேதேசச��ாாதேதேகாகா திதிதேதேனனாாஜஜாா குகுைைாாாாிி திதிிி��காகாரரத்த்னன எஎன்ன்ைைவிவிபைபைரரப்ப் லலைையாயார்ர் குகுறிறிிித்த்துது நிநிிியாயாைைிிக்க்குகும்ம் திதிைைதுது முமுடிடிவிவிிிபைபைனன அஅறிறிிிவிவிிித்த்துதுள்ள்ைைாாரராாதிதி��ாாலுலும்ம்;;
காகா லல��ன்ன்ைைிிந்ந்துதுணுணுலலவிவிவிவி ைைிிரரதேதேதிதிசச சசபைபைைையாயாிின்ன் லலதிதிாாிிவிவித்த்திதிாாட்ட்சசிி அஅலுலுவிவி��ரராானன நுநுவிவிரர ைைக்க்ஷஷ தேதேகாகா ைைிிவிவிிிதுதுருரு இஇன்ன்திதிிிகாகா ரரவிவிிிரராாஜ்ஜ் குகுணணரரத்த்னன
ஆஆகாகாிியாயா நிநிாான்ன்,, உஉள்ள்ளூளூர்ர் அஅதிதிிிகாகாாாரர சசபைபைைைகாகாள்ள் தேதேதிதிர்ர்திதில்ல்காகாள்ள் காகாட்ட்டடபைபைைைச்ச் சசட்ட்டடத்த்திதிிின்ன் ((226622 ஆஆம்ம் அஅத்த்திதிிியாயாாாயாயாைைாானன)) 6666அஅ((11))((அஅ)) எஎன்ன்னுனும்ம்
ைைிிாாிிவிவிிின்ன் நிநிிியாயாதிதிிிகாகாைைிின்ன்ைைடிடி லலசசயாயாற்ற்ைைட்ட்டுடு ைைிிரராாஹ்ஹ்ைைனன முமுதிதிிியாயான்ன்தேதேசச��ாாதேதேகாகா திதிதேதேனனாாஜஜாா குகுைைாாாாிி திதிிி��காகாரரத்த்னன எஎன்ன்ைைவிவிர்ர் காகா லல��ன்ன்ைைிிந்ந்துதுணுணுலலவிவிவிவி
ைைிிரரதேதேதிதிசச சசபைபைைை இஇ��க்க்காகாம்ம் 0033 துதுட்ட்டுடுலலவிவிவிவி விவிட்ட்டடாாரரத்த்திதிிிற்ற்குகு உஉறுறுப்ப்ைைிினனர்ர் ஒஒருருவிவிரராாகாகாத்த் தேதேதிதிர்ர்ந்ந்லலதிதிடுடுக்க்காகாப்ப்ைைட்ட்டுடுள்ள்ைைதிதிாாகாகா இஇத்த்திதிாால்ல்
லலவிவிைைிிப்ப்ைைடுடுத்த்துதுகாகாிின்ன்தேதேறிறின்ன்..
எஎன்ன்.. பீபீ.. பீபீ.. ஐஐ.. ஆஆர்ர்.. குகுணணரரத்த்னன,,
லலதிதிாாிிவிவித்த்திதிாாட்ட்சசிி அஅலுலுவிவி��ர்ர் ,,
காகாலல��ன்ன்ைைிிந்ந்துதுணுணுலலவிவிவிவி ைைிிரரதேதேதிதிசச சசபைபைைை..
ைைாாவிவிட்ட்டடத்த் தேதேதிதிர்ர்திதில்ல்காகாள்ள் அஅலுலுவிவி��காகாம்ம்,,
EE
22
அஅ
00
OO
நுநு
22
GG
66
ரர
,,
ாா
00
லல
திதி
22
ைை
புபு
--
ப்ப்
ரர
00
ம்ம்
புபு
11
,,
77
ருரு
11
விவிாாிி 1199..
1A - PG 7536 — 08 (2026/02) ,yq;if murhq;f mr;Rj; jpizf;fsj;jpw; gjpg;gpf;fg;ngw;wJ.
,t; mjptpNrl tu;j;jkhdpia www.documents.gov.lk vDk; ,izaj;jsj;jpypUe;J gjptpwf;fk; nra;a KbAk;.</t>
  </si>
  <si>
    <t>2ae752d9-4f16-4b8a-8162-04de6c02cbd3</t>
  </si>
  <si>
    <t>2476_42</t>
  </si>
  <si>
    <t>2476/42</t>
  </si>
  <si>
    <t>Sri Lanka Industrial Development Authority — Constitution Section 154 Notice (Gazette 2476/42)</t>
  </si>
  <si>
    <t>ශ්‍රී ලංකා කර්මාන්ත සංවර්ධන අධිකාරිය - ව්‍යවස්ථාවේ 154 වැනි වගන්තිය යටතේ දැන්වීම</t>
  </si>
  <si>
    <t>இலங்கை கைத்தொழில் அபிவிருத்தி அதிகார சபை - அரசியலமைப்பின் 154 ஆம் உறுப்புரையின் கீழ் அறிவித்தல்</t>
  </si>
  <si>
    <t>Notice under Article 154 of the Constitution concerning the Eastern Provincial Council. References Gazette 2386/13 of 1 April 2024. Part IV(A) — Provincial Councils.</t>
  </si>
  <si>
    <t>m1/raw/2476_42.pdf</t>
  </si>
  <si>
    <t>IV ^w&amp; fldgi - Y%S ,xld m%cd;dka;%sl iudcjd§ ckrcfha w;s úfYI .eiÜ m;%h - 2026'02'20 1 A
gFjp IV (m) - ,yq;ifr; rdehaf Nrhryprf; FbauR tu;j;jkhdg; gj;;jpupif - mjp tpNr\khdJ - 2026.02.20
Y%S ,xld m%cd;dka;%sl iudcjd§ ckrcfha .eiÜ m;%h
w;s úfYI
,yq;ifr; rdehaf Nrhryprf; FbauR th;j;jkhdg; gj;jphpif
mjp tpNr\khdJ
wxl 2476$42 - 2026 fmnrjdß ui 20 jeks isl=rdod - 2026'02'20
2476/ 42 Mk; ,yf;fk; - 2026 Mk; Mz;L ngg;GUtup khjk; 20 Me; jpfjp nts;spf;fpoik
(murhq;fj;jpd; mjpfhuj;Jld; gpuRupf;fg;gl;lJ)
gFjp IV(m) - khfhz rigfs;
MSeu;fspd; epakdq;fSk; gpwTk;
fpof;F khfhz khfhz rig
கிகிிிழழக்க்குகு மாமாாாகிகிாாணண ஆஆளுளுநநாாிின்ன் பிபிிிரரகிகிடடனனம்ம்
இலங்கைகிச் சனநாயகி சசாசலிசக் குடியரசு அரசியலகைமாப்பிின் பிதிின்மூன்றாாவது திிருத்தித்திின் 154இ உறுப்புகைரயின் கிீழ்
கிிழக்கு மாாகிாண ஆளுநர் கிலாநிதிி ஜயந்தி லால் ரத்னசசகிர ஆகிிய எனக்கு வழங்கிப்பிட்டுள்ள தித்துவங்கிளின் பிிரகிாரம்,
2026.01.01 ஆந் திிகிதிி முதில் அமுலுக்கு வரும் வகைகியில் 2386/13 ஆம் இலக்கி 2024 ஆம் ஆண்டு சமா மாாதிம் 30 ஆந் திிகிதிிய
அதிிவிச�ட வர்த்திமாானப் பித்திிாிகைகி அட்டவகைண II இன் ததிாடர் இலக்கிம் 04 மாற்றும் 06 இல் பிிரசுாிக்கிப்பிட்ட கிிழக்கு
மாாகிாண அகைமாச்சுக்கிள் மாற்றும் நிறுவனங்கிளுக்குப் பிதிிலாகி கிீழ்வரும் அட்டவகைண II இல் கிாட்டப்பிட்டுள்ளவாறு கிிழக்கு
மாாகிாண அகைமாச்சுக்கிள் மாற்றும் நிறுவனங்கிள் தசயற்பிடுகிின்றாது என்பிதிகைன இத்திால் அறாியத்திருகிின்சறான்.
கிலாநிதிி ஜஜயயந்ந்திதி லலாால்ல் ரரத்த்னனசசசசகிகிரர,,
கிிழக்கு மாாகிாண ஆளுநர்.
கிிழக்கு மாாகிாண ஆளுநர் தசயலகிம்,
உவர்மாகைல,
திிருசகிாணமாகைல,
2026, த பிப்புருவாி 18.
1A - PG 7528 — 04 (2026/02)
,t; mjp tpNrl tu;j;jkhdpia www.documents.gov.lk vd;Dk; ,izaj;jsj;jpypUe;J gjptpwf;fk; nra;a KbAk;.
2 A IV ^w&amp; fldgi - Y%S ,xld m%cd;dka;%sl iudcjd§ ckrcfha w;s úfYI .eiÜ m;%h - 2026'02'20
gFjp IV (m) - ,yq;ifr; rdehaf Nrhryprf; FbauR tu;j;jkhdg; gj;;jpupif - mjp tpNr\khdJ - 2026.02.20
அஅட்ட்டடவவகைகைணண IIII
ததிாடர் அகைமாச்சுக்கிள் மாற்றும் நிறுவனங்கிளின் திிகைணக்கிளங்கிள்/ நிறுவனங்கிள்/ நியதிிச்சட்ட சகைபிகிள் மாற்றும்
இலக்கிம் பிரப்புக்கிள் பிிாிவுகிள்
01 வீதிி அபிிவிருத்திி, நீர்ப்பிாசனம், வீதிி அபிிவிருத்திித் திிகைணக்கிளம்
வீதிிப் பியணிகிள் சபிாக்குவரத்து, நீர்ப்பிாசனத் திிகைணக்கிளம்
கிட்டடங்கிள் மாற்றும் கிட்டடங்கிள் திிகைணக்கிளம்
நிர்மாாணம், வீடகைமாப்பு, கிிராமாிய மாின்சாரம், வீதிிப் பியணிகிள் சபிாக்குவரத்து அதிிகிார சகைபி
மாற்றும் நீர் வழங்கில் அகைமாச்சு வீடகைமாப்பு அதிிகிார சகைபி
கிிராமாிய மாின்சாரம்
02 பிிரதிமா தசயலாளர் தசயலகிம் பிிரதிிப் பிிரதிமா தசயலாளர் தசயலகிம் - நிருவாகிம்
பிிரதிிப் பிிரதிமா தசயலாளர் தசயலகிம் - நிதிி
பிிரதிிப் பிிரதிமா தசயலாளர் தசயலகிம் - திிட்டமாிடல்
பிிரதிிப் பிிரதிமா தசயலாளர் தசயலகிம் - தபிாறாியியல் சசகைவ
பிிரதிிப் பிிரதிமா தசயலாளர் தசயலகிம் - ஆளணி மாற்றும் பியிற்சி
இகைறாவாித் திிகைணக்கிளம்
மாாகிாண உள்ளகிக் கிணக்கிாய்வுத் திிகைணக்கிளம்
சமாாட்டார் சபிாக்குவரத்துத் திிகைணக்கிளம்
முகிாகைமாத்துவ அபிிவிருத்திிப் பியிற்சிப் பிிாிவு
சட்டப் பிிாிவு
EOG 02 - 0148
,yq;if murhq;f mr;Rj; jpizf;fsj;jpw; gjpg;gpf;fg;ngw;wJ.</t>
  </si>
  <si>
    <t>ba6b2344-85ea-4c77-b35b-e58ca606873f</t>
  </si>
  <si>
    <t>2476_44</t>
  </si>
  <si>
    <t>2476/44</t>
  </si>
  <si>
    <t>Civil Aviation Act, No. 14 of 2010 — Aviation safety / implementing standards (Gazette 2476/44)</t>
  </si>
  <si>
    <t>2010 අංක 14 දරන සිවිල් ගුවන් සේවා පනත - ක්‍රියාත්මක කිරීමේ ප්‍රමිති</t>
  </si>
  <si>
    <t>2010 ஆம் ஆண்டின் 14 ஆம் இலக்க குடிசார் வான் சேவை சட்டம் - செயற்பாட்டு தரநிலைகள்</t>
  </si>
  <si>
    <t>Notice issued under Section 120(1) of the Civil Aviation Act, No. 14 of 2010 by the Director-General of Civil Aviation publishing implementing standards governing aircraft operations, licensing and aviation safety.</t>
  </si>
  <si>
    <t>m1/raw/2476_44.pdf</t>
  </si>
  <si>
    <t>0d0f7124-f18c-4f0a-87ef-bf2c3c5b8636</t>
  </si>
  <si>
    <t>2476_45</t>
  </si>
  <si>
    <t>2476/45</t>
  </si>
  <si>
    <t>Title Registration Act, No. 21 of 1998, Section 14 — Commissioner of Title Settlement's decision under Section 14 (Gazette 2476/45)</t>
  </si>
  <si>
    <t>m1/raw/2476_45.pdf</t>
  </si>
  <si>
    <t>8951c2fa-26a9-4a66-a25f-33445e8adbab</t>
  </si>
  <si>
    <t>2477_01</t>
  </si>
  <si>
    <t>2477/01</t>
  </si>
  <si>
    <t>Sri Lanka Standards / Food Act No. 235 — Notice (Gazette 2477/01)</t>
  </si>
  <si>
    <t>Notice under the relevant 17th sub-act (Act No. 235). References Gazette 2026.02.16 amendment and 2476/01. Signed by S.B. Aragoda. Part I — General.</t>
  </si>
  <si>
    <t>m1/raw/2477_01.pdf</t>
  </si>
  <si>
    <t>Y%S ,xld m%cd;dka;%sl iudcjd§ ckrcfha .eiÜ m;%h
w;s úfYI
,yq;ifr; rdehaf Nrhryprf; FbauR th;j;jkhdg; gj;jphpif
mjp tpNr\khdJ
wxl 2477/01 - 2026 fmnrjdß ui 23 jeks i÷od - 2026'02'23
2477/01 Mk; ,yf;fk; - 2026 Mk; Mz;L ngg;GUtup khjk; 23 Me; jpfjp jpq;fl;fpoik
(murhq;fj;jpd; mjpfhuj;Jld; gpuRupf;fg;gl;lJ)
gFjp I : njhFjp (I) - nghJ
murhq;f mwptpj;jy;fs;
R. g. eh. V877 /gPvy; 305.
Rq;f mwptpj;jy; (nghJ)
Rq;ff; fl;lisr; rl;lk; (mj;jpahak; 235)
me;epar; nryhtzp tPjk;
Rq;ff; fl;lisr; rl;lj;jpd; (235 Mk; mj;jpahak;) 17 Mk; gpuptpdhy; vdf;F mspf;fg;gl;l jj;Jtq;fis mbg;gilahff;
nfhz;L&gt; v];. gP. mWf;nfhl&gt; Rq;fg; gzpg;ghsu; ehafk; Mfpa ehd;&gt; 2026.02.23 Me; jpfjpapypUe;J mKYf;F tUk;
tifapy&gt;; Rqf; f ;fll; isr ;rll; jj; pd ;foP ;(mjj; pahak ;235) mwtplgg; Lk ;Rqf; j ;juP i; tfs&gt;; mguhjqf; s ; kwW; k ; gwpKjyf; s ;
ahTk ; kWgff; mll; tizapy ;jugg; lL; ss; nryhtzp tjP qf; spy ;nrYjj; gg; lYk ;ngwgg; lYk ; NtzL; k ;vd ,jj; hy;
mwpaj;jUfpd;Nwd;.
2026.02.16 Me; jpfjpa 2476/ 01 Mk; ,yf;f tu;j;jkhdpapy; ntspaplg;gl;l nryhtzp tPjq;fs; njhlu;gpyhd
mwptpj;jy; ,j;jhy; ,uj;Jr; nra;ag;gLfpwJ.
v];. gP. mWf;nfhl&gt;
Rq;fg; gzpg;ghsu; ehafk;.
,yq;ifr; Rq;fk;&gt;
nfhOk;G 11&gt;
2026&gt; ngg;GUthp 20.
1A - G 46332 — 09 (2026/02)
,t ;mjptpNrl tuj;j;khdpia www.documents.gov.lk vDk ;,izajj;sjj;pypUeJ; gjptpwff;k ;nraa; KbAk.;
2A I fldgi ( ^I&amp; fPoh - YS% ,xld m%cd;dka;s%l iudcjd§ ckrcfha w;s úfYI .eiÜ m;%h - 2026'02'23
gFjp I : njhFjp (I) - ,yq;ifr; rdehaf Nrhryprf; FbauR tu;j;jkhdg; gj;;jpupif - mjp tpNr\khdJ - 2026.02.23
ml;ltiz
2026.02.23 njhlf;fk; 2026.03.01 Me ; jpfjp tiu mKYfF; tUk ; mee; par;
nryhtzp
njhlu; ehL ehl;Lf; ehzak; ehzaf; nryhtzp
,y. FwpaPL FwpaPL tPjk;
( &amp;gh;)
1. mT];jpNuypah AU mT];jpNuypad; nlhyu ; AUD 219.9167
2. g`;Nud; BH g`;Nud; jpdhu ; BHD 830.3978
3. gq;fshNj\; BD gq;fshNj\; lhf;fh BDT 2.5596
4. gpNwrpy ; BR gpNwrpy; wpay ; BRL 60.0370
5. GW}iz BN GW}iz nlhyu ; BND 246.5883
6. fdlh CA fNdbad; nlhyu; CAD 228.5185
7. rPdh CN rPdh a{thd; (xg;N\h) CNH 45.3699
8. rPdh CN rPdh a{thd; (nudk; pdg; p) CNY 45.3443
9. nrf;Nfh];rpNyhthf;fpah CZ nrf;Nfh];rpNyhthf;fpah
nfhWdh CZK 15.1798
10. nld;khu;f; DK ldp\; FNuhzu; DKK 49.2649
11. vfpg;J EG vfpg;J gTz; EGP 6.5799
12. A{Nuh tyak ; A{Nuh EUR 368.1037
13. fhdh GH fhdh rPb GHS 28.4721
14. n`hq;nfhq; HK n`hq; nfhq; nlhyu; HKD 40.0687
15. `q;Nfup HU `q;Nfup Nghupd;l ; HUF 0.9703
16. ,e;jpah IN ,e;jpa &amp;gh INR 3.4527
17. ,e;NjhNd\pah ID ,e;NjhNd\pad; Wgpah IDR 0.0185
18. &lt;uhd; IR &lt;uhd; wpahy; IRR 0.0000
19. [g;ghd; JP [g;ghdpa nad; JPY 2.0181
20. N[hu;jhd; JO N[hu;jhd; jpdhu ; JOD 441.7229
21. nfhupah KR nfhupad; nthd ; KRW 0.2159
22. Fitj; KW Fitj; jpdhu; KWD 1,021.1115
23. kf;fhc MO kf;fhc glhfh MOP 38.9018
24. kNyrpah MY kNyrpah wpd;[pw ; MYR 80.0484
25. khiyjPT MV khiyjPT Wg;gpah MVR 20.5779
26. nkhwPrpa] ; MU nkhwPrpa]; &amp;gh MUR 6.7779
27. kpad;khu ; MM kpad;khu; fpahj ; MMK 0.1490
28. Neghsk; NP Neghsk; &amp;gha; NPR 2.1606
29. epA{rpyhe;J NZ epA{rpyhe;J nlhyu ; NZD 186.0400
30. ie[Pupah NG ie[Pupah iewh NGN 0.2327
31. Nehu;Nt NO Nehu;Nt FNuhd; NOK 32.6731
32. Xkhd; OM Xkhd; wpahy ; OMR 813.2713
33. ghfp];jhd; PK ghfp];jhd; &amp;gha; PKR 1.1193
34. gg;Tth epA{fpdpah PG gg;Tth epA{ fpdpah fpdh PGK 72.9194
35. gpypg;igd;]; PH gpypg;igd;]; ngNrh PHP 5.3859
36. Nghye;J PL Nghye;J ];Nyhl;b PLN 87.1495
37. fl;lhu; QA fl;lhu; wpahy; QAR 85.8943
38. u\;ah RU u\;ah &amp;gpy; RUB 4.0785
I fldgi ( ^I&amp; fPoh - YS% ,xld m%cd;dka;s%l iudcjd§ ckrcfha w;s úfYI .eiÜ m;%h - 2026'02'23 3A
gFjp I : njhFjp (I) - ,yq;ifr; rdehaf Nrhryprf; FbauR tu;j;jkhdg; gj;;jpupif - mjp tpNr\khdJ - 2026.02.23
ml;ltiz (njhlh;r;rp)
njhlu; ehL ehl;Lf; ehzak; ehzaf; nryhtzp
,y. FwpaPL FwpaPL tPjk;
(,yq;if &amp;ghtpy;)
39. rt{jp mNugpah SA rt{jp mNugpah wpahy ; SAR 83.4670
40. rPnry;] ; SC rPnry;]; &amp;gha ; SCR 20.7430
41. rpq;fg;G{u; SG rpq;fg;G{u; nlhyu; SGD 246.5883
42. njd; Mgpupf;fh ZA njd; Mgpupf;fh nud;l ; ZAR 19.3585
43. RtPld ; SE RtPb\; FNuhzu; SEK 34.4505
44. Rtpw;ru;yhe;J CH Rtp]; gpuhq ; CHF 403.4706
45. jha;thd ; TW jha;thd; nlhyu ; TWD 9.9074
46. jha;yhe;J TH jha;yhe;J ghj; THB 10.0350
47. If;fpa muG ,uhr;rpak ; AE If;fpa muG ,uhr;rpak;
jpu;fhk ; AED 85.2418
48. If;fpa ,uhr;rpak ; GB ];Nuypq; gTz; GBP 420.7973
49. If;fpa mnkupf;fh ehLfs; US mnkupf;fd; nlhyu; USD 313.0932
50. rk;gpah ZM rk;gpah f;tr;rh (Gjpa) ZMK 16.6031
EOG 02 - 0175
,yqi; f murhqf; mrR; j ;jpizff; sjj; pw ;gjpgg; pff; gn; gww; J.</t>
  </si>
  <si>
    <t>276e3f4a-3c61-4745-ad6b-3a55fd0e73b3</t>
  </si>
  <si>
    <t>2477_03</t>
  </si>
  <si>
    <t>2477/03</t>
  </si>
  <si>
    <t>Provincial Councils Act, No. 42 of 1987 — Provincial appointment / notice (Gazette 2477/03)</t>
  </si>
  <si>
    <t>m1/raw/2477_03.pdf</t>
  </si>
  <si>
    <t>37211ec7-83b2-4363-8f84-4f364f651354</t>
  </si>
  <si>
    <t>2477_04</t>
  </si>
  <si>
    <t>2477/04</t>
  </si>
  <si>
    <t>Land Acquisition Act (Chapter 460), Section 5 — Notice of Intended Acquisition (Gazette 2477/04)</t>
  </si>
  <si>
    <t>m1/raw/2477_04.pdf</t>
  </si>
  <si>
    <t>III ෙක(cid:675)ටස - (cid:636) ලංකා (cid:541)ජාතා(cid:486)(cid:437)ක සමාජවා(cid:463) ජනරජෙ(cid:591) අ(cid:431) (cid:618)ෙශෂ ගැස(cid:376) ප(cid:436)ය - 2026.02.10 1A
ப(cid:8065)தி III - இல(cid:8113)ைக(cid:8114) சனநாயக ேசாச(cid:8098)ச(cid:8112) (cid:8065)(cid:8074)யர(cid:8070) வ(cid:8125)(cid:8119)தமான(cid:8122) ப(cid:8119)திாிைக - அதி விேசஷமான(cid:8080) - 2026.02.10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2477/04 - 2026 ෙපබරවා(cid:604) මස 23 වැ(cid:487) ස(cid:511)දා - 2026.02.23
2477/04 ஆ(cid:8123) இல(cid:8112)க(cid:8123) - 2026 ஆ(cid:8123) ஆ(cid:8118)(cid:8076) ெப(cid:8122)(cid:8087)(cid:8094)வாி மாத(cid:8123) 23 ஆ(cid:8120) திகத தி(cid:8113)க(cid:8117)கிழைம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02. (cid:8080)(cid:8118)(cid:8076) “B” - ெஹா(cid:8122)ட(cid:8121) வ(cid:8119)த (கள இல. 6 - ப(cid:8113)களா
பிாி(cid:8107)) - வி(cid:8132)தீரண(cid:8123) : 0.548 ெஹ(cid:8112)டயா(cid:8125)
வட(cid:8112)(cid:8065): ேதா(cid:8117)ட(cid:8122) பாைத; கிழ(cid:8112)(cid:8065): ேதா(cid:8117)ட(cid:8122) பாைத ம(cid:8126)(cid:8096)(cid:8123)
5 ஆ(cid:8123) பிாிவி(cid:8121) ப(cid:8074)யான பிரகடன(cid:8123)
(cid:8106)தி ((cid:8106)தி அபிவி(cid:8094)(cid:8119)தி அதிகார சைப); ெத(cid:8126)(cid:8065): (cid:8106)தி ((cid:8106)தி
அபிவி(cid:8094)(cid:8119)தி அதிகார சைப) ம(cid:8126)்(cid:8096)(cid:8123) ெஹா(cid:8122)ட(cid:8121) வ(cid:8119)த (கள
கீ(cid:8129)(cid:8112)கா(cid:8078)(cid:8123) காணி ஒ(cid:8094) பகிர(cid:8113)க(cid:8119) ேதைவ(cid:8112)(cid:8065) ேவ(cid:8118)(cid:8074)யதா(cid:8124) இல. 6 - ப(cid:8113)களா பிாி(cid:8107)); ேம(cid:8126)(cid:8065): ெஹா(cid:8122)ட(cid:8121) வ(cid:8119)த (கள இல.
இ(cid:8094)(cid:8112)கி(cid:8121)றெத(cid:8121)(cid:8096)(cid:8123) காணி எ(cid:8076)(cid:8119)த(cid:8126) ச(cid:8117)ட(cid:8119)தி(cid:8121) ஏ(cid:8126)பா(cid:8076)களி(cid:8121) 6 - ப(cid:8113)களா பிாி(cid:8107)) ம(cid:8126)(cid:8096)(cid:8123) ேதா(cid:8117)ட(cid:8122) பாைத.
பிரகார(cid:8123) அ(cid:8080) எ(cid:8076)(cid:8119)(cid:8080)(cid:8112) ெகா(cid:8128)ள(cid:8122)ப(cid:8076)ெம(cid:8121)(cid:8096)(cid:8123) காணி
எ(cid:8076)(cid:8119)த(cid:8126) ச(cid:8117)ட(cid:8119)தி(cid:8121) 5 ஆ(cid:8123) பிாிவி(cid:8121) (1) ஆ(cid:8123) உபபிாிவி(cid:8121) 03. (cid:8080)(cid:8118)(cid:8076) “C” - ெஹா(cid:8122)ட(cid:8121) வ(cid:8119)த (கள இல. 8 - ப(cid:8113)களா
பிாி(cid:8107)) - வி(cid:8132)தீரண(cid:8123) : 0.014 ெஹ(cid:8112)டயா(cid:8125)
பிரகார(cid:8123) கம(cid:8119)ெதாழி(cid:8127), கா(cid:8127)நைட வள(cid:8113)க(cid:8128), காணி ம(cid:8126)(cid:8096)(cid:8123)
வட(cid:8112)(cid:8065): ெஹா(cid:8122)ட(cid:8121) வ(cid:8119)த (கள இல. 8- ப(cid:8113)களா பிாி(cid:8107))
நீ(cid:8125)(cid:8122)பாசன அைம(cid:8114)ச(cid:8125) (cid:8065)ரகமேக ெதா(cid:8121) லா(cid:8127) கா(cid:8120)த ஆகிய
ம(cid:8126)(cid:8096)(cid:8123) ேதா(cid:8117)ட(cid:8122) பாைத; கிழ(cid:8112)(cid:8065): ேதா(cid:8117)ட(cid:8122) பாைத; ெத(cid:8126)(cid:8065):
நா(cid:8121), இ(cid:8119)தா(cid:8127) பிரகடன(cid:8123) ெச(cid:8124)கி(cid:8121)ேற(cid:8121).
ேதா(cid:8117)ட(cid:8122) பாைத; ேம(cid:8126)(cid:8065): ெஹா(cid:8122)ட(cid:8121) வ(cid:8119)த (கள இல. 8-
ப(cid:8113)களா பிாி(cid:8107)).
ஊவா மாகாண(cid:8119)தி(cid:8121), ப(cid:8080)ைள மாவ(cid:8117)ட(cid:8119)தி(cid:8127), (cid:8100)(cid:8078)கைல
பிரேதச ெசயலாள(cid:8125) பிாிவி(cid:8127), ப(cid:8117)(cid:8074)(cid:8122)ெபால ேகாரைள சி(cid:8096) ேக.(cid:8074).லா(cid:8127) கா(cid:8120)த,
பிாிவி(cid:8127). ெஹா(cid:8122)ட(cid:8121) கிராம அ(cid:8100)வல(cid:8125) பிாிவி(cid:8127), யப(cid:8123)ம கம(cid:8119)ெதாழி(cid:8127), கா(cid:8127)நைட வள(cid:8113)க(cid:8128),
காணி ம(cid:8126)(cid:8096)(cid:8123) நீ(cid:8125)(cid:8122)பாசன அைம(cid:8114)ச(cid:8125).
உடகம கிராம(cid:8119)தி(cid:8127) அைம(cid:8120)(cid:8080)(cid:8128)ள ப(cid:8080)ைள நில அளைவயாள(cid:8125)
நாயக(cid:8119)தினா(cid:8127) 2005.11.23 ஆ(cid:8120) திகதி தயாாி(cid:8112)க(cid:8122)ப(cid:8117)ட
என(cid:8080) இல. : LD/05/2005/H/397.
ஆர(cid:8123)ப வைரபட இல. B/LNG/2005/347 இ(cid:8127) (cid:8065)றி(cid:8122)பிட(cid:8122)ப(cid:8117)ட
பிரேதச ெசயலாளாி(cid:8121) இல(cid:8112)க(cid:8123):BD/LG/LND/2/9/8.
காணி(cid:8119)(cid:8080)(cid:8118)(cid:8076)களி(cid:8121) எ(cid:8127)ைலக(cid:8128) :
கம(cid:8119)ெதாழி(cid:8127), கா(cid:8127)நைட வள(cid:8113)க(cid:8128),
காணி ம(cid:8126)(cid:8096)(cid:8123) நீ(cid:8125)(cid:8122)பாசன அைம(cid:8114)(cid:8070),
01. (cid:8080)(cid:8118)(cid:8076) “A” - ெஹா(cid:8122)ட(cid:8121) வ(cid:8119)த (கள இல. 6 - ப(cid:8113)களா “மிஹிகத ெம(cid:8080)ர”,
பிாி(cid:8107)) - வி(cid:8132)தீரண(cid:8123) : 0.304 ெஹ(cid:8112)டயா(cid:8125) இரஜம(cid:8127)வ(cid:8119)த (cid:8106)தி,
வட(cid:8112)(cid:8065): ெஹா(cid:8122)ட(cid:8121) வ(cid:8119)த (கள இல. 6 - ப(cid:8113)களா பிாி(cid:8107)); ப(cid:8119)தர(cid:8089)(cid:8127)ல,
2025, திெச(cid:8123)ப(cid:8125) 19
கிழ(cid:8112)(cid:8065): ெஹா(cid:8122)ட(cid:8121) வ(cid:8119)த (கள இல. 6 - ப(cid:8113)களா பிாி(cid:8107))
ம(cid:8126)(cid:8096)(cid:8123) ேதா(cid:8117)ட(cid:8122) பாைத; ெத(cid:8126)(cid:8065): ெஹா(cid:8122)ட(cid:8121) வ(cid:8119)த (கள இல.
EOG 02- 0179
6 - ப(cid:8113)களா பிாி(cid:8107)); ேம(cid:8126)(cid:8065):ெஹா(cid:8122)ட(cid:8121) வ(cid:8119)த (கள இல. 6 -
ப(cid:8113)களா பிாி(cid:8107)).
1A - G46334- 18 (2026/02) இல(cid:8113)ைக அரசா(cid:8113)க அ(cid:8114)(cid:8070)(cid:8119) திைண(cid:8112)கள(cid:8119)தி(cid:8127) அ(cid:8114)சிட(cid:8122)ப(cid:8117)ட(cid:8080).
www.documents.gov.lk</t>
  </si>
  <si>
    <t>33326235-239a-475e-9adc-06cfbd51a8d5</t>
  </si>
  <si>
    <t>2477_05</t>
  </si>
  <si>
    <t>2477/05</t>
  </si>
  <si>
    <t>Land Acquisition Act (Chapter 460), Section 5 — Notice of Intended Acquisition (Gazette 2477/05)</t>
  </si>
  <si>
    <t>m1/raw/2477_05.pdf</t>
  </si>
  <si>
    <t>1A
III ෙකාටස - ශී ලංකා පජාතාන්තික සමාජවාදී ජනරජෙය් අති විෙශෂ ගැසට් පතය - 2025.04.11
பகுதி III - இலங்ைகச் சனநாயக ேசாச(cid:8098)சக் கு(cid:8074)யரசு வர்த்தமானப் பத்திாிைக - அதி விேசஷமான(cid:8080) - 2025.04.11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22447777//0055 -- 22002266 ෙෙපපබබරරවවාාරිරි මමසස 2233 වවැැනිනි සසඳුඳුදදාා -- 22002266..0022..2233
22447777//0055 ஆஆம்ம் இஇலலக்க்ககம்ம் -- 22002266 ஆஆம்ம் ஆஆண்ண்(cid:8076)(cid:8076) ெ ெபபப்ப்(cid:8087)(cid:8087)(cid:8094)(cid:8094)வவாாிி மமாாததம்ம் 2233 ஆஆந்ந் ததிிககததிி ததிிங்ங்ககட்ட்ககிிழழைைமம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33 ஆம் பிாிவின் கீழ் அறிவித்தல்
1. காணியின் ெபயர் : ெவதராலேக ெகதர வத்த
வைரபட இலக்கம் : ஆ.வ.கண்(cid:8074) 4968
என(cid:8080) இல.: KDS/KUN/04/07/16/04/11.
காணித்(cid:8080)ண்(cid:8076) இல. : 01
கண்(cid:8074) மாவட்டத்தின் குண்டசாைல பிரேதச ெசயலாளர் விஸ்தீரணம் : 0.0121 ெஹக்டயார்
ேக.எஸ்.டீ.திசாநாயக ஆகிய நான், காணி எ(cid:8076)த்தற் வடக்கு : டவ்(cid:8098)வ்.ஜீ. தனபால
சட்டத்தின், (460 ஆம் அத்தியாயம்), 33 ஆம் பிாிவின் கீழ், கீழ் உாிைம ேகா(cid:8094)ம்
குறிப்பிடப்ப(cid:8076)ம் அட்டவைணயில் விபாிக்கப்பட்ட காணிைய
ெவதராலேக ெகதர
எ(cid:8076)த்(cid:8080)க் ெகாள்வதற்காக நட்டஈட்(cid:8076)த் ெதாைகயான
வத்த மற்(cid:8096)ம் ரத்மல்
பத்தாயிரம் (cid:8095)பா ((cid:8095).10,000/=) ஐ உாிைமயாள(cid:8094)க்கு ெபற்(cid:8096)க்
ெகாள்வதற்காக ெதல்ெதனிய மாவட்ட நீதிமன்றத்தின் வழக்கு ஓய;
இலக்கம் LAD 170/23 ன் கீழ் வர(cid:8107) ைவக்கப்பட்(cid:8076)ள்ள(cid:8080) என கிழக்கு : ரத்மல்ஓய மற்(cid:8096)ம்
இத்தால் அறியத் த(cid:8094)கின்ேறன். கிராம சைப (cid:8106)தி;
ெதற்கு : கிராம சைப (cid:8106)தி
ேக.எஸ்.டீ.திசாநாயக,
ேமற்கு : எம். பீ. அமர(cid:8080)ங்க
பிரேதச ெசயலாளர்,
குண்டசாைல. உாிைம ேகா(cid:8094)ம் ெவத
பிரேதச ெசயலகம், ராலேக ெகதரவத்த.
குண்டசாைல,
2026, ெபப்(cid:8087)(cid:8094)வாி 12.
EOG 02-0180
1A - G46335- 13(2026/02) இலங்ைக அரசாங்க அச்சுத் திைணக்களத்தில் அச்சிடப்பட்ட(cid:8080).
இவ் அதிவி ேஷட வர்த்தமானிைய www.documents.gov.lk எ(cid:8084)ம் இைணயத்தளத்தி(cid:8098)(cid:8094)ந்(cid:8080) பதிவிறக்கம் ெசய்ய (cid:8089)(cid:8074)(cid:8092)ம்.</t>
  </si>
  <si>
    <t>cf3072bb-6d20-422e-a0a3-d45fd5b23872</t>
  </si>
  <si>
    <t>2477_06</t>
  </si>
  <si>
    <t>2477/06</t>
  </si>
  <si>
    <t>Land Acquisition Act (Chapter 460), Section 5 — Notice of Intended Acquisition (Gazette 2477/06)</t>
  </si>
  <si>
    <t>m1/raw/2477_06.pdf</t>
  </si>
  <si>
    <t>III ෙකාටස - (cid:636) ලංකා (cid:541)ජාතා(cid:486)(cid:437)ක සමාජවා(cid:463) ජනරජෙ(cid:591) අ(cid:431) (cid:618)ෙශෂ ගැස(cid:376) ප(cid:436)ය - 2026.02.23 1A
பகுதி III - இலங்ைகச் சனநாயக ேசாச(cid:8098)சக் கு(cid:8074)யரசு வர்த்தமானப் பத்திாிைக - அதி விேசஷமான(cid:8080) - 2026.02.23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22447777//0066 –– 22002266 ෙෙපපබබරරවවාා(cid:604)(cid:604) මමසස 2233 වවැැ(cid:487)(cid:487) සස(cid:511)(cid:511)දදාා –– 22002266..0022..2233
22447777//0066 ஆஆம்ம் இஇலலக்க்ககம்ம் –– 22002266 ஆஆம்ம் ஆஆண்ண்(cid:8076)(cid:8076) ெ ெ பபப்ப்(cid:8087)(cid:8087)(cid:8094)(cid:8094)வவாாிி மமாாததம்ம் 2233 ஆஆந்ந் ததிிககததிி ததிிங்ங்ககட்ட்ககிிழழைைமம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தியெபாட்ட அமர(cid:8080)ங்கேக (cid:8087)த்திகா பிாியதர்ஷனீ ஆகிேயார்
உாிைம ேகா(cid:8094)ம் ெகாெடல்ல (cid:8106)தியில் வாி மதிப்பீட்(cid:8076) இல.
5 ஆம் பிாிவின் ப(cid:8074)யான பிரகடனம் 56 ஐ உைடய ேகான்கஸ்ெகாெடல்ல காணி(cid:8092)ம்; கிழக்கு:
(cid:8098)யனேக க(cid:8094)ணாேசன, தியெபாட்ட அமர(cid:8080)ங்கேக (cid:8087)த்திகா
பிாியதா்ஷனீ ஆகிேயார் உாிைம ேகா(cid:8094)ம் ெகாெடல்ல (cid:8106)தியில்
இங்ேக கீேழ விபாிக்கப்பட்(cid:8076)ள்ள காணி ஒ(cid:8094) ெபா(cid:8080)
வாி மதிப்பீட்(cid:8076) இல. 56 ஐ உைடய ேகான்கஸ்ெகாெடல்ல
விடயத்திற்குத் ேதைவ என(cid:8107)ம், அதைன காணி எ(cid:8076)த்தற்
காணி, உாிைம ேகா(cid:8094)ேவார் ெதாியாத மற்(cid:8096)ம் காணியின்
சட்டத்தின் ஏற்பா(cid:8076)களின் பிரகாரம் எ(cid:8076)க்கப்ப(cid:8076)ெமன(cid:8107)ம்,
ெபயர் ெதாியாத காணி, (cid:8098)யனேக தயாவங்ச ெபேரரா
காணி எ(cid:8076)த்தற் சட்டத்தின் 5 ஆம் பிாிவின் (1) உப பிாிவின்
உாிைம ேகா(cid:8094)ம் ெகாெடல்ல (cid:8106)தியில் வாி மதிப்பீட்(cid:8076)
கீழ், கமத்ெதாழில், கால்நைட வளங்கள், காணி மற்(cid:8096)ம்
இல. 68/13 ஐ உைடய ேகான்கஸ்ெகாெடல்லவத்த காணி
நீர்ப்பாசன அைமச்சர் குரகமேக ெதான் லால் காந்த ஆகிய
மற்(cid:8096)ம் இச் சுவட்(cid:8076) வைரபடத்தில் (cid:8080)ண்(cid:8076) B; ெதற்கு:இச்
நான், இத்தால் பிரகடனம் ெசய்கின்ேறன்.
சுவட்(cid:8076) வைரபடத்தில் (cid:8080)ண்(cid:8076) C (ெசல(cid:8098)ஹினி மாவத்ைத
கால்வாயின் ஒ(cid:8094) பகுதி); ேமற்கு: பீ.ஏ. பீாிஸ் உாிைம ேகா(cid:8094)ம்
ேமல் மாகாணம், ெகா(cid:8104)ம்(cid:8087) மாவட்டம், ெகாெலான்னாைவ
நாரங்ெகாட (cid:8106)தியில் வாி மதிப்பீட்(cid:8076) இலக்கம் ெதாியாத
பிரேதச ெசயலாளர் பிாிவில், இல. 503A - (cid:8089)ல்ேலாியாவ
ெதாம்பகஹகும்(cid:8087)ர காணி(cid:8092)ம், உாிைம ேகா(cid:8094)ேவார் ெதாியாத
ெதற்கு கிராம அ(cid:8100)வலர் பிாிவில் அங்ெகாைட, (cid:8089)ல்ேலாியாவ
மற்(cid:8096)ம் காணியின் ெபயர் ெதாியாத காணி(cid:8092)ம்.
(ெகாட்(cid:8074)க்காவத்ைத - (cid:8089)ல்ேலாியாவ பிரேதச சைப எல்ைல
குட்பட்ட வட்டார இல. 11- (cid:8089)ல்ேலாியாவ வட்டாரம்)
02. (cid:8080)(cid:8080)ண்ண்(cid:8076)(cid:8076) ‘‘BB’’ –– ேேககாான்ன்ககஸ்ஸ் ெெககாாெெடடல்ல்லல வவத்த்தத,, ெெககாாெெடடல்ல்லல
கிராமங்களில் அைமந்(cid:8080)ள்ள, நில அளைவயாளர்
(cid:8106)(cid:8106)ததிியயிில்ல் வவாாிி மமததிிப்ப்பீபீட்ட்(cid:8076)(cid:8076) இஇலல.. 555555 ஐஐ உஉைைடடயய ககாாணணிி ––
நாயகத்தினால் தயாாிக்கப்பட்ட 2025.08.28 ஆம் திகதிய
வவிிஸ்ஸ்ததீீரரணணம்ம்:: 00..00000088 ெெஹஹக்க்டடயயாார்ர்
CO/DSO/2025/215 ஆம் இலக்க (cid:8089)தற்சுவட்(cid:8076) வைரபடத்தில்
வடக்கு: (cid:8080)ண்(cid:8076) A (cid:8092)ம், (cid:8098)யனேக தயாவங்ச ெபேரரா
காட்டப்பட்ட கீழ் விபாிக்கப்பட்ட எல்ைலக(cid:8102)ள் அைமந்த
உாிைம ேகா(cid:8094)ம் ெகாெடல்ல (cid:8106)தியில் வாி மதிப்பீட்(cid:8076) இல.
ஐந்(cid:8080) (05) காணித்(cid:8080)ண்(cid:8076)களின் எல்ைலகள் :
68/13 ஐ உைடய ேகான்கஸ்ெகாெடல்லவத்த காணி(cid:8092)ம்;
கிழக்கு: (cid:8098)யனேக தயாவங்ச ெபேரரா உாிைம ேகா(cid:8094)ம்
01. (cid:8080)(cid:8080)ண்ண்(cid:8076)(cid:8076) ‘‘AA’’ –– ெெததாாம்ம்பபககஹஹ குகும்ம்(cid:8087)(cid:8087)ரர,, ேேபபாாககஹஹக்க் ெெககாாட்ட்(cid:8076)(cid:8076)வவ,,
ெகாெடல்ல (cid:8106)தியில் வாி மதிப்பீட்(cid:8076) இல. 68/13 ஐ உைடய
ேேககாான்ன்ககஸ்ஸ் ெெககாாெெடடல்ல்லல ேேமமற்ற்குகு பபததிினனாா(cid:8096)(cid:8096) பபங்ங்குகுககளளிில்ல் இஇரரண்ண்(cid:8076)(cid:8076)
ேகான்கஸ்ெகாெடல்லவத்த காணி; ெதற்கு: (cid:8080)ண்(cid:8076) A; ேமற்கு:
பபங்ங்குகுககள்ள் மமற்ற்(cid:8096)(cid:8096)ம்ம் ேேககாான்ன்ககஸ்ஸ் ெெககாாெெடடல்ல்லல வவத்த்தத –– வவிிஸ்ஸ்ததீீரரணணம்ம்::
(cid:8080)ண்(cid:8076) A.
00..11118866 ெெஹஹக்க்டடயயாார்ர்
வடக்கு: உாிைம ேகா(cid:8094)ேவார் ெதாியாத மற்(cid:8096)ம் காணியின்
ெபயர் ெதாியாத காணி(cid:8092)ம், (cid:8098)யனேக க(cid:8094)ணாேசன,
1A – PG7542 – 05(2026/02)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- 2026.02.23
பகுதி III - இலங்ைகச் சனநாயக ேசாச(cid:8098)சக் கு(cid:8074)யரசு வர்த்தமானப் பத்திாிைக - அதி விேசஷமான(cid:8080) - 2026.02.23
03. (cid:8080)(cid:8080)ண்ண்(cid:8076)(cid:8076) ‘‘DD’’ –– ெெததாாம்ம்பபககஹஹ குகும்ம்(cid:8087)(cid:8087)ரர –– வவிிஸ்ஸ்ததீீரரணணம்ம்:: 00..00000066 (cid:8106)தியில் வாிமதிப்பீட்(cid:8076) இலக்கம் மற்(cid:8096)ம் காணியின் ெபயர்
ெெஹஹக்க்டடயயாார்ர் ெதாியாத காணி மற்(cid:8096)ம் அங்ெகாைட, (cid:8089)ல்ேலாியாவ வடக்கு,
வடக்கு: (cid:8106)தி(cid:8092)ம், இக் காணியின் எஞ்சிய பகுதி(cid:8092)ம்; கிழக்கு: ேபாதிய ஒ(cid:8104)ங்ைக, இல. 55G எ(cid:8084)ம் (cid:8089)கவாியில் வசிக்கும்
இக் காணியின் எஞ்சிய பகுதி(cid:8092)ம், (cid:8080)ண்(cid:8076) C (cid:8092)ம்; ெதற்கு: ஹப்(cid:8087) ஆரச்சிேக சமாதீ நிேராஷனீ ெபேரரா உாிைம ேகா(cid:8094)ம்
(cid:8080)ண்(cid:8076) C; ேமற்கு: (cid:8080)ண்(cid:8076) C (cid:8092)ம், (cid:8106)தி(cid:8092)ம். காணி; ேமற்கு: உாிைம ேகா(cid:8094)ேவார் ெதாியாத மற்(cid:8096)ம்
காணியின் ெபயர் ெதாியாத காணி, ஏ.எச்.பீ. விமலரத்ன
04. (cid:8080)(cid:8080)ண்ண்(cid:8076)(cid:8076) ‘‘EE’’ –– ஹஹக்க்குகு(cid:8094)(cid:8094) குகும்ம்(cid:8087)(cid:8087)ரர மமற்ற்(cid:8096)(cid:8096)ம்ம் ஓஓவவிிட்ட்டட,, உாிைம ேகா(cid:8094)ம் ெகாெடல்ல (cid:8106)தியில் வாிமதிப்பீட்(cid:8076) இலக்கம்
நநாாரரங்ங்ெெககாாடட (cid:8106)(cid:8106)ததிியயிில்ல் வவாாிி மமததிிப்ப்பீபீட்ட்(cid:8076)(cid:8076) இஇலல.. 1122//6600 ஐஐ உஉைைடடயய மற்(cid:8096)ம் காணியின் ெபயர் ெதாியாத காணி, ஜீ. சுஜீவ குமார
ககாாணணிி –– வவிிஸ்ஸ்ததீீரரணணம்ம்:: 00..00000033 ெெஹஹக்க்டடயயாார்ர் உாிைம ேகா(cid:8094)ம் ெகாெடல்ல (cid:8106)தியில் வாிமதிப்பீட்(cid:8076) இலக்கம்
வடக்கு: (cid:8106)தி(cid:8092)ம், ெசல(cid:8098)ஹினி மாவத்ைத கால்வாயின் 126/086 ஐ உைடய காணி, உாிைம ேகா(cid:8094)ேவார் ெதாியாத
ஒ(cid:8094) பகுதி(cid:8092)ம்; கிழக்கு: (cid:8080)ண்(cid:8076) C (ெசல(cid:8098)ஹினி மாவத்ைத மற்(cid:8096)ம் காணியின் ெபயர் ெதாியாத காணி, எம்.பீ. பிாியந்த
கால்வாயின் ஒ(cid:8094) பகுதி); ெதற்கு: (cid:8080)ண்(cid:8076) C (ெசல(cid:8098)ஹினி குமார உாிைம ேகா(cid:8094)ம் ெகாெடல்ல (cid:8106)தியில் வாிமதிப்பீட்(cid:8076)
மாவத்ைத கால்வாயின் ஒ(cid:8094) பகுதி)(cid:8092)ம், இக் காணியின் இலக்கம் மற்(cid:8096)ம் காணியின் ெபயர் ெதாியாத காணி மற்(cid:8096)ம்
எஞ்சிய பகுதி(cid:8092)ம்; ேமற்கு: இக் காணியின் எஞ்சிய பகுதி(cid:8092)ம், அங்ெகாைட, (cid:8089)ல்ேலாியாவ வடக்கு, ேபாதிய ஒ(cid:8104)ங்ைக,
சீெமந்(cid:8080) வ(cid:8074)கா(cid:8100)ம். இல. 55G எ(cid:8084)ம் (cid:8089)கவாியில் வசிக்கும் ஹப்(cid:8087) ஆரச்சிேக சமாதீ
நிேராஷனீ ெபேரரா உாிைம ேகா(cid:8094)ம் காணி.
05. (cid:8080)(cid:8080)ண்ண்(cid:8076)(cid:8076) ‘‘FF’’ –– ஹஹக்க்குகு(cid:8094)(cid:8094) குகும்ம்(cid:8087)(cid:8087)ரர ((ஒஒ(cid:8094)(cid:8094) பபகுகுததிி)) மமற்ற்(cid:8096)(cid:8096)ம்ம்
அஅஸ்ஸ்சுசுத்த்ததாாவவலல குகும்ம்(cid:8087)(cid:8087)ரர –– வவிிஸ்ஸ்ததீீரரணணம்ம்:: 00..22004400 ெெஹஹக்க்டடயயாார்ர் ேக.(cid:8074). லால் காந்த,
வடக்கு: (cid:8080)ண்(cid:8076) C (ெசல(cid:8098)ஹினி மாவத்ைத கால்வாயின் கமத்ெதாழில், கால்நைட வளங்கள், காணி
ஒ(cid:8094) பகுதி); கிழக்கு: (cid:8080)ண்(cid:8076) C (ெசல(cid:8098)ஹினி மாவத்ைத மற்(cid:8096)ம் நீர்ப்பாசன அைமச்சர்.
கால்வாயின் ஒ(cid:8094) பகுதி) (cid:8092)ம், உாிைம ேகா(cid:8094)ேவார் ெதாியாத
மற்(cid:8096)ம் காணியின் ெபயர் ெதிரயாத காணி(cid:8092)ம்; ெதற்கு: என(cid:8080) இல. : 4–3/6/2025/LRB/07.
உாிைம ேகா(cid:8094)ேவார் ெதாியாத மற்(cid:8096)ம் காணியின் ெபயர் ெகாெலான்னாைவ மைழநீா் வ(cid:8074)காலைமப்(cid:8087) மற்(cid:8096)ம்
ெதாியாத காணி, (cid:8089)ல்ேலாியாவ, சிறிெபரக்கும் மாவத்ைத, சுற்றாடல் ேமம்ப(cid:8076)த்தல் க(cid:8094)த்திட்டத்தின் காணி எ(cid:8076)த்தல்
இல. 499/3/K/5 எ(cid:8084)ம் (cid:8089)கவரயில் வசிக்கும் விக்கிரமசிங்ஹ உத்திேயாகத்தா் குறிப்(cid:8087) இல. KSWD/EIP/ACQ/SMC/07,
ஆரச்சிலாேக காந்தி ெபேரரா உாிைம ேகா(cid:8094)ம் வாி மதிப்பீட்(cid:8076) கமத்ெதாழில், கால் நைட வளங்கள், காணி
இலக்கம் ெதாியாத அஸ்சுத்தாவல கும்(cid:8087)ர, உாிைம ேகா(cid:8094)ேவார் மற்(cid:8096)ம் நீர்ப்பாசன அைமச்சு,
ெதாியாத மற்(cid:8096)ம் காணியின் ெபயர் ெதாியாத காணி, மிஹிகத ெம(cid:8080)ர, இல. 1200/ 6,
ஏ.எச்.பீ. விமலரத்ன உாிைம ேகா(cid:8094)ம் ெகாெடல்ல (cid:8106)தியில் ரஜமல்வத்த (cid:8106)தி,
வாிமதிப்பீட்(cid:8076) இலக்கம் மற்(cid:8096)ம் காணியின் ெபயர் ெதாியாத பத்தர(cid:8089)ல்ைல,
காணி, ஜீ. சுஜீவ குமார உாிைம ேகா(cid:8094)ம் ெகாெடல்ல (cid:8106)தியில் 2025, சனவாி 27.
வாிமதிப்பீட்(cid:8076) இலக்கம் 126/086 ஐ உைடய காணி, உாிைம
ேகா(cid:8094)ேவார் ெதாியாத மற்(cid:8096)ம் காணியின் ெபயர் ெதாியாத
EOG 02 – 0181
காணி, எம்.பீ. பிாியந்த குமார உாிைம ேகா(cid:8094)ம் ெகாெடல்ல
இலங்ைக அரசாங்க அச்சுத் திைணக்களத்தில் அச்சிடப்பட்ட(cid:8080).</t>
  </si>
  <si>
    <t>6c3d982d-3341-4460-aebf-6fd2df615f12</t>
  </si>
  <si>
    <t>2477_07</t>
  </si>
  <si>
    <t>2477/07</t>
  </si>
  <si>
    <t>Title Registration Act, No. 21 of 1998, Section 14 — Commissioner of Title Settlement's decision under Section 14 (Gazette 2477/07)</t>
  </si>
  <si>
    <t>m1/raw/2477_07.pdf</t>
  </si>
  <si>
    <t>7d10e353-a511-409a-87ea-22149ab9fe2c</t>
  </si>
  <si>
    <t>2477_08</t>
  </si>
  <si>
    <t>2477/08</t>
  </si>
  <si>
    <t>Title Registration Act, No. 21 of 1998, Section 14 — Commissioner of Title Settlement decision (Gazette 2477/08)</t>
  </si>
  <si>
    <t>Commissioner of Title Settlement's decision under Section 14 of the Title Registration Act No. 21 of 1998. Part III — Lands. Muthuhettipola Niladhari Division, Welipenna, Sabaragamuwa Province. References Gazette 2450/04 of 18 August 2025.</t>
  </si>
  <si>
    <t>m1/raw/2477_08.pdf</t>
  </si>
  <si>
    <t>ශ්‍රී ලංකා ප්‍රජාාාා්ත්‍රික සමාජාවාදී ජානරජායේ ගැසට් පත්‍රය
The Gazette of the Democratic Socialist Republic of Sri Lanka
අති විශෙෂ EXTRAORDINARY
අංක 2477/08 - 2026 ශෙබරවාරි මස 23 වැනි සඳුදා - 2026.02.23
No. 2477/08 – MONDAY, FEBRUARY 23, 2026
(Published by Authority)
PART III - LANDS
Title Registration
REGISTRATION OF TITLE ACT, No. 21 OF 1998
Declaration of Determination of the Commissioner of Title Settlement under Section 14
BY virtue of the powers vested in me under Section 14 of the Registration of Title Act, No.21 of 1998, I, the undersigned, hereby
declare my determination as set out in the Schedule appended hereto in regard to the title to parcel of Land No. 49 of Block 01,
contained in the Cadastral Map No. 620236, situated in the Village of Muththettupola, within the Grama Niladhari Division of No. 219 -
Muththettupola the Divisional Secretary's Division of Weligepola, in the District of Rathnapura, in the Province of Sabaragamuva,
referred to in Notice calling for claims to land parcels which was duly published in the Gazette No. 2450/04 of 18th August, 2025 in
terms of Section 55 of the Registration of Title Act, No.21 of 1998.
P. C. D. Sigera,
Commissioner General of Land Title Settlement.
Land Title Settlement Department,
No. 1200/6, “Mihikatha Medura”,
Rajamalwatta Road,
Battaramulla,
10th February, 2026.
1A - G 046337 - 03 (02/2026)
N.B.– This Extraordinary Gazette can be downloaded from www.documents.gov.lk
2 A III යකොටස - ශ්‍රී ලංකා ප්‍රජාාාා්ත්‍රික සමාජාවාදී ජානරජායේ ි ව ශෙය ග ගැසට් පත්‍රය - 2026.02.23
Part III – GAZETTE EXTRA ORDINARY OF THE DEMOCRATIC SOCIALIST REPUBLIC OF SRI LANKA – 23.02.2026
SCHEDULE
Particulars Particulars
Class and regarding if
National Extent Nature Mortgages subject
Parcel Extent Full Name/s of Owner/s Identity Owned of Encumbrances to any
No. and Address Card No. Title pending form of
Adjudication special or
and personal
Injunction law
(Hectare)
49 0.4092 Adigamage Piyumi Hansika Gamage 936012205V Full 1st Class – –
Karavuva, Panapitiya, Kahawatta
EOG 02 - 0183
PRINTED AT THE DEPARTMENT OF GOVERNMENT PRINTING, SRI LANKA.</t>
  </si>
  <si>
    <t>4e11900a-b855-4fe4-a6f6-1bb51ed91a90</t>
  </si>
  <si>
    <t>2477_09</t>
  </si>
  <si>
    <t>2477/09</t>
  </si>
  <si>
    <t>Title Registration Act, No. 21 of 1998, Section 14 — Commissioner of Title Settlement decision (Gazette 2477/09)</t>
  </si>
  <si>
    <t>m1/raw/2477_09.pdf</t>
  </si>
  <si>
    <t>ශ්‍රී ඼ංකා ප්‍රජාාාා්ත්‍රික වමාජාලාදී ජානරජායේ ගැවට් ඳත්‍රය
අති විශ඾඿
අංක 2477/09 - 2026 ශෙබරලාරි මව 23 ලැනි වඳුදා - 2026.02.23
(රජායේ බ඼යපිට ප්‍රසිද්ධධ කරන ඼දී)
III ලැනි ශකොටව - ඉඩම්
හිමිකම් ලියාෙදංචි කිරීම
1998 අංක 21 දරන හිමිකම් ලියාෙදංචි කිරීශම් ෙනත
14 ලැනි ලග්තතිය යටයේ හිමිකම් නිරවුල් කිරීයම් යකොමවාරිව්යේ තීරණ ප්‍රකා඾ය
බව්නාහිර ඳෂායේ යකොෂඹ දිව්්‍රික්කයකයේ කැව්බෑල ප්‍රාය්ධය ය යල්කම් යකොට්සාවයේ කංක 574 - මාම්යේ උතුර ග්‍රාම නි඼ධාරි යකොට්සාවය තුෂ
මාම්යේ නමැති ගයම් පිහිටියා ව෕ ද, කංක 521202 දරන කැඩැව්ාර සිදතියයම් ක඼ාඳ කංක 06 හි කැබලි කංක 1:209 දරන ඉඩම් යකොටව් ය඼ව
යඳ්තනුම් යකොට ඇේාා ව෕ ද, හිමිකම් ඳෑම් ඉදිරිඳේ කරන ය඼ව දැනුම් යදමි්ත 1998 කංක 21 දරන හිමිකම් ලියාඳදිංචි කිරීයම් ඳනයේ 55 ලැනි
ලග්තතිය ප්‍රකාර 2024112113 ලැනි දින කංක 2414665 දරන ගැවට් ඳත්‍රයේ යථා ඳරිදි ඳෂකරන ඼ද දැ්තවීයම් ව඲ශ්ත යකොට ඇේාා ව෕ ද, ඉඩම්
යකොටව්ල඼ කයිතිය වම්බ්තධයය්ත යමහි උඳයල්ඛනයේ දැක්කයයලන මායේ තීරණ 1998 කංක 21 දරන හිමිකම් ලියාඳදිංචි කිරීයම් ඳනයේ 14 ලැනි
ලග්තතියය්ත ඳශා කේව්ත කරන මා යලා ඳලරා ඇති බ඼ා඼ ප්‍රකාර, මම යමයි්ත ප්‍රකා඾ කරමි1
පී.සී.ඩී. සිශේරා,
ඉඩම් හිමිකම් නිරවුල් කිරීයම් යකොමවාරිව් ජානරාල්1
2026 යඳබරලාරි මව 10 ලැනි දින,
බේාරමුල්඼,
රජාමල්ලේා ඳාර,
"මිහිකා මැදුර", කංක 120066,
ඉඩම් හිමිකම් නිරවුල් කිරීයම් යදඳාර්ායම්්තතුයේ දී ය1
1A - G 046338 - 03 (2026/02)
වැ1යු1- යමම කති විය඾඿ ගැවට් ඳත්‍රය www.documents.gov.lk යලබ් කඩවියය්ත බාගා කෂ ශැක1
2 A III ශකොටව - ශ්‍රී ඼ංකා ‍රජාාතා්ත්‍රික වමාජාලා ජ ජානරජාශඅ අති විශ඾඿ ගැව ප ෙ‍රය - 2026.02.23
උෙශේඛනය
විනි඾්චය්ත වශ යම් විය඾ේ඿ යශෝ
ඉ්තයජා්ත඿්ත ාශනම් යඳෞ්ධගලික
ඉඩම් වි඾ා඼ේලය කයිතිකරුයේ6කයිතිකරුල්තයේ ජාාතික කයිති කයිතියේ කයේක්කය඿ායල්ත ඇති නීතියකට යටේ
යකොටයව ේ වම්පූර්ණ නම6නම් වශ ලිපිනය ශැඳුනුම්ඳේ ඉඩයම් ඳ්තතිය වශ උකව් වශ බැඳීම් නම් පිළිබ඲
කංකය කංකය ප්‍රමාණය ව්ලභාලය පිළිබ඲ විව්ාර විව්ාර
(යශක්කයටයාර්)
1:209 010429 ශසිදා වම්ඳේ යවේනානායක 198501100751 වම්පුර්ණ ප්‍රථම ඳ්තතිය යවේනානායක –
කංක 48864, විජාය මාලා, වම කයිතිය ආරච්චි඼ායේ යප්‍රේමරේන
මාම්යේ උතුර, පිළිය්තද඼ යවේනානායක යන
කයයේ ජීවිා භුක්කයතියට
යටේල
EOG 02 - 0184/1
__________________________
හිමිකම් ලියාෙදංචි කිරීම
1998 අංක 21 දරන හිමිකම් ලියාෙදංචි කිරීශම් ෙනත
14 ලැනි ලග්තතිය යටයේ හිමිකම් නිරවුල් කිරීයම් යකොමවාරිව්යේ තීරණ ප්‍රකා඾ය
බව්නාහිර ඳෂායේ යකොෂඹ දිව්්‍රික්කයකයේ කැව්බෑල ප්‍රාය්ධය ය යල්කම් යකොට්සාවයේ කංක 565 - බටකැේාර දකුණ ග්‍රාම නි඼ධාරි යකොට්සාවය
තුෂ බටකැේාර නමැති ගයම් පිහිටියා ව෕ ද, කංක 521206 දරන කැඩැවා් ර සිදතියයම් ක඼ාඳ කංක 06 හි කැබලි කංක 1:117 දරන ඉඩම් යකොටව් ය඼ව
යඳ්තනුම් යකොට ඇේාා ව෕ ද, හිමිකම් ඳෑම් ඉදිරිඳේ කරන ය඼ව දැනුම් යදමි්ත 1998 කංක 21 දරන හිමිකම් ලියාඳදිංචි කිරීයම් ඳනයේ 55 ලැනි
ලග්තතිය ප්‍රකාර 2025108107 ලැනි දින කංක 2448642 දරන ගැවට් ඳත්‍රයේ යථා ඳරිදි ඳෂකරන ඼ද දැ්තවීයම් ව඲ශ්ත යකොට ඇේාා ව෕ ද, ඉඩම්
යකොටව්ල඼ කයිතිය වම්බ්තධයය්ත යමහි උඳයල්ඛනයේ දැක්කයයලන මායේ තීරණ 1998 කංක 21 දරන හිමිකම් ලියාඳදිංචි කිරීයම් ඳනයේ 14 ලැනි
ලග්තතියය්ත ඳශා කේව්ත කරන මා යලා ඳලරා ඇති බ඼ා඼ ප්‍රකාර, මම යමයි්ත ප්‍රකා඾ කරමි1
පී.සී.ඩී. සිශේරා,
ඉඩම් හිමිකම් නිරවුල් කිරීයම් යකොමවාරිව් ජානරාල්1
2026 යඳබරලාරි මව 10 ලැනි දින,
බේාරමුල්඼,
රජාමල්ලේා ඳාර,
"මිහිකා මැදුර", කංක 120066,
ඉඩම් හිමිකම් නිරවුල් කිරීයම් යදඳාර්ායම්්තතුයේ දී ය1
උෙශේඛනය
විනි඾්චය්ත වශ යම් විය඾ේ඿ යශෝ
ඉ්තයජා්ත඿්ත ාශනම් යඳෞ්ධගලික
ඉඩම් වි඾ා඼ේලය කයිතිකරුයේ6කයිතිකරුල්තයේ ජාාතික කයිති කයිතියේ කයේක්කය඿ායල්ත ඇති නීතියකට යටේ
යකොටයව ේ වම්පූර්ණ නම6නම් වශ ලිපිනය ශැඳුනුම්ඳේ ඉඩයම් ඳ්තතිය වශ උකව් වශ බැඳීම් නම් පිළිබ඲
කංකය කංකය ප්‍රමාණය ව්ලභාලය පිළිබ඲ විව්ාර විව්ාර
(යශක්කයටයාර්)
1:117 010251 වරුක්කයකාර ඳටබැඳියේ සුජීලා දිල්රුක්කයෂි 706220747V වම්පුර්ණ ප්‍රථම ඳ්තතිය කැබලි කංක 124හි –
කංක 213, වපුමල් උයන, ඳ඼මු ඳටුමග, මාර්ග ඳරල඾යාා
යකොටයගදර ඳාර, මඩඳාා, පිළිය්තද඼ කයිතිය වහිාල
EOG 02 - 0184/2
ශ්‍රී ඼ංකා රජායේ මු‍රණ යදඳාර්ායම්්තතුයේ මු‍රණය කරන ඼දී1</t>
  </si>
  <si>
    <t>50565282-af6c-4a54-b5fc-5cf757454b27</t>
  </si>
  <si>
    <t>2477_10</t>
  </si>
  <si>
    <t>2477/10</t>
  </si>
  <si>
    <t>Title Registration Act, No. 21 of 1998, Section 14 — Commissioner of Title Settlement decision (Gazette 2477/10)</t>
  </si>
  <si>
    <t>m1/raw/2477_10.pdf</t>
  </si>
  <si>
    <t>ශී ලංකා පජාතාන්තික සමාජවාදී ජනරජෙය් ගැසට් පතය
අති විෙශෂ
අංක 2477/10 - 2026 ෙපබරවාරි මස 23 වැනි සඳුදා - 2026.02.23
(රජෙය් බලයපිට පසිද්ධ කරන ලදී)
III වැනි ෙකොටස - ඉඩම්
හිමිකම් ලියාපදිංචි කිරීම
1998 අංක 21 දරන හිමිකම් ලියාපදිංචි කිරීෙම් පනත
14 වැනි වගන්තිය යටෙත් හිමිකම් නිරවුල් කිරීෙම් ෙකොමසාරිස්ෙග් තීරණ පකාශය
මධ්‍යම පළාෙත් මහනුවර දිස්තික්කෙය් උඩපළාත පාෙද්ශීය ෙල්කම් ෙකොට්ඨාසෙය් අංක 1109 - ෙබෝතලාපිටිය ගාම නිලධාරි ෙකොට්ඨාසය තුළ
ෙබෝතලාපිටිය ෙකොටසක් නමැති ගෙම් පිහිටියා වූ ද, අංක 320137 දරන කැඩැස්තර සිතියෙම් කලාප අංක 01 හි කැබලි අංක 150 දරන ඉඩම්
ෙකොටස් ෙලස ෙපන්නුම් ෙකොට ඇත්තා වූ ද, හිමිකම්පෑම් ඉදිරිපත් කරන ෙලස දැනුම් ෙදමින් 1998 අංක 21 දරන හිමිකම් ලියාපදිංචි කිරීෙම් පනෙත්
55 වැනි වගන්තිය පකාර 2025.02.10 වැනි දින අංක 2423/12 දරන ගැසට් පතෙය් යථා පරිදි පළකරන ලද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 සී. ඩී. සිෙග්රා,
ඉඩම් හිමිකම් නිරවුල් කිරීෙම් ෙකොමසාරිස් ජනරාල්.
2025 ෙදසැම්බර් මස 05 වැනි දින,
බත්තරමුල්ල,
රජමල්වත්ත පාර,
"මිහිකත මැදුර", අංක 1200/6,
ඉඩම් හිමිකම් නිරවුල් කිරීෙම් ෙදපාර්තෙම්න්තුෙව් දී ය.
1A - G 046339 - 03 (2026/02)
සැ.යු.- ෙමම අති විෙශෂ ගැසට් පතය www.documents.gov.lk ෙවබ් අඩවිෙයන් බාගත කළ හැක.
2 A III ෙකොටස - ශී ලංකා පජාතාන්තික සමාජවාදී ජනරජෙය් අති විෙශෂ ගැසට් පතය - 2026.02.23
උපෙල්ඛනය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(ෙහක්ටයාර්)
150 0.0139 ෙමොහමඩ් නවාස් කුතුඹුල් හූෙසේන් 833440624V සම්පූර්ණ පථම පන්තිය – –
අංක 210/124, නුවර පාර,
ගම්ෙපොල
EOG 02 - 0185/1
1998 අංක 21 දරන හිමිකම් ලියාපදිංචි කිරීෙම් පනත
14 වැනි වගන්තිය යටෙත් හිමිකම් නිරවුල් කිරීෙම් ෙකොමසාරිස්ෙග් තීරණ පකාශය
මධ්‍යම පළාෙත් මහනුවර දිස්තික්කෙය් උඩපළාත පාෙද්ශීය ෙල්කම් ෙකොට්ඨාසෙය් අංක 1108 - ගම්ෙපොල නැෙගනහිර ගාම නිලධාරි ෙකොට්ඨාසය
තුළ ගම්ෙපොල නැෙගනහිර ෙකොටසක් නමැති ගෙම් පිහිටියා වූ ද, අංක 320104 දරන කැඩැස්තර සිතියෙම් කලාප අංක 05 හි කැබලි අංක 60 දරන
ඉඩම් ෙකොටස් ෙලස ෙපන්නුම් ෙකොට ඇත්තා වූ ද, හිමිකම්පෑම් ඉදිරිපත් කරන ෙලස දැනුම් ෙදමින් 1998 අංක 21 දරන හිමිකම් ලියාපදිංචි කිරීෙම්
පනෙත් 55 වැනි වගන්තිය පකාර 2025.06.28 වැනි දින අංක 2442/77 දරන ගැසට් පතෙය් යථා පරිදි පළකරන ලද දැන්වීෙම් සඳහන් ෙකොට ඇත්තා
වූ ද, ඉඩම් ෙකොටස්වල අයිතිය සම්බන්ධෙයන් ෙමහි උපෙල්ඛනෙය් දැක්ෙවන මාෙග් තීරණ 1998 අංක 21 දරන හිමිකම් ලියාපදිංචි කිරීෙම් පනෙත්
14 වැනි වගන්තිෙයන් පහත අත්සන් කරන මා ෙවත පවරා ඇති බලතල පකාර, මම ෙමයින් පකාශ කරමි.
පී. සී. ඩී. සිෙග්රා,
ඉඩම් හිමිකම් නිරවුල් කිරීෙම් ෙකොමසාරිස් ජනරාල්.
2025 ෙදසැම්බර් මස 05 වැනි දින,
බත්තරමුල්ල,
රජමල්වත්ත පාර,
"මිහිකත මැදුර", අංක 1200/6,
ඉඩම් හිමිකම් නිරවුල් කිරීෙම් ෙදපාර්තෙම්න්තුෙව් දී ය.
උපෙල්ඛනය
විනිශ්චයන් සහ යම් විෙශේෂ ෙහෝ
ඉන්ෙජන්ෂන් තහනම් ෙපෞද්ගලික
ඉඩම් විශාලත්වය අයිතිකරුෙග්/අයිතිකරුවන්ෙග් ජාතික අයිති අයිතිෙය් අෙප්ක්ෂාෙවන් ඇති නීතියකට යටත්
ෙකොටෙසේ සම්පූර්ණ නම/නම් සහ ලිපිනය හැඳුනුම්පත් ඉඩෙම් පන්තිය සහ උකස් සහ බැඳීම් නම් ඒ පිළිබඳ
අංකය අංකය පමාණය ස්වභාවය පිළිබඳ විස්තර විස්තර
(ෙහක්ටයාර්)
60 0.0132 ෙපොල්වත්ෙත් මුහම්දිරම්ලා ෙගදර 731760381V සම්පූර්ණ පථම පන්තිය – –
ෙමොෙහොමඩ් අස්ෙරොෆ් ෙමොෙහොමඩ්
සිරාජ්
අංක 87/2, ඉල්ලවතුර පාර,
ගම්ෙපොල
EOG 02 - 0185/2
ශී ලංකා රජෙය් මුදණ ෙදපාර්තෙම්න්තුෙව් මුදණය කරන ලදී.</t>
  </si>
  <si>
    <t>c3674c01-01fb-4e49-9d5c-f6cdc28bf463</t>
  </si>
  <si>
    <t>2477_11</t>
  </si>
  <si>
    <t>2477/11</t>
  </si>
  <si>
    <t>Title Registration Act, No. 21 of 1998, Section 14 — Commissioner of Title Settlement's decision under Section 14 (Gazette 2477/11)</t>
  </si>
  <si>
    <t>m1/raw/2477_11.pdf</t>
  </si>
  <si>
    <t>964f067a-f93f-4d3f-ac39-4b2747e93f1f</t>
  </si>
  <si>
    <t>2477_12</t>
  </si>
  <si>
    <t>2477/12</t>
  </si>
  <si>
    <t>Title Registration Act, No. 21 of 1998, Section 14 — Commissioner of Title Settlement's decision under Section 14 (Gazette 2477/12)</t>
  </si>
  <si>
    <t>m1/raw/2477_12.pdf</t>
  </si>
  <si>
    <t>7c13e450-ba60-482c-8733-92ce27d8b792</t>
  </si>
  <si>
    <t>2477_13</t>
  </si>
  <si>
    <t>2477/13</t>
  </si>
  <si>
    <t>Land Acquisition Act (Chapter 460), Section 5/7 — Land Acquisition Notice (Gazette 2477/13)</t>
  </si>
  <si>
    <t>m1/raw/2477_13.pdf</t>
  </si>
  <si>
    <t>III ෙක(cid:675)ටස - (cid:636) ලංකා (cid:541)ජාතා(cid:486)(cid:437)ක සමාජවා(cid:463) ජනරජෙ(cid:591) අ(cid:431) (cid:618)ෙශෂ ගැස(cid:376) ප(cid:436)ය - 2026.02.23 1A
பகுதி III - இலங்ைகச் சனநாயக ேசாச(cid:8098)சக் கு(cid:8074)யரசு வர்த்தமானப் பத்திாிைக - அதி விேசஷமான(cid:8080) - 2026.02.23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22447777//1133 -- 22002266 ෙෙපපබබරරවවාා(cid:604)(cid:604) මමසස 2233 වවැැ(cid:487)(cid:487) සස(cid:511)(cid:511)දදාා -- 22002266..0022..2233
22447777//1133 ஆஆம்ம் இஇலலக்க்ககம்ம் -- 22002266 ஆஆம்ம் ஆஆண்ண்(cid:8076)(cid:8076) ெெபபப்ப்(cid:8087)(cid:8087)(cid:8094)(cid:8094)வவாாிி மமாாததம்ம் 2233 ஆஆந்ந் ததிிககததிி த திிங்ங்ககட்ட்ககிிழழைைமம
(அரசாங்கத்தின் அதிகாரத்(cid:8080)டன் பிரசுாிக்கப்பட்ட(cid:8080))
பபகுகுததிி IIIIII -- ககாாணணிிககள்ள்
ககாாணணிி ெெககாாள்ள்வவனன(cid:8107)(cid:8107) பபற்ற்றறிியய அஅறறிிவவிித்த்ததல்ல்ககள்ள்
ககாாணணிி எஎ(cid:8076)(cid:8076)த்த்ததற்ற் சசட்ட்டடம்ம் ((அஅத்த்ததிியயாாயயம்ம் 446600)) அஅட்ட்டடவவைைணண
38 ஆம் பிாிவின் காப்(cid:8087)வாசகம் (அ) வின் கீழான கட்டைள II.. ககாாணணிி எஎ(cid:8076)(cid:8076)த்த்ததல்ல் உஉத்த்ததிிேேயயாாககத்த்ததர்ர் :: ெகாலன்னாைவ
மைழநீர் வ(cid:8074)கால் மற்(cid:8096)ம் சுற்(cid:8096)ச்சூழல் (cid:8089)ன்ேனற்றத் திட்டம்.
22002266 ஆஆம்ம் ஆஆண்ண்(cid:8074)(cid:8074)ன்ன் 1177 ஆஆம்ம் இஇலலக்க்ககக்க் ககட்ட்டடைைளள
IIII.. ககாாணணிியயிின்ன் வவிிபபரரம்ம் :: ேமல் மாகாணத்தின், ெகா(cid:8104)ம்(cid:8087)
மாவட்டத்தில் ெகாெலான்னாவ பிரேதச ெசயலாளர் பிாிவில்
என(cid:8080) குறிப்(cid:8087) இல.: 4-3/24/2019/LRB/449.
இல. 507, ெவன்னவத்ைத இல. 508. கித்தம்பஹுவ கிராம
காணி எ(cid:8076)த்தல் உத்திேயாகத்தர் குறிப்(cid:8087) இல.: KSWD&amp;EIP/
அ(cid:8100)வலா் பிாிவில், ெவன்னவத்ைத மற்(cid:8096)ம் கித்தம்பஹுவ
ACQ/DWC/03.
கிராமங்களில் அைமந்(cid:8080)ள்ள நில அளைவயாளர் நாயகத்தின்
காணி எ(cid:8076)த்தற் சட்டத்தின் (அத்தியாயம் 460) 38 ஆம் இல. CO/KLN/2023/117, 2023.12.27 ஆந் திகதிய (cid:8089)தற்
சுவட்(cid:8076) வைரபடத்தில் ெபயர்கள், விஸ்தீரணங்ைளக்
பிாிவின் காப்(cid:8087)வாசகம் (அ) வினால் எனக்களிக்கப்பட்ட
ெகாண்ட காணித் (cid:8080)ண்(cid:8076)களின் எல்ைலகள் :
தத்(cid:8080)வங்களின் பிரகாரம், கமத்ெதாழில், கால்நைட வளங்கள்,
காணி மற்(cid:8096)ம் நீர்ப்பாசன அைமச்சர் குரகமேக ெதான் லால்
01. (cid:8080)(cid:8080)ண்ண்(cid:8076)(cid:8076) ““BB”” –– வவலலவ்வ்வவத்த்ைைதத வவாாிி மமததிிப்ப்பீபீட்ட்(cid:8076)(cid:8076) இஇலலக்க்ககம்ம்
காந்த ஆகிய நான், இங்கு கீழ்க் கா(cid:8078)ம் அட்டவைணயின்
2233AA,, இஇரரண்ண்டடாாம்ம் ஒஒ(cid:8104)(cid:8104)ங்ங்ைைகக -- வவிிஸ்ஸ்ததீீரரணணம்ம்:: 00..00112266 ெெஹஹக்க்டடயயாார்ர்
I ஆம் பந்தியில் குறிப்பிடப்பட்ட காணி எ(cid:8076)த்தல் உத்தி
வடக்கு: ெசனரத் ெமாெஹாட்(cid:8074)ேக மங்க(cid:8098) ேகாகிலா
ேயாகத்த(cid:8094)க்கு அல்ல(cid:8080) அவரால் அதிகாரமளிக்கப்பட்ட
ெபேரரா உாிைமேகா(cid:8094)ம் வாிமதிப்பீட்(cid:8076) இல. 23Aஐ உைடய
எவேர(cid:8084)ம் உத்திேயாகத்தெரா(cid:8094)வ(cid:8094)க்கு அவ் அட்டவைண
வலவ்வத்ைத; கிழக்கு: இரண்டாம் ஒ(cid:8104)ங்ைக மற்(cid:8096)ம் (cid:8080)ண்(cid:8076) A;
யின் ேநெராத்த II ஆம் பந்தியில் விபாிக்கப்பட்ட காணியின்
ெதற்கு: (cid:8080)ண்(cid:8076)கள் A மற்(cid:8096)ம் C; ேமற்கு: (cid:8080)ண்(cid:8076) C, மஹ(cid:8080)ரேக
உைடைமைய ெபா(cid:8096)ப்ேபற்பதற்கு இத்தால் கட்டைள
சுனில் மஹிந்த உாிைமேகா(cid:8094)ம் வாிமதிப்பீட்(cid:8076) இல.
யி(cid:8076)கின்ேறன்.
28/37 மற்(cid:8096)ம் 2837 1/1 உைடய ஜம்(cid:8087)கஸ்வத்ைத அல்ல(cid:8080)
சம்பரன்கஹவத்ைத மற்(cid:8096)ம் ெசனரத் ெமாெஹாட்(cid:8074)ேக
ேக.(cid:8074) லால் காந்த,
மங்க(cid:8098) ேகாகிலா ெபேரரா உாிைமேகா(cid:8094)ம் வாிமதிப்பீட்(cid:8076)
கமத்ெதாழில், கால்நைட வளங்கள்,
இல. 23A உைடய வலவ்வத்ைத.
காணி மற்(cid:8096)ம் நீர்ப்பாசன அைமச்சர்.
கமத்ெதாழில், கால்நைட வளங்கள், காணி மற்(cid:8096)ம்
02. (cid:8080)(cid:8080)ண்ண்(cid:8076)(cid:8076) ““CC”” –– ஜஜம்ம்(cid:8087)(cid:8087)ககஸ்ஸ்வவத்த்ைைதத அஅல்ல்லல(cid:8080)(cid:8080)
நீர்ப்பாசன அைமச்சு,
சசம்ம்பபரரன்ன்ககஹஹவவத்த்ைைதத வவாாிிமமததிிப்ப்பீபீட்ட்(cid:8076)(cid:8076) இஇலல.. -- 2288//3377 மமற்ற்(cid:8096)(cid:8096)ம்ம் 2288//3377
“மிஹிகத்த ெம(cid:8080)ர”,
11//11,, ெெவவன்ன்னனவவத்த்ைைதத (cid:8106)(cid:8106)ததிி -- வவிிஸ்ஸ்ததீீரரணணம்ம்:: 00..00002266 ெெஹஹக்க்டடயயாார்ர்
காணிச் ெசயலகம்,
வடக்கு: (cid:8080)ண்(cid:8076)கள் B மற்(cid:8096)ம் A; கிழக்கு:
இல. 1200/6, இரஜமல்வத்ைத (cid:8106)தி,
(cid:8080)ண்(cid:8076)கள் B மற்(cid:8096)ம் A; ெதற்கு: (cid:8080)ண்(cid:8076) D, ெபா(cid:8080)(cid:8089)ல்ல
பத்தர(cid:8089)ல்ைல.
கங்கானம்ேக தயானந்த விேஜேசகர உாிைமேகா(cid:8094)ம்
2026, சனவாி 27.
1A - G46342 - 09(2026/02)
இவ் அதிவி ேஷட வர்த்தமானிைய www.documents.gov.lk எ(cid:8084)ம் இைணயத்தளத்தி(cid:8098)(cid:8094)ந்(cid:8080) பதிவிறக்கம் ெசய்ய (cid:8089)(cid:8074)(cid:8092)ம்.
2A III ෙක(cid:675)ටස - (cid:636) ලංකා (cid:541)ජාතා(cid:486)(cid:437)ක සමාජවා(cid:463) ජනරජෙ(cid:591) අ(cid:431) (cid:618)ෙශෂ ගැස(cid:376) ප(cid:436)ය - 2026.02.23
பகுதி III - இலங்ைகச் சனநாயக ேசாச(cid:8098)சக் கு(cid:8074)யரசு வர்த்தமானப் பத்திாிைக - அதி விேசஷமான(cid:8080) - 2026.02.23
வாிமதிப்பீட்(cid:8076) இல. 28/40 உைடய ஜம்(cid:8087)கஹவத்ைத மற்(cid:8096)ம் 07. (cid:8080)(cid:8080)ண்ண்(cid:8076)(cid:8076) ““HH”” –– ஜஜம்ம்(cid:8087)(cid:8087)ககஹஹவவத்த்ைைதத மமற்ற்(cid:8096)(cid:8096)ம்ம் சசம்ம்பபரரன்ன்
சம்பரன்கஹவத்ைத மற்(cid:8096)ம் மஹ(cid:8080)ரேக சுனில் மஹிந்த ககஹஹவவத்த்ைைதத வவாாிிமமததிிப்ப்பீபீட்ட்(cid:8076)(cid:8076) இஇலல.. 2288//5522,, ெெவவன்ன்னனவவத்த்ைைதத
உாிைமேகா(cid:8094)ம் வாிமதிப்பீட்(cid:8076) இல. 28/37,28/37 1/1 உைடய (cid:8106)(cid:8106)ததிி -- வவிிஸ்ஸ்ததீீரரணணம்ம்:: 00..00002255 ெெஹஹக்க்டடயயாார்ர்
ஜம்(cid:8087)கஸ்வத்ைத அல்ல(cid:8080) சம்பரன்கஹவத்ைத; ேமற்கு: வடக்கு: விதானேக சரத் காமிணி உாிைமேகா(cid:8094)ம்
மஹ(cid:8080)ரேக சுனில் மஹிந்த உாிைமேகா(cid:8094)ம் வாிமதிப்பீட்(cid:8076) வாிமதிப்பீட்(cid:8076) இல. 28/52 மற்(cid:8096)ம் ரன்பட்(cid:8074)ேதவேக
இல. 28/37 மற்(cid:8096)ம் 28/37 1/1 உைடய ஜம்(cid:8087)கஸ்வத்ைத திலகரத்ன உாிைமேகா(cid:8094)ம் வாிமதிப்பீட்(cid:8076) இல. 28/50
அல்ல(cid:8080) சம்பரன்கஹவத்ைத. உைடய ஜம்(cid:8087)கஹவத்ைத மற்(cid:8096)ம் சம்பரன்கஹவத்ைத;
கிழக்கு: (cid:8080)ண்(cid:8076)கள் G மற்(cid:8096)ம் A; ெதற்கு: (cid:8080)ண்(cid:8076) A; ேமற்கு:
03. (cid:8080)(cid:8080)ண்ண்(cid:8076)(cid:8076) ““DD”” –– ஜஜம்ம்(cid:8087)(cid:8087)ககஹஹவவத்த்ைைதத மமற்ற்(cid:8096)(cid:8096)ம்ம் சசம்ம்பபரரன்ன் (cid:8080)ண்(cid:8076) J, ெகாழம்ப ஆரச்சிேக ஸ்வர்ணபால உாிைமேகா(cid:8094)ம்
ககஹஹவவத்த்ைைதத வவாாிிமமததிிப்ப்பீபீட்ட்(cid:8076)(cid:8076) இஇலல.. 2288//4400,, ெெவவன்ன்னனவவத்த்ைைதத வாிமதிப்பீட்(cid:8076) இல. 28/59 மற்(cid:8096)ம் விதானேக சரத் காமிணி
(cid:8106)(cid:8106)ததிி -- வவிிஸ்ஸ்ததீீரரணணம்ம்:: 00..00001177 ெெஹஹக்க்டடயயாார்ர் உாிைமேகா(cid:8094)ம் வாிமதிப்பீட்(cid:8076) இல. 28/52 உைடய
ஜம்(cid:8087)கஹவத்ைத மற்(cid:8096)ம் சம்பரன்கஹவத்ைத.
வடக்கு: (cid:8080)ண்(cid:8076)கள் C மற்(cid:8096)ம் A; கிழக்கு: (cid:8080)ண்(cid:8076) A; ெதற்கு:
(cid:8080)ண்(cid:8076) E, கன்சுல் ஷர்மிலா அஜிநியாஸ் உாிைமேகா(cid:8094)ம்
08. (cid:8080)(cid:8080)ண்ண்(cid:8076)(cid:8076) ““JJ”” –– ஜஜம்ம்(cid:8087)(cid:8087)ககஹஹவவத்த்ைைதத மமற்ற்(cid:8096)(cid:8096)ம்ம் சசம்ம்பபரரன்ன்
வாிமதிப்பீட்(cid:8076) இல. 28/48 மற்(cid:8096)ம் ெபா(cid:8080)(cid:8089)ல்ல கங்கானம்ேக
ககஹஹவவத்த்ைைதத வவாாிிமமததிிப்ப்பீபீட்ட்(cid:8076)(cid:8076) இஇலல.. 2288//5599,, ெெவவன்ன்னனவவத்த்ைைதத
தயானந்த விேஜேசகர உாிைமேகா(cid:8094)ம் வாிமதிப்பீட்(cid:8076) இல.
(cid:8106)(cid:8106)ததிி -- வவிிஸ்ஸ்ததீீரரணணம்ம்:: 00..00001155 ெெஹஹக்க்டடயயாார்ர்
28/40 உைடய ஜம்(cid:8087)கஹவத்ைத மற்(cid:8096)ம் சம்பரன்கஹவத்ைத;
வடக்கு: ஜம்(cid:8087)கஹவத்ைத (cid:8106)தி மற்(cid:8096)ம் ெகாழம்ப ஆரச்சிேக
ேமற்கு: ெபா(cid:8080)(cid:8089)ல்ல கங்கானம்ேக தயானந்த விேஜேசகர ஸ்வர்ணபால உாிைமேகா(cid:8094)ம் வாிமதிப்பீட்(cid:8076) இல. 28/59
உாிைமேகா(cid:8094)ம் வாிமதிப்பீட்(cid:8076) இல. 28/40 உைடய ஜம்(cid:8087)கஹ உைடய ஜம்(cid:8087)கஹவத்ைத மற்(cid:8096)ம் சம்பரன்கஹவத்ைத; கிழக்கு:
வத்ைத மற்(cid:8096)ம் சம்பரன்கஹவத்ைத. விதானேக சரத் காமிணி உாிைமேகா(cid:8094)ம் வாிமதிப்பீட்(cid:8076) இல.
28/52 உைடய ஜம்(cid:8087)கஹவத்ைத மற்(cid:8096)ம் சம்பரன்கஹவத்ைத,
04. (cid:8080)(cid:8080)ண்ண்(cid:8076)(cid:8076) ““EE”” –– ஜஜம்ம்(cid:8087)(cid:8087)ககஹஹவவத்த்ைைதத மமற்ற்(cid:8096)(cid:8096)ம்ம் சசம்ம்பபரரன்ன் (cid:8080)ண்(cid:8076)கள் H, A மற்(cid:8096)ம் K; ெதற்கு: (cid:8080)ண்(cid:8076)கள் A மற்(cid:8096)ம் K;
ககஹஹவவத்த்ைைதத வவாாிிமமததிிப்ப்பீபீட்ட்(cid:8076)(cid:8076) இஇலல.. 2288//4488,, ெெவவன்ன்னனவவத்த்ைைதத ேமற்கு: (cid:8080)ண்(cid:8076) M, ஜம்(cid:8087)கஹவத்ைத (cid:8106)தி மற்(cid:8096)ம் ெகாழம்ப
ஆரச்சிேக ஸ்வர்ணபால உாிைமேகா(cid:8094)ம் வாிமதிப்பீட்(cid:8076) இல.
(cid:8106)(cid:8106)ததிி -- வவிிஸ்ஸ்ததீீரரணணம்ம்:: 00..00001188 ெெஹஹக்க்டடயயாார்ர்
28/59 உைடய ஜம்(cid:8087)கஹவத்ைத மற்(cid:8096)ம் சம்பரன்கஹவத்ைத.
வடக்கு: (cid:8080)ண்(cid:8076)கள் D மற்(cid:8096)ம் A; கிழக்கு: (cid:8080)ண்(cid:8076) A; ெதற்கு:
(cid:8080)ண்(cid:8076) F,(cid:8080)சித சந்தன உதயகுமார ெகா(cid:8104)ம்ப ஆராச்சி
09. (cid:8080)(cid:8080)ண்ண்(cid:8076)(cid:8076) ““KK”” –– குகுறறிிப்ப்பபிிடடப்ப்பபடடவவிில்ல்ைைலல -- வவிிஸ்ஸ்ததீீரரணணம்ம்::
உாிைமேகா(cid:8094)ம் வாிமதிப்பீட்(cid:8076) இல. 28/49 மற்(cid:8096)ம் கன்சுல்
00..00001133 ெெஹஹக்க்டடயயாார்ர்
ஷர்மிலா அஜிநியாஸ் உாிைமேகா(cid:8094)ம் வாிமதிப்பீட்(cid:8076) இல.
வடக்கு: (cid:8080)ண்(cid:8076)கள் J மற்(cid:8096)ம் A; கிழக்கு: (cid:8080)ண்(cid:8076) A மற்(cid:8096)ம்
28/48 உைடய ஜம்(cid:8087)கஹவத்ைத மற்(cid:8096)ம் சம்பரன்கஹவத்ைத; சந்தஹம் (cid:8106)தி; ெதற்கு: சந்தஹம் (cid:8106)தி மற்(cid:8096)ம் (cid:8080)ண்(cid:8076) M;
ேமற்கு: கன்சுல் ஷர்மிலா அஜிநியாஸ் உாிைமேகா(cid:8094)ம் ேமற்கு: (cid:8080)ண்(cid:8076) M மற்(cid:8096)ம் ஜம்(cid:8087)கஹவத்ைத (cid:8106)தி.
வாிமதிப்பீட்(cid:8076) இல. 28/48 உைடய ஜம்(cid:8087)கஹவத்ைத மற்(cid:8096)ம்
சம்பரன்கஹவத்ைத. 10. (cid:8080)(cid:8080)ண்ண்(cid:8076)(cid:8076) ““PP”” –– ஜஜம்ம்(cid:8087)(cid:8087)ககஹஹவவத்த்ைைதத மமற்ற்(cid:8096)(cid:8096)ம்ம் சசம்ம்பபரரன்ன்
ககஹஹவவத்த்ைைதத வவாாிிமமததிிப்ப்பீபீட்ட்(cid:8076)(cid:8076) இஇலல.. 3344//11,, ெெவவன்ன்னனவவத்த்ைைதத (cid:8106)(cid:8106)ததிி --
05. (cid:8080)(cid:8080)ண்ண்(cid:8076)(cid:8076) ““FF”” –– ஜஜம்ம்(cid:8087)(cid:8087)ககஹஹவவத்த்ைைதத மமற்ற்(cid:8096)(cid:8096)ம்ம் சசம்ம்பபரரன்ன் வவிிஸ்ஸ்ததீீரரணணம்ம்:: 00..00002288 ெெஹஹக்க்டடயயாார்ர்
வடக்கு: (cid:8092)ேவான் த்ாிஷா மிேசா உாிைமேகா(cid:8094)ம் வாி
ககஹஹவவத்த்ைைதத வவாாிிமமததிிப்ப்பீபீட்ட்(cid:8076)(cid:8076) இஇலல.. 2288//4499,, ெெவவன்ன்னனவவத்த்ைைதத
மதிப்பீட்(cid:8076) இல. 34/1 உைடய ஜம்(cid:8087)கஹவத்ைத மற்(cid:8096)ம்
(cid:8106)(cid:8106)ததிி -- வவிிஸ்ஸ்ததீீரரணணம்ம்:: 00..00002266 ெெஹஹக்க்டடயயாார்ர்
சம்பரன்கஹவத்ைத; கிழக்கு: ஜம்(cid:8087)கஹவத்ைத (cid:8106)தி
வடக்கு: (cid:8080)ண்(cid:8076)கள் E மற்(cid:8096)ம் A; கிழக்கு: (cid:8080)ண்(cid:8076) A;
மற்(cid:8096)ம் (cid:8080)ண்(cid:8076) N; ெதற்கு: (cid:8080)ண்(cid:8076) N; ேமற்கு: (cid:8080)ண்(cid:8076) Q,
ெதற்கு: (cid:8080)ண்(cid:8076)கள் A மற்(cid:8096)ம் G; ேமற்கு: ரன்பட்(cid:8074)ேதவேக
கல்கானேக திர்ம(cid:8098) ெத(cid:8098)ஸ் மற்(cid:8096)ம் (cid:8092)ேவான் த்ாிஷா மிேசா
திலகரத்ன உாிைமேகா(cid:8094)ம் வாிமதிப்பீட்(cid:8076) இல. 28/50 மற்(cid:8096)ம்
உாிைமேகா(cid:8094)ம் வாிமதிப்பீட்(cid:8076) இல. 34 மற்(cid:8096)ம் (cid:8092)ேவான்
(cid:8080)சித சந்தன உதயகுமார ெகா(cid:8104)ம்ப ஆராச்சி உாிைமேகா(cid:8094)ம் த்ாிஷா மிேசா உாிைமேகா(cid:8094)ம் வாிமதிப்பீட்(cid:8076) இல. 34/1
வாிமதிப்பீட்(cid:8076) இல. 28/49 உைடய ஜம்(cid:8087)கஹவத்ைத மற்(cid:8096)ம் உைடய ஜம்(cid:8087)கஹவத்ைத மற்(cid:8096)ம் சம்பரன்கஹவத்ைத.
சம்பரன்கஹவத்ைத.
11. (cid:8080)(cid:8080)ண்ண்(cid:8076)(cid:8076) ““QQ”” –– ஜஜம்ம்(cid:8087)(cid:8087)ககஹஹவவத்த்ைைதத மமற்ற்(cid:8096)(cid:8096)ம்ம் சசம்ம்பபரரன்ன்
06. (cid:8080)(cid:8080)ண்ண்(cid:8076)(cid:8076) ““GG”” –– ஜஜம்ம்(cid:8087)(cid:8087)ககஹஹவவத்த்ைைதத மமற்ற்(cid:8096)(cid:8096)ம்ம் சசம்ம்பபரரன்ன் ககஹஹவவத்த்ைைதத வவாாிிமமததிிப்ப்பீபீட்ட்(cid:8076)(cid:8076) இஇலல.. 3344,, ெெவவன்ன்னனவவத்த்ைைதத (cid:8106)(cid:8106)ததிி --
ககஹஹவவத்த்ைைதத வவாாிிமமததிிப்ப்பீபீட்ட்(cid:8076)(cid:8076) இஇலல.. 2288//5500,, ெெவவன்ன்னனவவத்த்ைைதத வவிிஸ்ஸ்ததீீரரணணம்ம்:: 00..00003344 ெெஹஹக்க்டடயயாார்ர்
வடக்கு: கல்கானேக திர்ம(cid:8098) ெத(cid:8098)ஸ் மற்(cid:8096)ம் (cid:8092)ேவான்
(cid:8106)(cid:8106)ததிி -- வவிிஸ்ஸ்ததீீரரணணம்ம்:: 00..00006611 ெெஹஹக்க்டடயயாார்ர்
த்ாிஷா மிேசா உாிைமேகா(cid:8094)ம் வாிமதிப்பீட்(cid:8076) இல. 34 உைடய
வடக்கு: ரன்பட்(cid:8074)ேதவேக திலகரத்ன உாிைமேகா(cid:8094)ம்
ஜம்(cid:8087)கஹவத்ைத மற்(cid:8096)ம் சம்பரன்கஹவத்ைத; கிழக்கு:
வாிமதிப்பீட்(cid:8076) இல. 28/50, (cid:8080)சித சந்தன உதயகுமார
(cid:8092)ேவான் த்ாிஷா மிேசா உாிைமேகா(cid:8094)ம் வாிமதிப்பீட்(cid:8076) இல.
ெகா(cid:8104)ம்ப ஆராச்சி உாிைமேகா(cid:8094)ம் வாிமதிப்பீட்(cid:8076) இல. 28/49
34/1 உைடய ஜம்(cid:8087)கஹவத்ைத மற்(cid:8096)ம் சம்பரன்கஹவத்ைத,
உைடய ஜம்(cid:8087)கஹவத்ைத மற்(cid:8096)ம் சம்பரன்கஹவத்ைத மற்(cid:8096)ம்
(cid:8080)ண்(cid:8076)கள் P, N, R மற்(cid:8096)ம் S; ெதற்கு: (cid:8080)ண்(cid:8076)கள் N, R மற்(cid:8096)ம்
(cid:8080)ண்(cid:8076) F; கிழக்கு: (cid:8080)ண்(cid:8076) A; ெதற்கு: (cid:8080)ண்(cid:8076) A; ேமற்கு: S; ேமற்கு: (cid:8080)ண்(cid:8076) U, அஹங்கம கமேக பத்மிணி பராக்கிரம
(cid:8080)ண்(cid:8076) H, விதானேக சரத் காமிணி உாிைமேகா(cid:8094)ம் உாிைமேகா(cid:8094)ம் வாிமதிப்பீட்(cid:8076) இல. 40 மற்(cid:8096)ம் கல்கானேக
வாிமதிப்பீட்(cid:8076) இல. 28/52 மற்(cid:8096)ம் ரன்பட்(cid:8074)ேதவேக திர்ம(cid:8098) ெத(cid:8098)ஸ் மற்(cid:8096)ம் (cid:8092)ேவான் த்ாிஷா மிேசா உாிைம
திலகரத்ன உாிைமேகா(cid:8094)ம் வாிமதிப்பீட்(cid:8076) இல. 28/50உைடய ேகா(cid:8094)ம் வாிமதிப்பீட்(cid:8076) இல. 34 உைடய ஜம்(cid:8087)கஹவத்ைத
ஜம்(cid:8087)கஹவத்ைத மற்(cid:8096)ம் சம்பரன்கஹவத்ைத. மற்(cid:8096)ம் சம்பரன்கஹவத்ைத.
III ෙක(cid:675)ටස - (cid:636) ලංකා (cid:541)ජාතා(cid:486)(cid:437)ක සමාජවා(cid:463) ජනරජෙ(cid:591) අ(cid:431) (cid:618)ෙශෂ ගැස(cid:376) ප(cid:436)ය - 2026.02.23 3A
பகுதி III - இலங்ைகச் சனநாயக ேசாச(cid:8098)சக் கு(cid:8074)யரசு வர்த்தமானப் பத்திாிைக - அதி விேசஷமான(cid:8080) - 2026.02.23
12. (cid:8080)(cid:8080)ண்ண்(cid:8076)(cid:8076) ““UU”” –– ஜஜம்ம்(cid:8087)(cid:8087)ககஹஹவவத்த்ைைதத மமற்ற்(cid:8096)(cid:8096)ம்ம் சசம்ம்பபரரன்ன் 16. (cid:8080)(cid:8080)ண்ண்(cid:8076)(cid:8076) ““AADD”” –– பபவவரரன்ன்ககஹஹவவத்த்ைைதத,, பபம்ம்(cid:8087)(cid:8087)(cid:8094)(cid:8094)ககஹஹவவத்த்ைைதத
ககஹஹவவத்த்ைைதத வவாாிிமமததிிப்ப்பீபீட்ட்(cid:8076)(cid:8076) இஇலல.. 4400,, ெெவவன்ன்னனவவத்த்ைைதத (cid:8106)(cid:8106)ததிி -- மமற்ற்(cid:8096)(cid:8096)ம்ம் ேேககாான்ன்ககஹஹவவத்த்ைைதத வவாாிிமமததிிப்ப்பீபீட்ட்(cid:8076)(cid:8076) இஇலல.. 7755,, ெெவவன்ன்னன
வவிிஸ்ஸ்ததீீரரணணம்ம்:: 00..00003366 ெெஹஹக்க்டடயயாார்ர் வவத்த்ைைதத (cid:8106)(cid:8106)ததிி -- வவிிஸ்ஸ்ததீீரரணணம்ம்:: 00..00003399 ெெஹஹக்க்டடயயாார்ர்
வடக்கு: அஹங்கம கமேக பத்மிணி பராக்கிரம உாிைம வடக்கு: அதா(cid:8107)த ஆரச்சிேக ஒபன்னத பிேகரா உாிைம
ேகா(cid:8094)ம் வாிமதிப்பீட்(cid:8076) இல. 40 உைடய ஜம்(cid:8087)கஹவத்ைத ேகா(cid:8094)ம் வாிமதிப்பீட்(cid:8076) இல. 75 உைடய பவரன்கஹவத்ைத,
மற்(cid:8096)ம் சம்பரன்கஹவத்ைத; கிழக்கு: கல்கானேக திர்ம(cid:8098) பம்(cid:8087)(cid:8094)கஹவத்ைத மற்(cid:8096)ம் ேகான்கஹவத்ைத; கிழக்கு:
ெத(cid:8098)ஸ் மற்(cid:8096)ம் (cid:8092)ேவான் த்ாிஷா மிேசாஉாிைமேகா(cid:8094)ம் ைஜ(cid:8084)தீன் பாத்திமா பஸ்மின் உாிைமேகா(cid:8094)ம் வாிமதிப்பீட்(cid:8076)
வாிமதிப்பீட்(cid:8076) இல. 34 உைடய ஜம்(cid:8087)கஹவத்ைத மற்(cid:8096)ம் இல. 67/5 உைடய பவரன்கஹவத்ைத, பம்(cid:8087)(cid:8094)கஹவத்ைத
சம்பரன்கஹவத்ைத, (cid:8080)ண்(cid:8076)கள் Q மற்(cid:8096)ம் S; ெதற்கு: மற்(cid:8096)ம் ேகான்கஹவத்ைத, (cid:8080)ண்(cid:8076)கள் AA, AB மற்(cid:8096)ம் AC;
(cid:8080)ண்(cid:8076)கள் S மற்(cid:8096)ம் T; ேமற்கு: (cid:8080)ண்(cid:8076) V அஹங்கம கமேக ெதற்கு: (cid:8080)ண்(cid:8076)கள் AB, AC மற்(cid:8096)ம் AE; ேமற்கு: (cid:8106)தி மற்(cid:8096)ம்
பந்(cid:8080)ல பராக்கிரம உாிைமேகா(cid:8094)ம் வாிமதிப்பீட்(cid:8076) இல. 42 அதா(cid:8107)த ஆரச்சிேக ஒபன்னத பிேகரா உாிைமேகா(cid:8094)ம்
மற்(cid:8096)ம் அஹங்கம கமேக பத்மிணி பராக்கிரம உாிைமேகா(cid:8094)ம் வாிமதிப்பீட்(cid:8076) இல. 75 உைடய பவரன்கஹவத்ைத, பம்(cid:8087)(cid:8094)
வாிமதிப்பீட்(cid:8076) இல. 40 உைடய ஜம்(cid:8087)கஹவத்ைத மற்(cid:8096)ம் கஹவத்ைத மற்(cid:8096)ம் ேகான்கஹவத்ைத.
சம்பரன்கஹவத்ைத.
17. (cid:8080)(cid:8080)ண்ண்(cid:8076)(cid:8076) ““AAGG”” –– இஇம்ம்ததரராாவவத்த்ைைதத வவாாிிமமததிிப்ப்பீபீட்ட்(cid:8076)(cid:8076) இஇலலக்க்ககம்ம்
13. (cid:8080)(cid:8080)ண்ண்(cid:8076)(cid:8076) ““VV”” –– ஜஜம்ம்(cid:8087)(cid:8087)ககஹஹவவத்த்ைைதத மமற்ற்(cid:8096)(cid:8096)ம்ம் சசம்ம்பபரரன்ன் ககண்ண்(cid:8076)(cid:8076)பபிி(cid:8074)(cid:8074)க்க்கக (cid:8089)(cid:8089)(cid:8074)(cid:8074)யயாாதத ககிித்த்ததம்ம்பபஹஹுுவவ (cid:8106)(cid:8106)ததிி -- வவிிஸ்ஸ்ததீீரரணணம்ம்::
ககஹஹவவத்த்ைைதத வவாாிிமமததிிப்ப்பீபீட்ட்(cid:8076)(cid:8076) இஇலல.. 4422,, ெெவவன்ன்னனவவத்த்ைைதத (cid:8106)(cid:8106)ததிி -- 00..00001122 ெெஹஹக்க்டடயயாார்ர்
வவிிஸ்ஸ்ததீீரரணணம்ம்:: 00..00004422 ெெஹஹக்க்டடயயாார்ர் வடக்கு: பாத்திமா சுக்ாியா உாிைமேகா(cid:8094)ம் வாிமதிப்பீட்(cid:8076)
வடக்கு: அஹங்கம கமேக பந்(cid:8080)ல பராக்கிரம உாிைம இலக்கம் கண்(cid:8076)பி(cid:8074)க்க (cid:8089)(cid:8074)யாத இம்தராவத்ைத; கிழக்கு:
ேகா(cid:8094)ம் வாிமதிப்பீட்(cid:8076) இல. 42 உைடய ஜம்(cid:8087)கஹவத்ைத (cid:8106)தி, (cid:8080)ண்(cid:8076)கள் AE மற்(cid:8096)ம் AF; ெதற்கு: (cid:8080)ண்(cid:8076)கள் AE
மற்(cid:8096)ம் சம்பரன்கஹவத்ைத; கிழக்கு: அஹங்கம கமேக மற்(cid:8096)ம் AF; ேமற்கு: (cid:8080)ண்(cid:8076)கள் AJ, பியனேக ெதான் ெசாிசன்
பத்மிணி பராக்கிரம உாிைமேகா(cid:8094)ம் வாிமதிப்பீட்(cid:8076) இல. 40 பீாிஸ் உாிைமேகா(cid:8094)ம் வாிமதிப்பீட்(cid:8076) இல. 28 மற்(cid:8096)ம்
உைடய ஜம்(cid:8087)கஹவத்ைத மற்(cid:8096)ம் சம்பரன்கஹவத்ைத மற்(cid:8096)ம் பாத்திமா சுக்ாியா உாிைமேகா(cid:8094)ம் வாிமதிப்பீட்(cid:8076) இலக்கம்
(cid:8080)ண்(cid:8076) U; ெதற்கு: (cid:8080)ண்(cid:8076)கள் T மற்(cid:8096)ம் X; ேமற்கு: (cid:8080)ண்(cid:8076) கண்(cid:8076)பி(cid:8074)க்க (cid:8089)(cid:8074)யாத இம்தராவத்ைத.
W, (cid:8080)வக்குவா வ(cid:8076)ேக ஷர்(cid:8098) அேனாஜா மற்(cid:8096)ம் நிலஎல்ல
ெவதேக வசந்த கிறிஸ்னஜித் விக்ரமேசன உாிைமேகா(cid:8094)ம் 18. (cid:8080)(cid:8080)ண்ண்(cid:8076)(cid:8076) ““AAJJ”” –– இஇம்ம்ததரராாவவத்த்ைைதத வவாாிிமமததிிப்ப்பீபீட்ட்(cid:8076)(cid:8076) இஇலல.. 2288,,
வாிமதிப்பீட்(cid:8076) இல. 67/5A உைடய சம்பரன்கஹவத்ைத, ககிித்த்ததம்ம்பபஹஹுுவவ (cid:8106)(cid:8106)ததிி -- வவிிஸ்ஸ்ததீீரரணணம்ம்:: 00..00000099 ெெஹஹக்க்டடயயாார்ர்
ஜம்(cid:8087)கஹவத்ைத மற்(cid:8096)ம் ேகான்கஹவத்ைத மற்(cid:8096)ம் அஹங்கம் வடக்கு: பியனேக ெதான் ெசாிசன் பீாிஸ் உாிைமேகா(cid:8094)ம்
கமேக பந்(cid:8080)ல பராக்கிரம உாிைமேகா(cid:8094)ம் வாிமதிப்பீட்(cid:8076) இல. வாிமதிப்பீட்(cid:8076) இல. 28 உைடய இம்தராவத்ைத; கிழக்கு:
42 உைடய ஜம்(cid:8087)கஹவத்ைத மற்(cid:8096)ம் சம்பரன்கஹவத்ைத. பாத்திமா சுக்ாியா உாிைமேகா(cid:8094)ம் வாிமதிப்பீட்(cid:8076) இலக்கம்
கண்(cid:8076)பி(cid:8074)க்க (cid:8089)(cid:8074)யாத இம்தராவத்ைத, (cid:8080)ண்(cid:8076)கள் AG மற்(cid:8096)ம்
14. (cid:8080)(cid:8080)ண்ண்(cid:8076)(cid:8076) ““WW”” –– சசம்ம்பபரரன்ன்ககஹஹவவத்த்ைைதத,, ஜஜம்ம்(cid:8087)(cid:8087)ககஹஹவவத்த்ைைதத AF; ெதற்கு: (cid:8080)ண்(cid:8076)கள் AF, AH மற்(cid:8096)ம் AK; ேமற்கு: (cid:8080)ண்(cid:8076)
மமற்ற்(cid:8096)(cid:8096)ம்ம் ேேககாான்ன்ககஹஹவவத்த்ைைதத வவாாிிமமததிிப்ப்பீபீட்ட்(cid:8076)(cid:8076) இஇலல.. 6677//55AA,, AK, உாிைம ேகா(cid:8094)ேவார் கண்(cid:8076)பி(cid:8074)க்க (cid:8089)(cid:8074)யாத கால்வாய்
ெெவவன்ன்னனவவத்த்ைைதத (cid:8106)(cid:8106)ததிி -- வவிிஸ்ஸ்ததீீரரணணம்ம்:: 00..00000088 ெெஹஹக்க்டடயயாார்ர் மற்(cid:8096)ம் பியனேக ெதான் ெசாிசன் பீாிஸ் உாிைமேகா(cid:8094)ம்
வடக்கு: ைஜ(cid:8084)தீன் பாத்திமா பஸ்மின் உாிைமேகா(cid:8094)ம் வாிமதிப்பீட்(cid:8076) இல. 28 உைடய இம்தராவத்ைத.
வாிமதிப்பீட்(cid:8076) இல. 67/5 உைடய பவரன்கஹவத்ைத
பம்(cid:8087)(cid:8094)கஹவத்ைத மற்(cid:8096)ம் ேகான்கஹவத்ைத மற்(cid:8096)ம் 19. (cid:8080)(cid:8080)ண்ண்(cid:8076)(cid:8076) ““AAQQ”” –– இஇம்ம்ததரராாவவத்த்ைைதத வவாாிிமமததிிப்ப்பீபீட்ட்(cid:8076)(cid:8076) இஇலல.. 77,,
(cid:8080)வக்குவா வ(cid:8076)ேக ஷர்(cid:8098) அேனாஜா மற்(cid:8096)ம் நிலஎல்ல ககிித்த்ததம்ம்பபஹஹுுவவ (cid:8106)(cid:8106)ததிி -- வவிிஸ்ஸ்ததீீரரணணம்ம்:: 00..00001111 ெெஹஹக்க்டடயயாார்ர்
ெவதேக வசந்த கிறிஸ்னஜித் விக்ரமேசன உாிைமேகா(cid:8094)ம் வடக்கு: ெவன்னவத்ேக சந்திமா ேராஷிணி உாிைமேகா(cid:8094)ம்
வாிமதிப்பீட்(cid:8076) இல. 67/5A உைடய சம்பரன்கஹவத்ைத, வாிமதிப்பீட்(cid:8076) இல. 7உைடய இம்தராவத்ைத மற்(cid:8096)ம் உாிைம
ஜம்(cid:8087)கஹவத்ைத மற்(cid:8096)ம் ேகான்கஹவத்ைத; கிழக்கு: ேகா(cid:8094)ேவார் கண்(cid:8076)பி(cid:8074)க்க (cid:8089)(cid:8074)யாத கால்வாய்; கிழக்கு:
அஹங்கம கமேக பந்(cid:8080)ல பராக்கிரம உாிைமேகா(cid:8094)ம் உாிைம ேகா(cid:8094)ேவார் கண்(cid:8076)பி(cid:8074)க்க (cid:8089)(cid:8074)யாத கால்வாய்,
வாிமதிப்பீட்(cid:8076) இல. 42 உைடய ஜம்(cid:8087)கஹவத்ைத மற்(cid:8096)ம் (cid:8080)ண்(cid:8076)கள் AN, AP மற்(cid:8096)ம் AR; ெதற்கு: (cid:8080)ண்(cid:8076)கள் AN, AP
சம்பரன்கஹவத்ைத மற்(cid:8096)ம் (cid:8080)ண்(cid:8076) P; ெதற்கு: (cid:8080)ண்(cid:8076)கள் X மற்(cid:8096)ம் AR; ேமற்கு: (cid:8080)ண்(cid:8076) AT, ரன்உ(cid:8100)ேக ஸ்ரீயாரத்ன
மற்(cid:8096)ம் Y; ேமற்கு: (cid:8080)ண்(cid:8076)கள் X, Y,Z மற்(cid:8096)ம் AA. உாிைமேகா(cid:8094)ம் வாிமதிப்பீட்(cid:8076) இல. 69/12 உைடய தங்கஹ
கும்(cid:8087)ர அல்ல(cid:8080) ஓவிட்ட மற்(cid:8096)ம் ெவன்னவத்தேக சந்திமா
15. (cid:8080)(cid:8080)ண்ண்(cid:8076)(cid:8076) ““AAAA”” –– பபவவரரன்ன்ககஹஹவவத்த்ைைதத,, பபம்ம்(cid:8087)(cid:8087)(cid:8094)(cid:8094)ககஹஹவவத்த்ைைதத ேராஷிணி உாிைமேகா(cid:8094)ம் வாிமதிப்பீட்(cid:8076) இல. 7 உைடய
மமற்ற்(cid:8096)(cid:8096)ம்ம் ேேககாான்ன்ககஹஹவவத்த்ைைதத வவாாிிமமததிிப்ப்பீபீட்ட்(cid:8076)(cid:8076) இஇலல.. 6677//55,, இம்தராவத்ைத.
ெெவவன்ன்னனவவத்த்ைைதத (cid:8106)(cid:8106)ததிி -- வவிிஸ்ஸ்ததீீரரணணம்ம்:: 00..00000066 ெெஹஹக்க்டடயயாார்ர்
வடக்கு: ைஜ(cid:8084)தீன் பாத்திமா பஸ்மின் உாிைமேகா(cid:8094)ம் 20. (cid:8080)(cid:8080)ண்ண்(cid:8076)(cid:8076) ““AATT”” –– ததங்ங்ககஹஹகுகும்ம்(cid:8087)(cid:8087)ரர அஅல்ல்லல(cid:8080)(cid:8080) ஓஓவவிிட்ட்டட
வாிமதிப்பீட்(cid:8076) இல. 67/5 உைடய பவரன்கஹவத்ைத, வவாாிிமமததிிப்ப்பீபீட்ட்(cid:8076)(cid:8076) இஇலல.. 6699//1122,, ககிித்த்ததம்ம்பபஹஹுுவவ (cid:8106)(cid:8106)ததிி -- வவிிஸ்ஸ்ததீீரரணணம்ம்::
பம்(cid:8087)(cid:8094)கஹவத்ைத மற்(cid:8096)ம் ேகான்கஹவத்ைத; கிழக்கு: 00..00001111 ெெஹஹக்க்டடயயாார்ர்
(cid:8080)வக்குவா வ(cid:8076)ேக ஷர்(cid:8098) அேனாஜா மற்(cid:8096)ம் நிலஎல்ல வடக்கு: ரன்உ(cid:8100)ேக ஸ்ரீயாரத்ன உாிைமேகா(cid:8094)ம் வாி
ெவதேக வசந்த கிறிஸ்னஜித் விக்ரமேசன உாிைமேகா(cid:8094)ம் மதிப்பீட்(cid:8076) இல. 69/12 உைடய தங்கஹகும்(cid:8087)ர அல்ல(cid:8080) ஓவிட்ட
வாிமதிப்பீட்(cid:8076) இல. 67/5A உைடய, சம்பரன்கஹவத்ைத, மற்(cid:8096)ம் ெவன்னவத்தேக சந்திமா ேராஷிணி உாிைமேகா(cid:8094)ம்
ஜம்(cid:8087)கஹவத்ைத மற்(cid:8096)ம் ேகான்கஹவத்ைத மற்(cid:8096)ம் (cid:8080)ண்(cid:8076) வாிமதிப்பீட்(cid:8076) இல. 7 உைடய இம்தராவத்ைத; கிழக்கு:
W; ெதற்கு: (cid:8080)ண்(cid:8076)கள் Y,Z மற்(cid:8096)ம் AB; ேமற்கு: (cid:8080)ண்(cid:8076)கள் Z, (cid:8080)ண்(cid:8076)கள் AQ, AR மற்(cid:8096)ம் AS; ெதற்கு: (cid:8080)ண்(cid:8076)கள் AR, AS
AB மற்(cid:8096)ம் AD. மற்(cid:8096)ம் AU; ேமற்கு: (cid:8080)ண்(cid:8076) AW.
4A III ෙක(cid:675)ටස - (cid:636) ලංකා (cid:541)ජාතා(cid:486)(cid:437)ක සමාජවා(cid:463) ජනරජෙ(cid:591) අ(cid:431) (cid:618)ෙශෂ ගැස(cid:376) ප(cid:436)ය - 2026.02.23
பகுதி III - இலங்ைகச் சனநாயக ேசாச(cid:8098)சக் கு(cid:8074)யரசு வர்த்தமானப் பத்திாிைக - அதி விேசஷமான(cid:8080) - 2026.02.23
21. (cid:8080)(cid:8080)ண்ண்(cid:8076)(cid:8076) ““AAWW”” –– ததங்ங்ககஹஹகுகும்ம்(cid:8087)(cid:8087)ரர அஅல்ல்லல(cid:8080)(cid:8080) ஓஓவவிிட்ட்டட ககாாணணிி எஎ(cid:8076)(cid:8076)த்த்ததற்ற் சசட்ட்டடம்ம் ((அஅத்த்ததிியயாாயயம்ம் 446600))
வவாாிிமமததிிப்ப்பீபீட்ட்(cid:8076)(cid:8076) இஇலல.. 6699//1111 மமற்ற்(cid:8096)(cid:8096)ம்ம் 6699//1111 11//11 ககிித்த்ததம்ம்பபஹஹுுவவ
(cid:8106)(cid:8106)ததிி -- வவிிஸ்ஸ்ததீீரரணணம்ம்:: 00..00001111 ெெஹஹக்க்டடயயாார்ர் 38 ஆம் பிாி(cid:8107) (அ) வின் கீழான கட்டைள
வடக்கு: விேஜரத்ன (cid:8089)(cid:8074)யன்ேசலாேக ரசிக சஞ்சீவ
ெராதிாிக்கு உாிைமேகா(cid:8094)ம் வாிமதிப்பீட்(cid:8076) இல. 69/11,69/11 22002266 ஆஆம்ம் ஆஆண்ண்(cid:8074)(cid:8074)ன்ன் 1188 ஆஆம்ம் இஇலலக்க்ககக்க் ககட்ட்டடைைளள
1/1 மற்(cid:8096)ம் ரன்உ(cid:8100)ேக ஸ்ரீயாரத்ன உாிைமேகா(cid:8094)ம்
வாிமதிப்பீட்(cid:8076) இல. 69/12 உைடய தங்கஹகும்(cid:8087)ர அல்ல(cid:8080) என(cid:8080) குறிப்(cid:8087) இல.: 4-3/5/2020/HA/24.
ஓவிட்ட; கிழக்கு: ரன்உ(cid:8100)ேக ஸ்ரீயாரத்ன உாிைமேகா(cid:8094)ம் பிரேதச ெசயலாளர் குறிப்(cid:8087) இல.: ATU/LAD/04/DO56.
வாிமதிப்பீட்(cid:8076) இல. 69/12 உைடய தங்கஹகும்(cid:8087)ர அல்ல(cid:8080)
ஓவிட்ட, (cid:8080)ண்(cid:8076)கள் AT,AU, AV மற்(cid:8096)ம் AY; ெதற்கு: (cid:8080)ண்(cid:8076)கள் காணி எ(cid:8076)த்தற் சட்டத்தின் (அத்தியாயம் 460) 38 ஆம்
AU, AV மற்(cid:8096)ம் AY; ேமற்கு: (cid:8080)ண்(cid:8076) AX, அன்டன் சாந்த பிாி(cid:8107) (அ) வினால் எனக்களிக்கப்பட்ட தத்(cid:8080)வங்களின்
திஸ்ஸ (cid:8106)ரசிங்க உாிைமேகா(cid:8094)ம் வாிமதிப்பீட்(cid:8076) இல. 69/10 பிரகாரம், கமத்ெதாழில், கால்நைட வளங்கள், காணி மற்(cid:8096)ம்
உைடய தங்கஹஓவிட்ட மற்(cid:8096)ம் விேஜரத்ன (cid:8089)(cid:8074)யன்ேசலாேக நீர்ப்பாசன அைமச்சர் குரகமேக ெதான் லால் காந்த ஆகிய
ரசிக சஞ்சீவ ெராதிாிக்கு உாிைமேகா(cid:8094)ம் வாிமதிப்பீட்(cid:8076) நான், இங்கு கீழ்க் கா(cid:8078)ம் அட்டவைணயின் I ஆம் பந்தியில்
இல. 69/11,69/11 1/1 உைடய தங்கஹகும்(cid:8087)ர அல்ல(cid:8080) ஓவிட்ட. குறிப்பிடப்பட்ட காணி எ(cid:8076)த்தல் உத்திேயாகத்த(cid:8094)க்கு
அல்ல(cid:8080) அவரால் அதிகாரமளிக்கப்பட்ட எவேர(cid:8084)ம் உத்தி
22. (cid:8080)(cid:8080)ண்ண்(cid:8076)(cid:8076) ““AAXX”” –– ததங்ங்ககஹஹஓஓவவிிட்ட்டட அஅல்ல்லல(cid:8080)(cid:8080) ஓஓவவிிட்ட்டட ேயாகத்தெரா(cid:8094)வ(cid:8094)க்கு அவ் அட்டவைணயின் ேநெராத்த
வவாாிிமமததிிப்ப்பீபீட்ட்(cid:8076)(cid:8076) இஇலல.. 6699//1100 ககிித்த்ததம்ம்பபஹஹுுவவ (cid:8106)(cid:8106)ததிி -- வவிிஸ்ஸ்ததீீரரணணம்ம்:: II ஆம் பந்தியில் விபாிக்கப்பட்ட காணியின் இ(cid:8094)ப்பாட்சிைய
00..00003322 ெெஹஹக்க்டடயயாார்ர் ெபா(cid:8096)ப்ேபற்பதற்கு இத்தால் கட்டைளயி(cid:8076)கின்ேறன்.
வடக்கு: அன்டன் சாந்த திஸ்ஸ விரசிங்க உாிைமேகா(cid:8094)ம்
வாிமதிப்பீட்(cid:8076) இல. 69/10 உைடய தங்கஹஓவிட்ட அல்ல(cid:8080) ேக.(cid:8074) லால் காந்த,
ஓவிட்ட மற்(cid:8096)ம் விேஜரத்ன (cid:8089)(cid:8074)யன்ேசலாேக ரசிக சஞ்சீவ கமத்ெதாழில், கால்நைட வளங்கள்,
ெராதிாிக்கு உாிைமேகா(cid:8094)ம் வாிமதிப்பீட்(cid:8076) இல. 69/11,69/11 காணி மற்(cid:8096)ம் நீர்ப்பாசன அைமச்சர்.
1/1 உைடய தங்கஹகும்(cid:8087)ர அல்ல(cid:8080) ஓவிட்ட; கிழக்கு:
(cid:8080)ண்(cid:8076)கள் AW மற்(cid:8096)ம் AY; ெதற்கு: (cid:8080)ண்(cid:8076)கள் AY, AZ மற்(cid:8096)ம் கமத்ெதாழில், கால்நைட வளங்கள், காணி மற்(cid:8096)ம்
BA; ேமற்கு: (cid:8080)ண்(cid:8076)கள் AZ, BA, (cid:8106)தி மற்(cid:8096)ம் அன்டன் சாந்த நீர்ப்பாசன அைமச்சு,
திஸ்ஸ (cid:8106)ரசிங்க உாிைமேகா(cid:8094)ம் வாிமதிப்பீட்(cid:8076) இல. 69/10 “மிஹிகத்த ெம(cid:8080)ர”,
உைடய தங்கஹஓவிட்ட அல்ல(cid:8080) ஓவிட்ட. காணிச் ெசயலகம்,
இல. 1200/6, இரஜமல்வத்ைத (cid:8106)தி,
23. (cid:8080)(cid:8080)ண்ண்(cid:8076)(cid:8076) ““BBBB”” –– ததங்ங்ககஹஹகுகும்ம்(cid:8087)(cid:8087)ரர அஅல்ல்லல(cid:8080)(cid:8080) ஓஓவவிிட்ட்டட வவாாிி பத்தர(cid:8089)ல்ைல.
மமததிிப்ப்பீபீட்ட்(cid:8076)(cid:8076) இஇலல--6699//33,, ககிித்த்ததம்ம்பபஹஹுுவவ (cid:8106)(cid:8106)ததிி -- வவிிஸ்ஸ்ததீீரரணணம்ம்:: 2026, ெபப்(cid:8087)(cid:8094)வாி 16.
00..00002200 ெெஹஹக்க்டடயயாார்ர்
வடக்கு: பாத்திமா அஸ்கா ஹம்சான் உாிைமேகா(cid:8094)ம் அஅட்ட்டடவவைைணண
வாிமதிப்பீட்(cid:8076) இல. 69/3 ஐ ெகாண்ட தங்கஹகும்(cid:8087)ர அல்ல(cid:8080)
ஓவிட்ட மற்(cid:8096)ம் (cid:8106)தி; கிழக்கு: (cid:8080)ண்(cid:8076)கள் BA, AZ மற்(cid:8096)ம் II.. ககாாணணிி எஎ(cid:8076)(cid:8076)த்த்ததல்ல் உஉத்த்ததிிேேயயாாககத்த்ததர்ர் :: பிரேதச ெசயலாளர்,
BE; ெதற்கு: (cid:8080)ண்(cid:8076)கள் BE மற்(cid:8096)ம் BC; ேமற்கு: (cid:8080)ண்(cid:8076) அத்(cid:8080)ர(cid:8098)ய.
BC, நஸ்ரானி ஷாஃபி உாிைமேகா(cid:8094)ம் வாிமதிப்பீட்(cid:8076) இல.
69/1 மற்(cid:8096)ம் பாத்திமா அஸ்கா ஹம்சத் உாிைமேகா(cid:8094)ம் IIII.. ககாாணணிியயிின்ன் வவிிபபரரம்ம் :: ெதன் மாகாணத்தில், மாத்தைற
வாிமதிப்பீட்(cid:8076) இல. 69/3 உைடய தங்கஹகும்(cid:8087)ர அல்ல(cid:8080) மாவட்டத்தில், அத்(cid:8080)ர(cid:8098)ய பிரேதச ெசயலாளர் பிாிவில்,
ஓவிட்ட. இல. 315 பஹல அத்(cid:8080)ர(cid:8098)ய கிராம அ(cid:8100)வலா் பிாிவில், பஹல
அத்(cid:8080)ர(cid:8098)ய கிராமத்தில் அைமந்(cid:8080)ள்ள, நில அளைவயாளர்
நாயகத்தினால் தயாாிக்கப்பட்ட கடத்திறள் வைரபட இல.
24. (cid:8080)(cid:8080)ண்ண்(cid:8076)(cid:8076) ““BBCC”” –– ததங்ங்ககஹஹகுகும்ம்(cid:8087)(cid:8087)ரர அஅல்ல்லல(cid:8080)(cid:8080) ஓஓவவிிட்ட்டட வவாாிி
820484, 2023.11.03 ஆந் திகதிய ஆரம்ப வைரபடத்தில்
மமததிிப்ப்பீபீட்ட்(cid:8076)(cid:8076) இஇலல--6699//11,, ககிித்த்ததம்ம்பபஹஹுுவவ (cid:8106)(cid:8106)ததிி -- வவிிஸ்ஸ்ததீீரரணணம்ம்::
பின்வ(cid:8094)ம் காணித் (cid:8080)ண்(cid:8074)ன் எல்ைலகள்:
00..00003399 ெெஹஹக்க்டடயயாார்ர்
வடக்கு: நஸ்ரானி ஷாஃபி உாிைமேகா(cid:8094)ம் வாிமதிப்பீட்(cid:8076)
01. (cid:8080)(cid:8080)ண்ண்(cid:8076)(cid:8076) இஇலல.. 0011 –– இஇடடன்ன்ெெககாாடட பபன்ன்சசல்ல் வவத்த்ைைதத --
இல. 69/1 மற்(cid:8096)ம் பாத்திமா அஸ்கா ஹம்சத் உாிைமேகா(cid:8094)ம்
வவிிஸ்ஸ்ததீீரரணணம்ம்:: 00..00220099 ெெஹஹக்க்டடயயாார்ர்
வாிமதிப்பீட்(cid:8076) இல. 69/3 தங்கஹகும்(cid:8087)ர அல்ல(cid:8080) ஓவிட்ட;
வடக்கு: (cid:8106)தி; கிழக்கு: அத்(cid:8080)ர(cid:8098)ய ஸ்ரீ நிவசாராமய உாிைம
கிழக்கு: (cid:8080)ண்(cid:8076)கள் BB மற்(cid:8096)ம் BE; ெதற்கு: (cid:8080)ண்(cid:8076)கள் BE
ேகா(cid:8094)ம் இடன்ெகாட பன்சல் வத்ைத; ெதற்கு:அத்(cid:8080)ர(cid:8098)ய
மற்(cid:8096)ம் BD; ேமற்கு: (cid:8080)ண்(cid:8076) BD, (cid:8106)தி மற்(cid:8096)ம் நஸ்ரானி
ஸ்ரீ நிவசாராமய உாிைமேகா(cid:8094)ம் இடன்ெகாட பன்சல்
ஷாஃபி உாிைமேகா(cid:8094)ம் வாிமதிப்பீட்(cid:8076) இல. 69/1 உைடய
வத்ைத; ேமற்கு: (cid:8106)தி.
தங்கஹகும்(cid:8087)ர அல்ல(cid:8080) ஓவிட்ட.
EOG 02-0189
EOG 02-0188
இலங்ைக அரசாங்க அச்சுத் திைணக்களத்தில் அச்சிடப்பட்ட(cid:8080).</t>
  </si>
  <si>
    <t>6c474389-7212-44d5-8411-8c8aa345c0eb</t>
  </si>
  <si>
    <t>2477_14</t>
  </si>
  <si>
    <t>2477/14</t>
  </si>
  <si>
    <t>Land Acquisition Act (Chapter 460), Section 39 — Notice (Gazette 2477/14)</t>
  </si>
  <si>
    <t>Notice under Section 39 of the Land Acquisition Act (Chapter 460) regarding land transfer/vesting. Reference 4-3/15/2016/SW/416. Part III — Lands.</t>
  </si>
  <si>
    <t>m1/raw/2477_14.pdf</t>
  </si>
  <si>
    <t>III ෙකාටස - (cid:636) ලංකා (cid:541)ජාතා(cid:486)(cid:437)ක සමාජවා(cid:463) ජනරජෙ(cid:591) අ(cid:431) (cid:618)ෙශෂ ගැස(cid:376) ප(cid:436)ය - 2025.02.23 1A
பகுதி III - இலங்ைகச் சனநாயக ேசாச(cid:8098)சக் கு(cid:8074)யரசு வர்த்தமானப் பத்திாிைக - அதி விேசஷமான(cid:8080) - 2025.02.23
(cid:636)(cid:636) ලලංංකකාා (cid:541)(cid:541)ජජාාතතාා(cid:486)(cid:486)(cid:437)(cid:437)කක සසමමාාජජවවාා(cid:463)(cid:463) ජජනනරරජජෙෙ(cid:591)(cid:591) ගගැැසස(cid:376)(cid:376) පප(cid:436)(cid:436)යය
இஇலலங்ங்ைைககச்ச் சசனனநநாாயயகக ேேசசாாசச(cid:8098)(cid:8098)சசக்க் குகு(cid:8074)(cid:8074)யயரரசுசு வவர்ர்த்த்ததமமாானனப்ப் பபத்த்ததிிாாிிைைகக
අඅ(cid:431)(cid:431) (cid:618)(cid:618)ෙෙශශෂෂ அஅததிி வவிிேேசசஷஷமமாானன(cid:8080)(cid:8080)
අඅංංකක 22447777// 1144 -- 22002266 ෙෙපපබබරරවවාා(cid:604)(cid:604) මමසස 2233 වවැැ(cid:487)(cid:487) සස(cid:511)(cid:511)දදාා -- 22002266..0022..2233
2477/14 ஆம் இலக்கம் - 2026 ஆம் ஆண்(cid:8076) ெ பப்(cid:8087)(cid:8094)வாி மாதம் 23 ஆந் திகதி திங்கட்கிழைம
(அரசாங்கத்தின் அதிகாரத்(cid:8080)டன் பிரசுாிக்கப்பட்ட(cid:8080))
பபகுகுததிி IIIIII -- ககாாணணிிககள்ள்
ககாாணணிி மமீீட்ட்டடல்ல் பபற்ற்றறிியய அஅறறிிவவிித்த்ததல்ல்ககள்ள்
ககாாணணிி எஎ(cid:8076)(cid:8076)த்த்ததற்ற் சசட்ட்டடம்ம் ((அஅத்த்ததிியயாாயயம்ம் 446600)) அட்டவைணயில் விபாிக்கப்பட்ட காணித்(cid:8080)ண்(cid:8074)ைன இக்
கட்டைள (cid:8090)லம் உாித்(cid:8080) நீக்குகின்ேறன்.
39 (அ)(1) ஆம் பிாிவின் கீழான கட்டைள
ேக. (cid:8074). லால் காந்த,
2019, ேம மாதம் 31 ஆம் திகதிய 2125/65 ஆம் இலக்க
கமத்ெதாழில், கால்நைட வளங்கள்,
இலங்ைகச் சனநாயக ேசாச(cid:8098)சக் கு(cid:8074)யரசின் அதிவிேசட
காணி மற்(cid:8096)ம் நீர்ப்பாசன அைமச்சர்.
வர்த்தமானியில் (அத்தியாயம் 460) காணி எ(cid:8076)த்தற் சட்டத்தின்
38 ஆம் பிாிவின் காப்(cid:8087)வாசகம் (அ) வின் கீழ் பிரசுாிக்கப்பட்ட
2019 ஆம் ஆண்(cid:8074)ன் 105 ஆம் இலக்க கட்டைளயில் என(cid:8080) இல. : 4 - 3/15/2016/SW/416.
குறிப்பிட்ட காணித் (cid:8080)ண்(cid:8076)களிைன (cid:8089)(cid:8104)ைமயாக காணி எ(cid:8076)த்தல் உத்திேயாகத்தர் குறிப்(cid:8087) இல. ARA/LND/
அரசுாித்தாக்கப்பட்(cid:8076)ள்ளேதா(cid:8076), அரசின் சார்பில் அச் ACQV1/D3/25.
சட்டத்தின் 40 ஆம் பிாிவின் (அ) பந்தியின் கீழ் இக் காணித் கமத்ெதாழில், கால்நைட வளங்கள், காணி
(cid:8080)ண்(cid:8076)களின் உைடைம(cid:8092)ம் ெபா(cid:8096)ப்ேபற்கப்பட்(cid:8076)ள்ளன.
மற்(cid:8096)ம் நீர்ப்பாசன அைமச்சு,
எனி(cid:8084)ம், அச் சட்டத்தின் (1979 ஆம் ஆண்(cid:8074)ன் 8 ஆம்
''மிஹிகத்த ெம(cid:8080)ர''
இலக்கச் சட்டத்தினால் உட்(cid:8087)குத்தப்பட்ட) 39 (அ) ஆம்
காணிச் ெசயலகம்,
பிாிவின் (1) ஆம் உட்பிாிவினால் எனக்களிக்கப்பட்ட
இல. 1200/6, இரஜமல்வத்ைத (cid:8106)தி,
தத்(cid:8080)வங்களின் பிரகாரம், கமத்ெதாழில், கால்நைட வளங்கள்,
காணி மற்(cid:8096)ம் நீர்ப்பாசன அைமச்சர் குரகமேக ெதான் லால் பத்தர(cid:8089)ல்ைல,
காந்த ஆகிய நான், குறித்த காணித் (cid:8080)ண்(cid:8076)களில் கீழ்வ(cid:8094)ம் 2026, ெபப்(cid:8087)(cid:8094)வாி 12.
1A - G46343 - 13 (2026/02)
இவ் அதிவி ேஷட வர்த்தமானிைய www.documents.gov.lk எ(cid:8084)ம் இைணயத்தளத்தி(cid:8098)(cid:8094)ந்(cid:8080) பதிவிறக்கம் ெசய்ய (cid:8089)(cid:8074)(cid:8092)ம்.
2A III ෙකාටස - (cid:636) ලංකා (cid:541)ජාතා(cid:486)(cid:437)ක සමාජවා(cid:463) ජනරජෙ(cid:591) අ(cid:431) (cid:618)ෙශෂ ගැස(cid:376) ප(cid:436)ය - 2025.02.23
பகுதி III - இலங்ைகச் சனநாயக ேசாச(cid:8098)சக் கு(cid:8074)யரசு வர்த்தமானப் பத்திாிைக - அதி விேசஷமான(cid:8080) - 2025.02.23
அஅட்ட்டடவைைணண மற்(cid:8096)ம் நீர்ப்பாசன அைமச்சர் குரகமேக ெதான் லால்
காந்த ஆகிய நான், குறித்த காணித் (cid:8080)ண்(cid:8076)களில் கீழ்வ(cid:8094)ம்
சப்பிரக(cid:8089)வ மாகாணம், ேககாைல மாவட்டம், அரநாயக்க அட்டவைணயில் விபாிக்கப்பட்ட காணித்(cid:8080)ண்(cid:8074)ைன இக்
பிரேதச ெசயலாளர் பிாிவில் கன்ஹத பலாத சி(cid:8096) பிாிவில், கட்டைள (cid:8090)லம் உாித்(cid:8080) நீக்குகின்ேறன்
இல. 47 ேமாராகம்மன கிராம அ(cid:8100)வலர் பிாிவில்
ேக. (cid:8074). லால் காந்த
ேமாராகம்மன கிராமத்தில் அைமந்(cid:8080)ள்ள, நில அளைவயாளர்
கமத்ெதாழில், கால்நைட வளங்கள்,
நாயகத்தினால் 2017.05.31 ஆந் திகதி தயாாிக்கப்பட்ட
காணி மற்(cid:8096)ம் நீர்ப்பாசன அைமச்சர்.
KE/ARN/2017/110 ஆம் இலக்க, (cid:8089)தற்சுவட்(cid:8076) வைரபடத்தில்
காட்டப்பட்ட பின்வ(cid:8094)ம் ெபயர், விஸ்தீரணத்ைதக் ெகாண்ட
என(cid:8080) இல. : 4 - 3/08/2019/CEB/613.
காணித் (cid:8080)ண்(cid:8074)ன் எல்ைலகள்: காணி எ(cid:8076)த்தல் உத்திேயாகத்தர் குறிப்(cid:8087) இல. : MON/ WEL/
LND/ 13/05/
0011.. (cid:8080)(cid:8080)ண்ண்(cid:8076)(cid:8076) ‘A’ –– பபல்ல்குகும்ம்(cid:8087)(cid:8087)ரர -- வவிிஸ்ஸ்ததீீரரணணம்ம்:: 00..00221122 02/2020/01.
கமத்ெதாழில், கால்நைட வளங்கள், காணி
ெெஹஹக்க்டடயயாார்ர்
மற்(cid:8096)ம் நீர்ப்பாசன அைமச்சு,
வடக்கு : (cid:8106)தி ((cid:8106)தி அபிவி(cid:8094)த்தி அதிகாரசைப) ; கிழக்கு:
''மிஹிகத்த ெம(cid:8080)ர''
பல்கும்(cid:8087)ர; ெதற்கு : பல்கும்(cid:8087)ர மற்(cid:8096)ம் கால்வாய்; ேமற்கு :
இல. 1200/6, காணிச் ெசயலகம்,
கால்வாய்.
இரஜமல்வத்ைத (cid:8106)தி,
பத்தர(cid:8089)ல்ைல,
EOG 02 - 0190
2026, ெபப்(cid:8087)(cid:8094)வாி 12.
அஅட்ட்டடவவைைணண
ககாாணணிி எஎ(cid:8076)(cid:8076)த்த்ததற்ற் சசட்ட்டடம்ம் ((அஅத்த்ததிியயாாயயம்ம் 446600))
ஊவா மாகாணம், ெமாணராகல மாவட்டம், ெவல்லவாய
பிரேதச ெசயலாளர் பிாிவில் இல. 152 ெகாட்(cid:8074)கன்ெபாக்க
39 (அ) (1) ஆம் பிாிவின் கீழான கட்டைள
கிராம அ(cid:8100)வலர் பிாிவில், திம்(cid:8087)ல(cid:8089)ேர கிராமத்தில்
அைமந்(cid:8080)ள்ள, நிலஅளைவயாளர் நாயகத்தினால்
2021, ஓகத்(cid:8080) மாதம் 12 ஆம் திகதிய 2240/27 ஆம் இலக்க
தயாாிக்கப்பட்ட MO/WLL/2020/411 ஆம் இலக்க (cid:8089)தற்
இலங்ைகச் சனநாயக ேசாச(cid:8098)சக் கு(cid:8074)யரசின் அதிவிேசட
சுவட்(cid:8076) வைரபடத்தில் (இகி.வ.669) (cid:8080)ண்(cid:8076) A இல்
வர்த்தமானியில் (அத்தியாயம் 460) காணி எ(cid:8076)த்தற் சட்டத்தின்
குறிப்பிடப்பட்(cid:8076)ள்ள கடத்திரள் வைரபட இல. 720284
38 ஆம் பிாிவின் காப்(cid:8087)வாசகம் (அ) வின் கீழ் பிரசுாிக்கப்பட்ட
இல் ெதாகுதி 01, தாள் இல. 01, 0.0182 ெஹக்டயார்
2021 ஆம் ஆண்(cid:8074)ன் 161 ஆம் இலக்க கட்டைளயில்
விஸ்தீரணத்தில் விபரமாக காட்டப்பட்ட பின்வ(cid:8094)ம் ெபயர்
குறிப்பிட்ட காணித்(cid:8080)ண்(cid:8076)களிைன (cid:8089)(cid:8104)ைமயாக அரசுாித்
விஸ்தீரணத்ைதக் ெகாண்ட காணித்(cid:8080)ண்(cid:8074)ன் எல்ைலகள்:
தாக்கப்பட்(cid:8076)ள்ளேதா(cid:8076), அரசின் சார்பில் அச் சட்டத்தின் 40
ஆம் பிாிவின் (அ) பந்தியின் கீழ் இக் காணித் (cid:8080)ண்(cid:8076)களின்
0011.. (cid:8080)(cid:8080)ண்ண்(cid:8076)(cid:8076) இஇலல.. 11 –– ததிிம்ம்(cid:8087)(cid:8087)லல(cid:8089)(cid:8089)ேேரரகுகும்ம்(cid:8087)(cid:8087)ேேரர -- வவிிஸ்ஸ்ததீீரரணணம்ம்::
உைடைம(cid:8092)ம் ெபா(cid:8096)ப்ேபற்கப்பட்(cid:8076)ள்ளன. எனி(cid:8084)ம், 00..00118822 ெெஹஹக்க்டடயயாார்ர்
அச் சட்டத்தின் (1979 ஆம் ஆண்(cid:8074)ன் 8 ஆம் இலக்கச் வடக்கு, கிழக்கு, ெதற்கு : இ.கி.வ 669 இல் (cid:8080)ண்(cid:8076)
சட்டத்தினால் உட்(cid:8087)குத்தப்பட்ட) 39 (அ) ஆம் பிாிவின் (1) இல. 44; ேமற்கு : இ.கி.வ 669 இல் (cid:8080)ண்(cid:8076) இல. 49.
ஆம் உட்பிாிவினால் எனக்களிக்கப்பட்ட தத்(cid:8080)வங்களின்
பிரகாரம், கமத்ெதாழில், கால்நைட வளங்கள், காணி EOG 02 - 0191
இலங்ைக அரசாங்க அச்சுத் திைணக்களத்தில் அச்சிடப்பட்ட(cid:8080).</t>
  </si>
  <si>
    <t>3169b1df-5f62-4e36-9c24-39fd6df0add0</t>
  </si>
  <si>
    <t>2477_15</t>
  </si>
  <si>
    <t>2477/15</t>
  </si>
  <si>
    <t>Provincial Councils Act, No. 42 of 1987 — Appointment under Section 32(1) (Gazette 2477/15)</t>
  </si>
  <si>
    <t>m1/raw/2477_15.pdf</t>
  </si>
  <si>
    <t>IV(ආ) : ෙකාටස - (cid:636) ලංකා (cid:541)ජාතා(cid:486)(cid:437)ක සමාජවා(cid:463) ජනරජෙ(cid:591) අ(cid:431) (cid:618)ෙශෂ ගැස(cid:376) ප(cid:436)ය - 2026.02.23 1A
பகுதி IV(ஆ) - இலங்ைகச் சனநாயக ேசாச(cid:8098)சக் கு(cid:8074)யரசு வர்த்தமானப் பத்திாிைக - அதி விேசஷமான(cid:8080) - 2026.02.23
(cid:636)(cid:636) ලලංංකකාා (cid:541)(cid:541)ජජාාතතාා(cid:486)(cid:486)(cid:437)(cid:437)කක සසමමාාජජවවාා(cid:463)(cid:463) ජජනනරරජජෙෙ(cid:591)(cid:591) ගගැැසස(cid:376)(cid:376) පප(cid:436)(cid:436)යය
අ(cid:431) (cid:618)ෙශෂ
இஇலலங்ங்ைைககச்ச் சசனனநநாாயயகக ேேசசாாசச(cid:8098)(cid:8098)சசக்க் குகு(cid:8074)(cid:8074)யயரரசுசு வவர்ர்த்த்ததமமாானனப்ப் பபத்த்ததிிாாிிைைகக
அதி விேசஷமான(cid:8080)
අඅංංකක 22447777//1155 -- 22002266 ෙෙපපබබරරවවාා(cid:604)(cid:604) මමසස 2233 වවැැ(cid:487)(cid:487) සස(cid:511)(cid:511)දදාා -- 22002266..0022..2233
2477/15 ஆம் இலக்கம் - 2026 ஆம் ஆண்(cid:8076) ெ பப்(cid:8087)(cid:8094)வாி 23 ஆந் திகதி திங்கட்கிழைம
(அரசாங்கத்தின் அதிகாரத்(cid:8080)டன் பிரசுாிக்கப்பட்ட(cid:8080))
பபகுகுததிி IIVV ((ஆஆ)):: உஉள்ள்(cid:8103)(cid:8103)ரராாட்ட்சசிி
உஉள்ள்(cid:8103)(cid:8103)ரராாட்ட்சசிி அஅறறிிவவிித்த்ததல்ல்ககள்ள்
ெெபபாா(cid:8080)(cid:8080)மமக்க்கக(cid:8102)(cid:8102)க்க்ககாானன அஅறறிிவவிித்த்ததல்ல்ககள்ள்
உஉள்ள்(cid:8103)(cid:8103)ரராாட்ட்சசிி அஅததிிககாாரர சசைைபபயயிின்ன் ெெபபயயர்ர் ::-- ஏஏறறாா(cid:8108)(cid:8108)ர்ர் நநககரர சசைைபப
வவட்ட்டடாாரரத்த்ததிின்ன் ெெபபயயர்ர் ::-- பபள்ள்ளளிியய(cid:8074)(cid:8074)
ககிிரராாமம அஅ(cid:8100)(cid:8100)வவலலாா் ் பபிிாாிி(cid:8107)(cid:8107) ::-- 119911 AA,, ஏஏறறாா(cid:8108)(cid:8108)ர்ர் -- 22AA
இலங்ைகச் சனநாயக ேசாச(cid:8098)சக் கு(cid:8074)யரசின் 1687/23 ஆம் இலக்க 2011.01.05 ஆம் திகதிய அதிவிேஷச வர்த்தமான பத்திாிைக
அறிவித்தல் (cid:8090)லம் ஏறா(cid:8108)ர் நகர சைபயாக பிரகரடனப்ப(cid:8076)த்தப்பட்(cid:8076)ள்ளதற்கு அைமவாக(cid:8107)ம், 1939 ஆம் ஆண்(cid:8074)ன் நகரசைப
கட்டைளச் சட்டத்தின் 255 ஆம் அத்தியாயத்தின் III ஆம் பாகத்தில் குறிப்பிடப்பட்(cid:8076)ள்ள பிாி(cid:8107)கைள நைட(cid:8089)ைறப்ப(cid:8076)த்(cid:8080)ம்
வைகயி(cid:8100)ம், இலங்ைகச் சனநாயக ேசாச(cid:8098)ச கு(cid:8074)யரசின் 2235/54 ஆம் இலக்க 2021. 07.08 ஆம் திகதிய அதிவிேஷச வர்த்தமான
பத்திாிைகயின் (cid:8090)லம் ேதசிய அரசுப்பேபரைவயின் 1978 ஆம் ஆண்(cid:8074)ன் 41 ஆம் இலக்க நகர அபிவி(cid:8094)த்தி அதிகார சைப
சட்டத்தின் 21 ஆவ(cid:8080) பிாி(cid:8107)டன் 1982 ஆம் ஆண்(cid:8074)ன் 4 ஆம் இலக்க நகர அபிவி(cid:8094)த்தி அதிகார சைப தி(cid:8094)த்தச் சட்டத்தின் 8
ஆவ(cid:8080) பிாிவின் கீழ் நகர அபிவி(cid:8094)த்தி மற்(cid:8096)ம் (cid:8106)டைமப்(cid:8087) அைமச்சரால் ெவௗியிடப்பட்ட நகர அபிவி(cid:8094)த்தி அதிகாரசைப
ஒ(cid:8104)ங்கு விதிக(cid:8102)க்கு அைமவாக(cid:8107)ம், 2025.08.28 ஆம் திகதி வியாழக்கிழைம நைடெபற்ற மாதாந்த சைபக்கூட்டத்தில்
எ(cid:8076)க்கப்பட்ட EUC/GM- 03/2025 - AUG/ 13 ஆம் இலக்க தீர்மானத்திற்கு அைமவாக(cid:8107)ம், 2025.12.18 ஆம் திகதி வியாழக்கிழைம
நைடெபற்ற மாதாந்த சைபக்கூட்டத்தில் எ(cid:8076)க்கப்பட்ட EUC/GM- 07/2025 -DEC/20 ஆம் இலக்க தீர்மானத்திற்கு அைமவாக(cid:8107)ம்
1A - PG7541 - 04 (2026/02)
இவ் அதிவி ேஷட வர்த்தமானிைய www.documents.gov.lk எ(cid:8084)ம் இைணயத்தளத்தி(cid:8098)(cid:8094)ந்(cid:8080) பதிவிறக்கம் ெசய்ய (cid:8089)(cid:8074)(cid:8092)ம்.
2A IV(ආ) : ෙකාටස - (cid:636) ලංකා (cid:541)ජාතා(cid:486)(cid:437)ක සමාජවා(cid:463) ජනරජෙ(cid:591) අ(cid:431) (cid:618)ෙශෂ ගැස(cid:376) ප(cid:436)ය - 2026.02.23
பகுதி IV(ஆ) - இலங்ைகச் சனநாயக ேசாச(cid:8098)சக் கு(cid:8074)யரசு வர்த்தமானப் பத்திாிைக - அதி விேசஷமான(cid:8080) - 2026.02.23
ஏறா(cid:8108)ர் நகர சைபயின் ஆட்(cid:8087)ள எல்ைலக்கு உட்பட்ட பள்ளிய(cid:8074) வட்டாரத்தில் உள்ள 191A ஆம் இலக்க ஏறா(cid:8108)ர் 2A கிராம
அ(cid:8100)வலர் பிாிவில் உள்ள கீழ்க் குறிப்பிடப்பட்ட(cid:8076)ள்ள அட்டவனணயில் உள்ள (cid:8106)திைய ஏறா(cid:8108)ர் நகர சைபக்குாிய (cid:8106)தியாக
இத்தால் பிரகடனப்ப(cid:8076)த்(cid:8080)கின்ேறன்.
இலங்ைக அரசாங்க அச்சுத் திைணக்களத்தில் அச்சிடப்பட்ட(cid:8080).
.லஇ.ாதெ
ன்ிவிாிப
்ாலவ(cid:8100)அ
மாரிக
ர்யபெ
ம்கக்லஇ
ன்ியித(cid:8106)
ர்யபெ
ன்ியித(cid:8106)
ம்டஇ
ம்குக்ிபம்ரஆ
ித(cid:8106)
ம்டஇ
ம்(cid:8092)டைவ(cid:8074)(cid:8089)
ித(cid:8106)
ல்ிாடட்ீம
ம்ளீந
தத்ாமெ
ன்ிவிாிப
ம்லகஅ
ிாசாரச
ன்ியித(cid:8106)
ல்ிாடட்ீம
(cid:8080)ந்(cid:8094)(cid:8098)ிதத்யமை
ன்ியித(cid:8106)
ல்ிாடட்ீம
லைல்எ
ன்ியித(cid:8106)
(cid:8080)ந்(cid:8094)(cid:8098)ிதத்யமை
ன்ியித(cid:8106)
ல்ிாடட்ீமலைல்எ
டடட்க
1 (191 A) ஏறா(cid:8108)ர் - 02A EB ET E 064 மர்ஹும் றகுமானியா பள்ளிய(cid:8074) 124.5 3.6 4.50 4.50
A.S.M. பாடசாைல (cid:8106)தி
றியால் (cid:8106)தி
(cid:8106)தி
அல்ஹாஜ். எஎம்ம்.. எஎஸ்ஸ்.. நநழழீீம்ம்,
தவிசாளர்,
ஏறா(cid:8108)ர் நகர சைப,
ஏறா(cid:8108)ர்.
ஏறா(cid:8108)ர் நகர சைப,
ஏறா(cid:8108)ர்.
உள்(cid:8102)ராட்சி அதிகார சைபயின் ெபயர் - ஏறா(cid:8108)ர் நகர சைப
.லஇ.ாதெ
ன்ிவிாிப
்ாலவ(cid:8100)அ
மாரிக
ர்யபெ
ம்கக்லஇ
ன்ியித(cid:8106)
ர்யபெ
ன்ியித(cid:8106)
ம்டஇ
ம்குக்ிபம்ரஆ
ித(cid:8106)
ம்டஇ
ம்(cid:8092)டைவ(cid:8074)(cid:8089)
ித(cid:8106)
ல்ிாடட்ீம
ம்ளீந
தத்ாமெ
ன்ிவிாிப
ம்லகஅ
ிாசாரச
ன்ியித(cid:8106)
ல்ிாடட்ீம
(cid:8080)ந்(cid:8094)(cid:8098)ிதத்யமை
ன்ியித(cid:8106)
ல்ிாடட்ீம
லைல்எ
ன்ியித(cid:8106)
(cid:8080)ந்(cid:8094)(cid:8098)ிதத்யமை
ன்ியித(cid:8106)
ல்ிாடட்ீமலைல்எ
டடட்க
1 (190 A) ஏறா(cid:8108)ர் 01A EB ET E 616 RC (cid:8106)தி பிரதான (cid:8106)ரபத்திரன் 1451.5 4.9 6.00 6.00
(194 A) ஏறா(cid:8108)ர் - 05 (cid:8106)தி ேகாவில் (cid:8106)தி
(192A) ஏறா(cid:8108)ர் - 06
(192 C) ஏறா(cid:8108)ர் - 06A
(192 D) ஏறா(cid:8108)ர் - 06D
2 (192 A) ஏறா(cid:8108)ர் - 06 EB ET E 535 காதியார் பிரதான பிரேதச 602.5 5.1 6.00 6.00
(cid:8106)தி (cid:8106)தி ெசயலக (cid:8106)தி
3 (192 D) ஏறா(cid:8108)ர் - 06D EB ET E 652 பிரேதச காதியார் ெபாிய 669.9 8.0 7.0 7.00
ெசயலக (cid:8106)தி தம்பிரான்
(cid:8106)தி ேகாவில் (cid:8106)தி
EOG 02- 0178</t>
  </si>
  <si>
    <t>196213b3-467f-45d5-bbde-478ce2293a7a</t>
  </si>
  <si>
    <t>2477_17</t>
  </si>
  <si>
    <t>2477/17</t>
  </si>
  <si>
    <t>Provincial Councils Act, No. 42 of 1987 — Provincial appointment / notice (Gazette 2477/17)</t>
  </si>
  <si>
    <t>m1/raw/2477_17.pdf</t>
  </si>
  <si>
    <t>7fb08a5c-1a6f-49cc-be0a-82af0b2eb0db</t>
  </si>
  <si>
    <t>2477_19</t>
  </si>
  <si>
    <t>2477/19</t>
  </si>
  <si>
    <t>Title Registration Act, No. 21 of 1998, Section 14 — Commissioner of Title Settlement decision (Gazette 2477/19)</t>
  </si>
  <si>
    <t>Commissioner of Title Settlement's decision under Section 14 of the Title Registration Act No. 21 of 1998. Part III — Lands. Land at Block 08, Village Niladhari Division of Deliwagoda, Padukka Divisional Secretariat, Colombo District. References Gazette 2430/22 of 22 April 2025.</t>
  </si>
  <si>
    <t>m1/raw/2477_19.pdf</t>
  </si>
  <si>
    <t>ශ්‍රී ඼ංකා ප්‍රජාාාා්ත්‍රික වමාජාලාදී ජානරජායේ ගැවට් පත්‍රය
The Gazette of the Democratic Socialist Republic of Sri Lanka
අති විශෙෂ EXTRAORDINARY
අංක 2477/19 - 2026 ශෙබරවාරි මස 23 වැනි සඳුදා - 2026.02.23
No. 2477/19 – MONDAY, FEBRUARY 23, 2026
(Published by Authority)
PART III - LANDS
Title Registration
REGISTRATION OF TITLE ACT, No. 21 OF 1998
Declaration of Determination of the Commissioner of Title Settlement under Section 14
BY virtue of the powers vested in me under Section 14 of the Registration of Title Act, No. 21 of 1998, I, the undersigned, hereby
declare my determination as set out in the Schedule appended hereto in regard to the title to parcel of Land No. 91, 7:195 of Block 08,
contained in the Cadastral Map No. 320241, situated in the Village of Dehipagoda, within the Grama Niladhari Division of No. 38 -
Gelioya in the Divisional Secretary's Division of Udunuwara, in the District of Kandy, in the Province of Central, referred to in Notice
calling for claims to land parcels which was duly published in the Gazette No. 2430/22 of 22nd April, 2025 in terms of Section 55 of the
Registration of Title Act, No.21 of 1998.
P. C. D. SIGERA,
Commissioner General of Land Title Settlement.
Land Title Settlement Department,
No. 1200/6, “Mihikatha Medura”,
Rajamalwatta Road,
Battaramulla,
12th February, 2026.
1A - G 46346 - 03 (02/2026)
N.B.– This Gazette Extraordinary can be downloaded from www.documents.gov.lk
2 A III යකොටව - ශ්‍රී ඼ංකා ප්‍රජාාාා්ත්‍රික වමාජාලාදී ජානරජායේ ි ව ශෙය඾඿ ගැවට් පත්‍රය - 2026.02.23
PART III – GAZETTE EXTRA ORDINARY OF THE DEMOCRATIC SOCIALIST REPUBLIC OF SRI LANKA – 23.02.2026
SCHEDULE
Particulars Particulars
Class and regarding if
National Extent Nature Mortgages subject
Parcel Extent Full Name/s of Owner/s Identity Owned of Encumbrances to any
No. and Address Card No. Title pending form of
Adjudication special or
and personal
Injunction law
(Hectare)
91 0.2155 Wijeraja Wasala Dasanayaka 200408014046 Full 1st Class –
Mudiyanselage Rithik
Abhishek Dasanayaka
203, Gurudeni Walauva, Gelioya
7:195 0.0085 Wijeraja Wasala Dasanayaka 200408014046 Full 1st Class –
Mudiyanselage Rithik
Abhishek Dasanayaka
203, Gurudeni Walauva, Gelioya
EOG 02-0196
PRINTED AT THE DEPARTMENT OF GOVERNMENT PRINTING, SRI LANKA.</t>
  </si>
  <si>
    <t>c506eb11-b6d9-40cc-b09b-ccf0b860fb6a</t>
  </si>
  <si>
    <t>2477_20</t>
  </si>
  <si>
    <t>2477/20</t>
  </si>
  <si>
    <t>Title Registration Act, No. 21 of 1998, Section 14 — Commissioner of Title Settlement's decision under Section 14 (Gazette 2477/20)</t>
  </si>
  <si>
    <t>m1/raw/2477_20.pdf</t>
  </si>
  <si>
    <t>1875b1de-1efa-4938-b146-825e8751b6b1</t>
  </si>
  <si>
    <t>2477_21</t>
  </si>
  <si>
    <t>2477/21</t>
  </si>
  <si>
    <t>Society Registration under Act No. 24 of 2017 — "Education Friends Society" (Gazette 2477/21)</t>
  </si>
  <si>
    <t>2017 අංක 24 දරන පනත යටතේ සංගමයක් ලියාපදිංචි කිරීම</t>
  </si>
  <si>
    <t>2017 ஆம் ஆண்டின் 24 ஆம் இலக்க சட்டத்தின் கீழ் "கல்வி நண்பர்கள் சங்கம்" பதிவு</t>
  </si>
  <si>
    <t>Registration of the society "Kalvi Nanbargal Sangam" (Education Friends Society) under Section 1(A) sub-section of Act No. 24 of 2017. Part I — General.</t>
  </si>
  <si>
    <t>Act No. 24 of 2017</t>
  </si>
  <si>
    <t>m1/raw/2477_21.pdf</t>
  </si>
  <si>
    <t>I fldgi ( ^I&amp; fPoh - YS% ,xld m%cd;dka;s%l iudcjd§ ckrcfha w;s úfYI .eiÜ m;%h - 2026'02'08 1
gFjp I : njhFjp (I) - ,yq;ifr; rdehaf Nrhryprf; FbauR tu;j;jkhdg; gj;;jpupif - mjp tpNr\khdJ - 2026.02.08
Y%S ,xld m%cd;dka;%sl iudcjd§ ckrcfha .eiÜ m;%h
w;s úfYI
,yq;ifr; rdehaf Nrhryprf; FbauR th;j;jkhdg; gj;jphpif
mjp tpNr\khdJ
wxl 2477$21 - 2026 fmnrjdß ui 24 jeks w`.yrejdod - 2026'02'24
2477/ 21 Mk; ,yf;fk; - 2026 Mk; Mz;L ngg;GUtup khjk; 24 Me; jpfjp nrt;tha;f;fpoik
(murhq;fj;jpd; mjpfhuj;Jld; gpuRupf;fg;gl;lJ)
gFjp I : njhFjp (I) - nghJ
murhq;f mwptpj;jy;fs;
22001177 ஆஆம்ம் ஆஆண்ண்டிடின்ன் 2244 ஆஆம்ம் இஇலலக்க்கக உஉள்ள்நாநாாாட்ட்டுடு இஇறைறைைைவவாாிி சசட்ட்டடத்த்திதிிின்ன் ஐஐந்ந்திதிாாம்ம் அஅட்ட்டடவவறைறை�� 11((அஅ)) பபந்ந்திதிிியியிிின்ன்
ககீீழாழாாானன ககட்ட்டடறைறைைைககள்ள்
2017 ஆம் ஆண்டின் 24 ஆம் இலக்க உள்நாாட்டு இறைைவாி சட்டத்திின் ஐந்திாம் அட்டவறை�யிின் 1(அ) பந்திியிினால் எனக்கு
அைிக்கப்பட்டுள்ை தித்துவங்கைின் பிரகாரம் நாிதிி, திிட்டமிிடல் மிற்றும் பபாருைாதிார அபிவிருத்திி அறைமிச்சர் அநுர குமிார
திிசாநாாயிக்க ஆகியி நாான், கீழழா அட்டவறை�யிில் குைிப்பிடப்பட்டுள்ை “சுகிதி நாலன்புாிச் சங்கம்” அப் பந்திியிின் ழநாாக்கத்திிற்காக
திர்மி திாபனமிாக இவ் அைிவித்தில் மூலம் பிரகடனப்படுத்துகின்ழைன்.
அஅநுநுரர குகுமிமிாாரர திதிிிசசாாநாநாாாயியிக்க்கக,,
நாிதிி, திிட்டமிிடல் மிற்றும் பபாருைாதிார அபிவிருத்திி அறைமிச்சர்.
நாிதிி, திிட்டமிிடல் மிற்றும் பபாருைாதிார அபிவிருத்திி அறைமிச்சு,
பகாழும்பு 01,
2026, பபப்புருவாி 24 ஆந் திிகதிி.
அஅட்ட்டடவவறைறை��
““சுசுககிிதிதி நாநாலலன்ன்புபுாாிிச்ச் சசங்ங்ககம்ம்””
EEOOGG 0022 -- 00220088
1A - G 46355 - 28 (2026/02) இலங்றைக அரசாங்க அச்சுத் திிறை�க்கைத்திில் பதிிப்பிக்கப்பபற்ைது
,t; mjptpNrl tu;j;jkhdpia www.documents.gov.lk vDk; ,izaj;jsj;jpypUe;J gjptpwf;fk; nra;a KbAk;.</t>
  </si>
  <si>
    <t>91f5c5d3-3249-45aa-a9ae-cf276b83c2d2</t>
  </si>
  <si>
    <t>2477_22</t>
  </si>
  <si>
    <t>2477/22</t>
  </si>
  <si>
    <t>Notice under Act No. 12 of 2006 (Gazette 2477/22)</t>
  </si>
  <si>
    <t>2006 අංක 12 දරන පනත යටතේ දැන්වීම</t>
  </si>
  <si>
    <t>2006 ஆம் ஆண்டின் 12 ஆம் இலக்க சட்டத்தின் கீழ் அறிவித்தல்</t>
  </si>
  <si>
    <t>General Government Notification under Act No. 12 of 2006. Part I — General.</t>
  </si>
  <si>
    <t>Act No. 12 of 2006</t>
  </si>
  <si>
    <t>m1/raw/2477_22.pdf</t>
  </si>
  <si>
    <t>ශ්‍රී ලංංකාා ප්‍රජාාතාාන්ත්‍රිකා සමාාජාවාාදී ජානරජායේ� ගැැසට් පත්‍රය
අති වියේ�ෂ
,yq;ifr; rdehaf Nrhryprf; FbauR th;j;jkhdg; gj;jphpif
mjp tpNr\khdJ
wxl 2477$22 - 2026 fmnrjdß ui 24 jeks w`.yrejdod - 2026'02'24
2477/ 22 Mk; ,yf;fk; - 2026 Mk; Mz;L ngg;GUtup khjk; 24 Me; jpfjp nrt;tha;f;fpoik
(murhq;fj;jpd; mjpfhuj;Jld; gpuRupf;fg;gl;lJ)
gFjp I : njhFjp (I) - nghJ
murhq;f mwptpj;jy;fs;
22000066 ஆஆம்ம் ஆஆண்ண்டிடின்ன் 1122 ஆஆம்ம் இஇலலக்க்கக முமுத்த்திதிிிரைரைைைத்த் திதிீீர்ர்ரைரைைை ((ைைிிசேசேேேடட ஏஏற்ற்பாபாாாடுடுககள்ள்)) ேேட்ட்டடம்ம்
5 ஆம் பாிாிைின் கீழாான கட்டரைை
2006 ஆம் ஆண்டின் 12 ஆம் இலக்க முத்திிரைைத் திீர்ரைை (ைிசேேட ஏற்பாாடுகள்) ேட்டத்திின் பாிாிவு 5 இன் கீழ் எனக்கைிக்கப்பாட்ட
தித்துைங்கைின் பாிைகாைம், நிிதிி, திிட்டமிிடல் மிற்றும் பபாாருைாதிாை அபாிைிருத்திி அரைமிச்ேர் அநுை குமிாை திிோநிாயக்க ஆகிய நிான்,
இந்தி கட்டரைையின் மூலம், அந்திப் பாிாிைின் கீழ் பைிியிடப்பாட்ட கட்டரைையிரைன, 2022, திிபேம்பார் 31 ஆந் திிகதிிய 2312/73
ஆம் இலக்க அதிிைிசேேட ைர்த்திமிானி அறிிைித்திலில் பைிியிடப்பாட்ட கட்டரைையினால் கரைடேியாகத் திிருத்திப்பாட்டைாறு,
2026, ஒற்சேறிாபார் 05 ஆந் திிகதிிய 1465/20 ஆம் இலக்க அதிிைிசேேட ைர்த்திமிானி அறிிைித்திலில் பைிியிடப்பாட்ட கட்டரைையில்,
அதின் அட்டைரை�யின் 37 ஆம் இலக்க ைிடயத்துக்குப் பாிறிகு உடனடியாகப் பாின்ைரும் புதிிய ைிடயத்ரைதிச் சேேர்ப்பாதின் மூலம்
திிருத்துகிசேறின்.
“38. இயற்ரைக அனர்த்தித்திின ால் பாாதிிக்கப்பாட்ட எந்திபைாரு ஆளுக்கும் அ ைோங்கத்திினால் ைழாங்கப்பாட்ட
பகாடுப்பானவுகளுக்கு ைழாங்கப்பாடும் எந்திபைாரு ைேீதும்.”
அஅநுநுைை குகுமிமிாாைை திதிிிேோாநிநிாாயயக்க்கக,,
நிிதிி, திிட்டமிிடல் மிற்றும் பபாாருைாதிாை அபாிைிருத்திி அரைமிச்ேர்.
நிிதிி, திிட்டமிிடல் மிற்றும் பபாாருைாதிாை அபாிைிருத்திி அரைமிச்சு,
பகாழும்பு 01,
2026, பபாப்புருைாி 24.
EOG 02 - 0207
1A - PG 7547 — 04 (2026/02) ,yq;if murhq;f mr;Rj; jpizf;fsj;jpw; gjpg;gpf;fg;ngw;wJ.
,t; mjptpNrl tu;j;jkhdpia www.documents.gov.lk vDk; ,izaj;jsj;jpypUe;J gjptpwf;fk; nra;a KbAk;.</t>
  </si>
  <si>
    <t>735f65d3-c062-41ce-bb1a-2c7c82f7248a</t>
  </si>
  <si>
    <t>2477_23</t>
  </si>
  <si>
    <t>2477/23</t>
  </si>
  <si>
    <t>General Government Notification — Co-operative Sector (Gazette 2477/23)</t>
  </si>
  <si>
    <t>රජයේ දැන්වීම — සමුපකාර අංශය</t>
  </si>
  <si>
    <t>அரசாங்க அறிவித்தல் — கூட்டுறவுத் துறை</t>
  </si>
  <si>
    <t>General Government Notification relating to the co-operative sector. Part I — General. Reference EOG 02-0192.</t>
  </si>
  <si>
    <t>m1/raw/2477_23.pdf</t>
  </si>
  <si>
    <t>ශ්‍රී ලංංකාා ප්‍රජාාතාාන්ත්‍රිකා සමාාජාවාාදී ජානරජායේ� ගැැසට් පත්‍රය
අති වියේ�ෂ
,yq;ifr; rdehaf Nrhryprf; FbauR th;j;jkhdg; gj;jphpif
mjp tpNr\khdJ
wxl 2477$23 - 2026 fmnrjdß ui 24 jeks w`.yrejdod - 2026'02'24
2477/ 23 Mk; ,yf;fk; - 2026 Mk; Mz;L ngg;GUtup khjk; 24 Me; jpfjp nrt;tha;f;fpoik
(murhq;fj;jpd; mjpfhuj;Jld; gpuRupf;fg;gl;lJ)
gFjp I : njhFjp (I) - nghJ
murhq;f mwptpj;jy;fs;
தத��ொொகைகைைைமம��ிிப்ப்புபு மமற்ற்றுறும்ம் புபுள்ள்ளிளிிிவிவிிிபபரரத்த் ��ிிகைகை��க்க்ைைளிளித்த்��ொொல்ல் ைை��ிிக்க்ைைப்ப்பபடுடும்ம்
தேதே��சிசிிியய நுநுைைர்ர்தேதேவிவிொொர்ர் விவிிிகைகைைைச்ச்சுசுட்ட்தத��ண்ண்
(அடிப்பகை� : 2021 = 100)
த�ொகைைம�ிப்பு புள்ளிிவிிபரத் �ிகை�க்ைளித்�ொல் ை�ிக்ைப்பட்� 2026, சினவிொி மொ�த்�ிற்ைொன தே�சிிய நுைர்தேவிொர் விிகைைச்சுட்த�ண்
211.4 (இருநூற்றிி ப�ிதனொன்று �சிம் நாொன்கு) என தபொது அறிிவிித்�லுக்ைொை இத்�ொல் அறிிவிிக்ைப்படுைின்றிது.
தேதேைை.. எஎம்ம்.. டிடி.. எஎஸ்ஸ்.. டிடி.. ைைருரு��ொொரரத்த்னன,
த�ொகைைம�ிப்பு மற்றும் புள்ளிிவிிபரப்
ப�ிப்பொளிர் நாொயைம்.
த�ொகைைம�ிப்பு மற்றும் புள்ளிிவிிபரத் �ிகை�க்ைளிம்,
�.தப.இை.121,
பத்�ரமுல்ை.
2026, தபப்புருவிொி 23.
EOG 02 - 0192
1A - G 46344 — 04 (2026/02) ,yq;if murhq;f mr;Rj; jpizf;fsj;jpw; gjpg;gpf;fg;ngw;wJ.
,t; mjptpNrl tu;j;jkhdpia www.documents.gov.lk vDk; ,izaj;jsj;jpypUe;J gjptpwf;fk; nra;a KbAk;.</t>
  </si>
  <si>
    <t>fd3a55d3-acbf-4260-b71a-922abd4b0448</t>
  </si>
  <si>
    <t>2477_24</t>
  </si>
  <si>
    <t>2477/24</t>
  </si>
  <si>
    <t>Title Registration Act, No. 21 of 1998, Section 14 — Commissioner of Title Settlement's decision under Section 14 (Gazette 2477/24)</t>
  </si>
  <si>
    <t>m1/raw/2477_24.pdf</t>
  </si>
  <si>
    <t>35d11d8b-749c-45ad-a5b7-b0cc12e7af4a</t>
  </si>
  <si>
    <t>2477_25</t>
  </si>
  <si>
    <t>2477/25</t>
  </si>
  <si>
    <t>Title Registration Act, No. 21 of 1998, Section 14 — Commissioner of Title Settlement decision (Gazette 2477/25)</t>
  </si>
  <si>
    <t>m1/raw/2477_25.pdf</t>
  </si>
  <si>
    <t>ශී ලංකා පජාතාන්තික සමාජවාදී ජනරජෙය් ගැසට් පතය
අති විෙශෂ
අංක 2477/25 - 2026 ෙපබරවාරි මස 24 වැනි අඟහරුවාදා - 2026.02.24
(රජෙය් බලයපිට පසිද්ධ කරන ලදී)
III වැනි ෙකොටස - ඉඩම්
ඉඩම් කැබලි වලට හිමිකම්පෑම් ඉදිරිපත් කරන ඉඩම් කැබලි වලට හිමිකම්පෑම් ඉදිරිපත් කරන
ෙලස දැනුම්දීම ෙලස දැනුම්දීම
1998 අංක 21 දරන හිමිකම් ලියාපදිංචි කිරීෙම් පනත 1998 අංක 21 දරන හිමිකම් ලියාපදිංචි කිරීෙම් පනත
(12 වැනි වගන්තිය) (12 වැනි වගන්තිය)
දැන්වීම් අංක : 42/1275 කුරුණෑගල දිස්තික්කය දැන්වීම් අංක : 42/1276 කුරුණෑගල දිස්තික්කය
වයඹ පළාෙත් කුරුණෑගල දිස්තික්කෙය් ෙපොල්පිතිගම පාෙද්ශීය වයඹ පළාෙත් කුරුණෑගල දිස්තික්කෙය් ෙපොල්පිතිගම පාෙද්ශීය
ෙල්කම් ෙකොට්ඨාසෙය්, අංක 347 - මඩගල්ල ගාම නිලධාරි ෙල්කම් ෙකොට්ඨාසෙය්, අංක 405 - ෙපොල්ගහන්ෙගොඩ ගාම නිලධාරි
ෙකොට්ඨාසය තුළ පිහිටි මඩගල්ල ගමට ෙහෝ ඉන් ෙකොටසකට ෙහෝ ෙකොට්ඨාසය තුළ පිහිටි ෙපොල්ගහන්ෙගොඩ ගමට ෙහෝ ඉන් ෙකොටසකට
කළාප අංක 01හි පත අංක 01 ට අදාළව 1998 අංක 21 දරන හිමිකම් ෙහෝ කළාප අංක 02හි පත අංක 01 ට අදාළව 1998 අංක 21 දරන
ලියාපදිංචි කිරීෙම් පනෙත් 11 වැනි වගන්තිය යටෙත් මිනුම්පතිවරයා හිමිකම් ලියාපදිංචි කිරීෙම් පනෙත් 11 වැනි වගන්තිය යටෙත්
විසින් සාදන ලද අංක 421476 දරන කැඩැස්තර සිතියෙම් දක්වා ඇති මිනුම්පතිවරයා විසින් සාදන ලද අංක 421516 දරන කැඩැස්තර
ඉඩම් ෙකොටස් එකක ෙහෝ ඊට වැඩි ගණනක ෙහෝ අයිතියට නැතෙහොත් සිතියෙම් දක්වා ඇති ඉඩම් ෙකොටස් එකක ෙහෝ ඊට වැඩි ගණනක ෙහෝ
සන්තකයට ෙහෝ සම්බන්ධතාවයකට හිමිකම් පාන කවර වුවද අයිතියට නැතෙහොත් සන්තකයට ෙහෝ සම්බන්ධතාවයකට හිමිකම් පාන
තැනැත්තකු විසින් තම හිමිකම්පෑම 2026 මාර්තු මස 03 වැනි දිනට කවර වුවද තැනැත්තකු විසින් තම හිමිකම්පෑම 2026 මාර්තු මස 03
ෙපර, පහත අත්සන් කරන අය ෙවත ඉදිරිපත් කළ යුතුය. එකී දිනට වැනි දිනට ෙපර, පහත අත්සන් කරන අය ෙවත ඉදිරිපත් කළ යුතුය.
ෙපර යම් හිමිකම් පෑමක් ඉදිරිපත් කිරීම පැහැර හරිනු ලැබුවෙහොත්, ඒ එකී දිනට ෙපර යම් හිමිකම් පෑමක් ඉදිරිපත් කිරීම පැහැර හරිනු
ඉඩෙම් අයිතිය සම්බන්ධෙයන් ඒක පාක්ෂික පරීක්ෂණයක් පවත්වනු ලැබුවෙහොත්, ඒ ඉඩෙම් අයිතිය සම්බන්ධෙයන් ඒක පාක්ෂික
ලබන අතර, එහි දී ගනු ලබන තීරණය ඉහත සඳහන් පනෙත් 14 වැනි පරීක්ෂණයක් පවත්වනු ලබන අතර, එහි දී ගනු ලබන තීරණය ඉහත
වගන්තිය පකාර, ගැසට් පතෙය් පළ කරනු ලැෙබ් . සඳහන් පනෙත් 14 වැනි වගන්තිය පකාර, ගැසට් පතෙය් පළ කරනු
ලැෙබ් .
ඉහත සඳහන් අංක 421476 දරන කැඩැස්තර සිතියම, අදාළ ගාම
නිලධාරි කාර්යාලෙය් දී පාෙද්ශීය මහ ෙල්කම් කාර්යාලෙය් දී දිස්තික් ඉහත සඳහන් අංක 421516 දරන කැඩැස්තර සිතියම, අදාළ ගාම
මිනුම් කාර්යාලෙය් දී හිමිකම් නිරවුල් කිරීෙම් ෙකොමසාරිස්වරයාෙග් නිලධාරි කාර්යාලෙය් දී පාෙද්ශීය මහ ෙල්කම් කාර්යාලෙය් දී දිස්තික්
කාර්යාලෙය් දී ෙහෝ මිනුම්පතිවරයාෙග් කාර්යාලෙය් දී පරීක්ෂා කරනු මිනුම් කාර්යාලෙය් දී හිමිකම් නිරවුල් කිරීෙම් ෙකොමසාරිස්වරයාෙග්
ලැබිය හැකි ය. කාර්යාලෙය් දී ෙහෝ මිනුම්පතිවරයාෙග් කාර්යාලෙය් දී පරීක්ෂා කරනු
ලැබිය හැකි ය.
වැඩි විස්තර, ගාම නිලධාරිෙගන්, පාෙද්ශීය ෙල්කම්වරයාෙගන්, ෙහෝ
හිමිකම් නිරවුල් කිරීෙම් ෙකොමසාරිස්වරයාෙගන් ලබා ගත හැකි ය. වැඩි විස්තර, ගාම නිලධාරිෙගන්, පාෙද්ශීය ෙල්කම්වරයාෙගන්, ෙහෝ
හිමිකම් නිරවුල් කිරීෙම් ෙකොමසාරිස්වරයාෙගන් ලබා ගත හැකි ය.
පී.සී.ඩී. සිෙග්රා,
පී.සී.ඩී. සිෙග්රා,
ඉඩම් හිමිකම් නිරවුල් කිරීෙම් ෙකොමසාරිස් ජනරාල්.
ඉඩම් හිමිකම් නිරවුල් කිරීෙම් ෙකොමසාරිස් ජනරාල්.
2026 ජනවාරි මස 30 වැනි දින
බත්තරමුල්ල , 2026 ජනවාරි මස 30 වැනි දින
රජමල්වත්ත පාර, “මිහිකත මැදුර”, බත්තරමුල්ල ,
අංක 1200/6, රජමල්වත්ත පාර, “මිහිකත මැදුර”,
ඉඩම් හිමිකම් නිරවුල් කිරීෙම් ෙදපාර්තෙම්න්තුෙව් දී ය. අංක 1200/6,
ඉඩම් හිමිකම් නිරවුල් කිරීෙම් ෙදපාර්තෙම්න්තුෙව් දී ය.
EOG 02 - 0199/1
EOG 02 - 0199/2
1A - G 046349 - 03 (2026/03)
සැ.යු.- ෙමම අති විෙශෂ ගැසට් පතය www.documents.gov.lk ෙවබ් අඩවිෙයන් බාගත කළ හැක.
2 A III ෙකොටස – ශී ලංකා පජාතාන්තික සමාජවාදී ජනරජෙය් අති විෙශෂ ගැසට් පතය - 2026.02.24
ඉහත සඳහන් අංක 510666 දරන කැඩැස්තර සිතියම, අදාළ ගාම
ඉඩම් කැබලි වලට හිමිකම්පෑම් ඉදිරිපත් කරන
නිලධාරි කාර්යාලෙය් දී පාෙද්ශීය මහ ෙල්කම් කාර්යාලෙය් දී දිස්තික්
ෙලස දැනුම්දීම මිනුම් කාර්යාලෙය් දී හිමිකම් නිරවුල් කිරීෙම් ෙකොමසාරිස්වරයාෙග්
කාර්යාලෙය් දී ෙහෝ මිනුම්පතිවරයාෙග් කාර්යාලෙය් දී පරීක්ෂා කරනු
1998 අංක 21 දරන හිමිකම් ලියාපදිංචි කිරීෙම් පනත ලැබිය හැකි ය.
(12 වැනි වගන්තිය)
වැඩි විස්තර, ගාම නිලධාරිෙගන්, පාෙද්ශීය ෙල්කම්වරයාෙගන්, ෙහෝ
හිමිකම් නිරවුල් කිරීෙම් ෙකොමසාරිස්වරයාෙගන් ලබා ගත හැකි ය.
දැන්වීම් අංක : 42/1277 කුරුණෑගල දිස්තික්කය
වයඹ පළාෙත් කුරුණෑගල දිස්තික්කෙය් ෙපොල්පිතිගම පාෙද්ශීය ෙල්කම්
පී.සී.ඩී. සිෙග්රා,
ෙකොට්ඨාසෙය්, අංක 388 - ෙදොරෙව්රුව ගාම නිලධාරි ෙකොට්ඨාසය තුළ
පිහිටි ෙදොරෙව්රුව ගමට ෙහෝ ඉන් ෙකොටසකට ෙහෝ කළාප අංක 02හි ඉඩම් හිමිකම් නිරවුල් කිරීෙම් ෙකොමසාරිස් ජනරාල්.
පත අංක 01 ට අදාළව 1998 අංක 21 දරන හිමිකම් ලියාපදිංචි කිරීෙම්
පනෙත් 11 වැනි වගන්තිය යටෙත් මිනුම්පතිවරයා විසින් සාදන ලද අංක
421535 දරන කැඩැස්තර සිතියෙම් දක්වා ඇති ඉඩම් ෙකොටස් එකක 2026 ජනවාරි මස 30 වැනි දින
ෙහෝ ඊට වැඩි ගණනක ෙහෝ අයිතියට නැතෙහොත් සන්තකයට ෙහෝ බත්තරමුල්ල ,
සම්බන්ධතාවයකට හිමිකම් පාන කවර වුවද තැනැත්තකු විසින් තම
රජමල්වත්ත පාර, “මිහිකත මැදුර”,
හිමිකම්පෑම 2026 මාර්තු මස 03 වැනි දිනට ෙපර, පහත අත්සන් කරන
අංක 1200/6,
අය ෙවත ඉදිරිපත් කළ යුතුය. එකී දිනට ෙපර යම් හිමිකම් පෑමක්
ඉඩම් හිමිකම් නිරවුල් කිරීෙම් ෙදපාර්තෙම්න්තුෙව් දී ය.
ඉදිරිපත් කිරීම පැහැර හරිනු ලැබුවෙහොත්, ඒ ඉඩෙම් අයිතිය
සම්බන්ධෙයන් ඒක පාක්ෂික පරීක්ෂණයක් පවත්වනු ලබන අතර, එහි දී
ගනු ලබන තීරණය ඉහත සඳහන් පනෙත් 14 වැනි වගන්තිය පකාර, EOG 02 - 0199/4
ගැසට් පතෙය් පළ කරනු ලැෙබ් .
ඉඩම් කැබලි වලට හිමිකම්පෑම් ඉදිරිපත් කරන
ඉහත සඳහන් අංක 421535 දරන කැඩැස්තර සිතියම, අදාළ ගාම
නිලධාරි කාර්යාලෙය් දී පාෙද්ශීය මහ ෙල්කම් කාර්යාලෙය් දී දිස්තික් ෙලස දැනුම්දීම
මිනුම් කාර්යාලෙය් දී හිමිකම් නිරවුල් කිරීෙම් ෙකොමසාරිස්වරයාෙග්
කාර්යාලෙය් දී ෙහෝ මිනුම්පතිවරයාෙග් කාර්යාලෙය් දී පරීක්ෂා කරනු 1998 අංක 21 දරන හිමිකම් ලියාපදිංචි කිරීෙම් පනත
ලැබිය හැකි ය.
(12 වැනි වගන්තිය)
වැඩි විස්තර, ගාම නිලධාරිෙගන්, පාෙද්ශීය ෙල්කම්වරයාෙගන්, ෙහෝ
හිමිකම් නිරවුල් කිරීෙම් ෙකොමසාරිස්වරයාෙගන් ලබා ගත හැකි ය. දැන්වීම් අංක : 51/1546 ගම්පහ දිස්තික්කය
බස්නාහිර පළාෙත් ගම්පහ දිස්තික්කෙය් අත්තනගල්ල පාෙද්ශීය
පී.සී.ඩී. සිෙග්රා, ෙල්කම් ෙකොට්ඨාසෙය්, අංක 318 - තිහාරිය නැෙගනහිර ගාම නිලධාරි
ෙකොට්ඨාසය තුළ පිහිටි තිහාරිය ගමට ෙහෝ ඉන් ෙකොටසකට ෙහෝ කළාප
ඉඩම් හිමිකම් නිරවුල් කිරීෙම් ෙකොමසාරිස් ජනරාල්.
අංක 01හි පත අංක 01 ට අදාළව 1998 අංක 21 දරන හිමිකම් ලියාපදිංචි
කිරීෙම් පනෙත් 11 වැනි වගන්තිය යටෙත් මිනුම්පතිවරයා විසින් සාදන
2026 ජනවාරි මස 30 වැනි දින ලද අංක 510723 දරන කැඩැස්තර සිතියෙම් දක්වා ඇති ඉඩම් ෙකොටස්
බත්තරමුල්ල , එකක ෙහෝ ඊට වැඩි ගණනක ෙහෝ අයිතියට නැතෙහොත් සන්තකයට
රජමල්වත්ත පාර, “මිහිකත මැදුර”, ෙහෝ සම්බන්ධතාවයකට හිමිකම් පාන කවර වුවද තැනැත්තකු විසින්
අංක 1200/6, තම හිමිකම්පෑම 2026 මාර්තු මස 03 වැනි දිනට ෙපර, පහත අත්සන්
ඉඩම් හිමිකම් නිරවුල් කිරීෙම් ෙදපාර්තෙම්න්තුෙව් දී ය. කරන අය ෙවත ඉදිරිපත් කළ යුතුය. එකී දිනට ෙපර යම් හිමිකම් පෑමක්
ඉදිරිපත් කිරීම පැහැර හරිනු ලැබුවෙහොත්, ඒ ඉඩෙම් අයිතිය
EOG 02 - 0199/3 සම්බන්ධෙයන් ඒක පාක්ෂික පරීක්ෂණයක් පවත්වනු ලබන අතර, එහි දී
ගනු ලබන තීරණය ඉහත සඳහන් පනෙත් 14 වැනි වගන්තිය පකාර,
ඉඩම් කැබලි වලට හිමිකම්පෑම් ඉදිරිපත් කරන ගැසට් පතෙය් පළ කරනු ලැෙබ් .
ෙලස දැනුම්දීම ඉහත සඳහන් අංක 510723 දරන කැඩැස්තර සිතියම, අදාළ ගාම
නිලධාරි කාර්යාලෙය් දී පාෙද්ශීය මහ ෙල්කම් කාර්යාලෙය් දී දිස්තික්
1998 අංක 21 දරන හිමිකම් ලියාපදිංචි කිරීෙම් පනත මිනුම් කාර්යාලෙය් දී හිමිකම් නිරවුල් කිරීෙම් ෙකොමසාරිස්වරයාෙග්
(12 වැනි වගන්තිය) කාර්යාලෙය් දී ෙහෝ මිනුම්පතිවරයාෙග් කාර්යාලෙය් දී පරීක්ෂා කරනු
ලැබිය හැකි ය.
දැන්වීම් අංක : 51/1545 ගම්පහ දිස්තික්කය වැඩි විස්තර, ගාම නිලධාරිෙගන්, පාෙද්ශීය ෙල්කම්වරයාෙගන්, ෙහෝ
හිමිකම් නිරවුල් කිරීෙම් ෙකොමසාරිස්වරයාෙගන් ලබා ගත හැකි ය.
බස්නාහිර පළාෙත් ගම්පහ දිස්තික්කෙය් අත්තනගල්ල පාෙද්ශීය
ෙල්කම් ෙකොට්ඨාසෙය්, අංක 352සී - හුණුෙපොල ගාම නිලධාරි පී.සී.ඩී. සිෙග්රා,
ෙකොට්ඨාසය තුළ පිහිටි හුණුෙපොල ගමට ෙහෝ ඉන් ෙකොටසකට ෙහෝ ඉඩම් හිමිකම් නිරවුල් කිරීෙම් ෙකොමසාරිස් ජනරාල්.
ක
ලිය
ළ
ා
ා
ප
ප
දි ං
අ
චි
ං ක
කි
0
රී
1
ෙ
හි
ම්
ප
ප
ත
න
අ
ෙ
ං
ත්
ක
1
0
1
1
ව
ට
ැ නි
අද ා
ව
ළ
ග
ව
න්
1
ති
9
ය
98
ය
අ
ට
ංක
ෙත්
2 1
මි
ද
නු
ර
ම්
න
ප ති
හි
ව
මි
ර
ක
ය
ම්
ා
2026 ජනවාරි මස 30 වැනි දින
විසින් සාදන ලද අංක 510666 දරන කැඩැස්තර සිතියෙම් දක්වා ඇති
බත්තරමුල්ල ,
ඉඩම් ෙකොටස් එකක ෙහෝ ඊට වැඩි ගණනක ෙහෝ අයිතියට නැතෙහොත්
රජමල්වත්ත පාර, “මිහිකත මැදුර”,
සන්තකයට ෙහෝ සම්බන්ධතාවයකට හිමිකම් පාන කවර වුවද
අංක 1200/6,
තැනැත්තකු විසින් තම හිමිකම්පෑම 2026 මාර්තු මස 03 වැනි දිනට
ෙපර, පහත අත්සන් කරන අය ෙවත ඉදිරිපත් කළ යුතුය. එකී දිනට ඉඩම් හිමිකම් නිරවුල් කිරීෙම් ෙදපාර්තෙම්න්තුෙව් දී ය.
ෙපර යම් හිමිකම් පෑමක් ඉදිරිපත් කිරීම පැහැර හරිනු ලැබුවෙහොත්, ඒ
EOG 02 - 0199/5
ඉඩෙම් අයිතිය සම්බන්ධෙයන් ඒක පාක්ෂික පරීක්ෂණයක් පවත්වනු
ලබන අතර, එහි දී ගනු ලබන තීරණය ඉහත සඳහන් පනෙත් 14 වැනි
වගන්තිය පකාර, ගැසට් පතෙය් පළ කරනු ලැෙබ් .
III ෙකොටස – ශී ලංකා පජාතාන්තික සමාජවාදී ජනරජෙය් අති විෙශෂ ගැසට් පතය - 2026.02.24 3 A
ඉඩම් කැබලි වලට හිමිකම්පෑම් ඉදිරිපත් කරන ඉහත සඳහන් අංක 510723 දරන කැඩැස්තර සිතියම, අදාළ ගාම
නිලධාරි කාර්යාලෙය් දී පාෙද්ශීය මහ ෙල්කම් කාර්යාලෙය් දී දිස්තික්
ෙලස දැනුම්දීම මිනුම් කාර්යාලෙය් දී හිමිකම් නිරවුල් කිරීෙම් ෙකොමසාරිස්වරයාෙග්
කාර්යාලෙය් දී ෙහෝ මිනුම්පතිවරයාෙග් කාර්යාලෙය් දී පරීක්ෂා කරනු
1998 අංක 21 දරන හිමිකම් ලියාපදිංචි කිරීෙම් පනත ලැබිය හැකි ය.
(12 වැනි වගන්තිය)
වැඩි විස්තර, ගාම නිලධාරිෙගන්, පාෙද්ශීය ෙල්කම්වරයාෙගන්, ෙහෝ
හිමිකම් නිරවුල් කිරීෙම් ෙකොමසාරිස්වරයාෙගන් ලබා ගත හැකි ය.
දැන්වීම් අංක : 51/1547 ගම්පහ දිස්තික්කය
බස්නාහිර පළාෙත් ගම්පහ දිස්තික්කෙය් අත්තනගල්ල පාෙද්ශීය
පී.සී.ඩී. සිෙග්රා,
ෙල්කම් ෙකොට්ඨාසෙය්, අංක 318 - තිහාරිය නැෙගනහිර ගාම නිලධාරි
ඉඩම් හිමිකම් නිරවුල් කිරීෙම් ෙකොමසාරිස් ජනරාල්.
ෙකොට්ඨාසය තුළ පිහිටි තිහාරිය ගමට ෙහෝ ඉන් ෙකොටසකට ෙහෝ කළාප
අංක 02හි පත අංක 01 ට අදාළව 1998 අංක 21 දරන හිමිකම් ලියාපදිංචි
කිරීෙම් පනෙත් 11 වැනි වගන්තිය යටෙත් මිනුම්පතිවරයා විසින් සාදන 2026 ජනවාරි මස 30 වැනි දින
ලද අංක 510723 දරන කැඩැස්තර සිතියෙම් දක්වා ඇති ඉඩම් ෙකොටස් බත්තරමුල්ල ,
එකක ෙහෝ ඊට වැඩි ගණනක ෙහෝ අයිතියට නැතෙහොත් සන්තකයට රජමල්වත්ත පාර, “මිහිකත මැදුර”,
ෙහෝ සම්බන්ධතාවයකට හිමිකම් පාන කවර වුවද තැනැත්තකු විසින් අංක 1200/6,
තම හිමිකම්පෑම 2026 මාර්තු මස 03 වැනි දිනට ෙපර, පහත අත්සන්
ඉඩම් හිමිකම් නිරවුල් කිරීෙම් ෙදපාර්තෙම්න්තුෙව් දී ය.
කරන අය ෙවත ඉදිරිපත් කළ යුතුය. එකී දිනට ෙපර යම් හිමිකම් පෑමක්
ඉදිරිපත් කිරීම පැහැර හරිනු ලැබුවෙහොත්, ඒ ඉඩෙම් අයිතිය EOG 02 - 0199/7
සම්බන්ධෙයන් ඒක පාක්ෂික පරීක්ෂණයක් පවත්වනු ලබන අතර, එහි දී
ගනු ලබන තීරණය ඉහත සඳහන් පනෙත් 14 වැනි වගන්තිය පකාර,
ඉඩම් කැබලි වලට හිමිකම්පෑම් ඉදිරිපත් කරන
ගැසට් පතෙය් පළ කරනු ලැෙබ් .
ෙලස දැනුම්දීම
ඉහත සඳහන් අංක 510723 දරන කැඩැස්තර සිතියම, අදාළ ගාම
නිලධාරි කාර්යාලෙය් දී පාෙද්ශීය මහ ෙල්කම් කාර්යාලෙය් දී දිස්තික්
1998 අංක 21 දරන හිමිකම් ලියාපදිංචි කිරීෙම් පනත
මිනුම් කාර්යාලෙය් දී හිමිකම් නිරවුල් කිරීෙම් ෙකොමසාරිස්වරයාෙග්
කාර්යාලෙය් දී ෙහෝ මිනුම්පතිවරයාෙග් කාර්යාලෙය් දී පරීක්ෂා කරනු (12 වැනි වගන්තිය)
ලැබිය හැකි ය.
දැන්වීම් අංක : 51/1549 ගම්පහ දිස්තික්කය
වැඩි විස්තර, ගාම නිලධාරිෙගන්, පාෙද්ශීය ෙල්කම්වරයාෙගන්, ෙහෝ
හිමිකම් නිරවුල් කිරීෙම් ෙකොමසාරිස්වරයාෙගන් ලබා ගත හැකි ය.
බස්නාහිර පළාෙත් ගම්පහ දිස්තික්කෙය් අත්තනගල්ල පාෙද්ශීය
ෙල්කම් ෙකොට්ඨාසෙය්, අංක 318/සී - තිහාරිය උතුර ගාම නිලධාරි
ෙකොට්ඨාසය තුළ පිහිටි තිහාරිය ගමට ෙහෝ ඉන් ෙකොටසකට ෙහෝ කළාප
පී.සී.ඩී. සිෙග්රා, අංක 03හි පත අංක 01 ට අදාළව 1998 අංක 21 දරන හිමිකම් ලියාපදිංචි
ඉඩම් හිමිකම් නිරවුල් කිරීෙම් ෙකොමසාරිස් ජනරාල්. කිරීෙම් පනෙත් 11 වැනි වගන්තිය යටෙත් මිනුම්පතිවරයා විසින් සාදන
2026 ජනවාරි මස 30 වැනි දින
ල
එක
ද
ක
අං ක
ෙ හ
5
ෝ
1 0
ඊ
7
ට
2 4
ව
ද
ැඩි
රන
ග ණ
කැ
න
ඩ
ක
ැස ්ත
ෙ
ර
හ ෝ
සි ති
අයි
ය
ති
ෙම්
ය ට
ද ක්
න
ව
ැත
ා ඇ
ෙහ
ති
ො ත්
ඉ ඩ
ස
ම්
න්
ෙ
ත
ක
ක
ොට
ය
ස
ට
්
බත්තරමුල්ල , ෙහෝ සම්බන්ධතාවයකට හිමිකම් පාන කවර වුවද තැනැත්තකු විසින්
රජමල්වත්ත පාර, “මිහිකත මැදුර”, තම හිමිකම්පෑම 2026 මාර්තු මස 03 වැනි දිනට ෙපර, පහත අත්සන්
අංක 1200/6, කරන අය ෙවත ඉදිරිපත් කළ යුතුය. එකී දිනට ෙපර යම් හිමිකම් පෑමක්
ඉඩම් හිමිකම් නිරවුල් කිරීෙම් ෙදපාර්තෙම්න්තුෙව් දී ය. ඉදිරිපත් කිරීම පැහැර හරිනු ලැබුවෙහොත්, ඒ ඉඩෙම් අයිතිය
සම්බන්ධෙයන් ඒක පාක්ෂික පරීක්ෂණයක් පවත්වනු ලබන අතර, එහි දී
EOG 02 - 0199/6 ගනු ලබන තීරණය ඉහත සඳහන් පනෙත් 14 වැනි වගන්තිය පකාර,
ගැසට් පතෙය් පළ කරනු ලැෙබ් .
ඉඩම් කැබලි වලට හිමිකම්පෑම් ඉදිරිපත් කරන
ඉහත සඳහන් අංක 510724 දරන කැඩැස්තර සිතියම, අදාළ ගාම
ෙලස දැනුම්දීම නිලධාරි කාර්යාලෙය් දී පාෙද්ශීය මහ ෙල්කම් කාර්යාලෙය් දී දිස්තික්
මිනුම් කාර්යාලෙය් දී හිමිකම් නිරවුල් කිරීෙම් ෙකොමසාරිස්වරයාෙග්
1998 අංක 21 දරන හිමිකම් ලියාපදිංචි කිරීෙම් පනත කාර්යාලෙය් දී ෙහෝ මිනුම්පතිවරයාෙග් කාර්යාලෙය් දී පරීක්ෂා කරනු
(12 වැනි වගන්තිය) ලැබිය හැකි ය.
වැඩි විස්තර, ගාම නිලධාරිෙගන්, පාෙද්ශීය ෙල්කම්වරයාෙගන්, ෙහෝ
දැන්වීම් අංක : 51/1548 ගම්පහ දිස්තික්කය හිමිකම් නිරවුල් කිරීෙම් ෙකොමසාරිස්වරයාෙගන් ලබා ගත හැකි ය.
බස්නාහිර පළාෙත් ගම්පහ දිස්තික්කෙය් අත්තනගල්ල පාෙද්ශීය
ෙල්කම් ෙකොට්ඨාසෙය්, අංක 318 - තිහාරිය නැෙගනහිර ගාම නිලධාරි
පී.සී.ඩී. සිෙග්රා,
ෙකොට්ඨාසය තුළ පිහිටි තිහාරිය ගමට ෙහෝ ඉන් ෙකොටසකට ෙහෝ කළාප
ඉඩම් හිමිකම් නිරවුල් කිරීෙම් ෙකොමසාරිස් ජනරාල්.
අංක 04හි පත අංක 01 ට අදාළව 1998 අංක 21 දරන හිමිකම් ලියාපදිංචි
කිරීෙම් පනෙත් 11 වැනි වගන්තිය යටෙත් මිනුම්පතිවරයා විසින් සාදන
ලද අංක 510723 දරන කැඩැස්තර සිතියෙම් දක්වා ඇති ඉඩම් ෙකොටස් 2026 ජනවාරි මස 30 වැනි දින
එකක ෙහෝ ඊට වැඩි ගණනක ෙහෝ අයිතියට නැතෙහොත් සන්තකයට බත්තරමුල්ල ,
ෙහෝ සම්බන්ධතාවයකට හිමිකම් පාන කවර වුවද තැනැත්තකු විසින්
රජමල්වත්ත පාර, “මිහිකත මැදුර”,
තම හිමිකම්පෑම 2026 මාර්තු මස 03 වැනි දිනට ෙපර, පහත අත්සන්
අංක 1200/6,
කරන අය ෙවත ඉදිරිපත් කළ යුතුය. එකී දිනට ෙපර යම් හිමිකම් පෑමක්
ඉඩම් හිමිකම් නිරවුල් කිරීෙම් ෙදපාර්තෙම්න්තුෙව් දී ය.
ඉදිරිපත් කිරීම පැහැර හරිනු ලැබුවෙහොත්, ඒ ඉඩෙම් අයිතිය
සම්බන්ධෙයන් ඒක පාක්ෂික පරීක්ෂණයක් පවත්වනු ලබන අතර, එහි දී EOG 02 - 0199/8
ගනු ලබන තීරණය ඉහත සඳහන් පනෙත් 14 වැනි වගන්තිය පකාර,
ගැසට් පතෙය් පළ කරනු ලැෙබ් .
4 A III ෙකොටස – ශී ලංකා පජාතාන්තික සමාජවාදී ජනරජෙය් අති විෙශෂ ගැසට් පතය - 2026.02.24
ඉඩම් කැබලි වලට හිමිකම්පෑම් ඉදිරිපත් කරන ඉහත සඳහන් අංක 830025 දරන කැඩැස්තර සිතියම, අදාළ ගාම
නිලධාරි කාර්යාලෙය් දී පාෙද්ශීය මහ ෙල්කම් කාර්යාලෙය් දී දිස්තික්
ෙලස දැනුම්දීම මිනුම් කාර්යාලෙය් දී හිමිකම් නිරවුල් කිරීෙම් ෙකොමසාරිස්වරයාෙග්
කාර්යාලෙය් දී ෙහෝ මිනුම්පතිවරයාෙග් කාර්යාලෙය් දී පරීක්ෂා කරනු
1998 අංක 21 දරන හිමිකම් ලියාපදිංචි කිරීෙම් පනත ලැබිය හැකි ය.
(12 වැනි වගන්තිය)
වැඩි විස්තර, ගාම නිලධාරිෙගන්, පාෙද්ශීය ෙල්කම්වරයාෙගන්, ෙහෝ
හිමිකම් නිරවුල් කිරීෙම් ෙකොමසාරිස්වරයාෙගන් ලබා ගත හැකි ය.
දැන්වීම් අංක : 61/0430 කෑගල්ල දිස්තික්කය
සබරගමු ව පළාෙත් කෑගල්ල දිස්තික්කෙය් කෑගල්ල පාෙද්ශීය ෙල්කම්
ෙකොට්ඨාසෙය්, අංක 51ඒ - රංවල ගාම නිලධාරි ෙකොට්ඨාසය තුළ පී.සී.ඩී. සිෙග්රා,
පිහිටි වෑවලෙදනිය ෙකොට්ඨාස අංක 04 වෑවලෙදනිය (කෑගල්ල නගර ඉඩම් හිමිකම් නිරවුල් කිරීෙම් ෙකොමසාරිස් ජනරාල්.
සභා සීමාව තුල) ගමට ෙහෝ ඉන් ෙකොටසකට ෙහෝ කළාප අංක 03හි
පත අංක 07 ට අදාළව 1998 අංක 21 දරන හිමිකම් ලියාපදිංචි කිරීෙම්
පනෙත් 11 වැනි වගන්තිය යටෙත් මිනුම්පතිවරයා විසින් සාදන ලද 2026 ජනවාරි මස 30 වැනි දින
අංක 610239 දරන කැඩැස්තර සිතියෙම් දක්වා ඇති ඉඩම් ෙකොටස් බත්තරමුල්ල ,
එකක ෙහෝ ඊට වැඩි ගණනක ෙහෝ අයිතියට නැතෙහොත් සන්තකයට රජමල්වත්ත පාර, “මිහිකත මැදුර”,
ෙහෝ සම්බන්ධතාවයකට හිමිකම් පාන කවර වුවද තැනැත්තකු විසින් අංක 1200/6,
තම හිමිකම්පෑම 2026 මාර්තු මස 03 වැනි දිනට ෙපර, පහත අත්සන් ඉඩම් හිමිකම් නිරවුල් කිරීෙම් ෙදපාර්තෙම්න්තුෙව් දී ය.
කරන අය ෙවත ඉදිරිපත් කළ යුතුය. එකී දිනට ෙපර යම් හිමිකම්
පෑමක් ඉදිරිපත් කිරීම පැහැර හරිනු ලැබුවෙහොත්, ඒ ඉඩෙම් අයිතිය EOG 02 - 0199/10
සම්බන්ධෙයන් ඒක පාක්ෂික පරීක්ෂණයක් පවත්වනු ලබන අතර, එහි
දී ගනු ලබන තීරණය ඉහත සඳහන් පනෙත් 14 වැනි වගන්තිය පකාර, ඉඩම් කැබලි වලට හිමිකම්පෑම් ඉදිරිපත් කරන
ගැසට් පතෙය් පළ කරනු ලැෙබ් .
ෙලස දැනුම්දීම
ඉහත සඳහන් අංක 610239 දරන කැඩැස්තර සිතියම, අදාළ ගාම
නිලධාරි කාර්යාලෙය් දී පාෙද්ශීය මහ ෙල්කම් කාර්යාලෙය් දී දිස්තික් 1998 අංක 21 දරන හිමිකම් ලියාපදිංචි කිරීෙම් පනත
මිනුම් කාර්යාලෙය් දී හිමිකම් නිරවුල් කිරීෙම් ෙකොමසාරිස්වරයාෙග්
(12 වැනි වගන්තිය)
කාර්යාලෙය් දී ෙහෝ මිනුම්පතිවරයාෙග් කාර්යාලෙය් දී පරීක්ෂා කරනු
ලැබිය හැකි ය.
දැන්වීම් අංක : 83/0588 හම්බන්ෙතොට දිස්තික්කය
වැඩි විස්තර, ගාම නිලධාරිෙගන්, පාෙද්ශීය ෙල්කම්වරයාෙගන්, ෙහෝ
හිමිකම් නිරවුල් කිරීෙම් ෙකොමසාරිස්වරයාෙගන් ලබා ගත හැකි ය. දකුණු පළාෙත් හම්බන්ෙතොට දිස්තික්කෙය් හම්බන්ෙතොට පාෙද්ශීය
ෙල්කම් ෙකොට්ඨාසෙය්, අංක 89 ෙකොෙහොලංකල ගාම නිලධාරි
පී.සී.ඩී. සිෙග්රා, ෙකොට්ඨාසය තුළ පිහිටි ෙකොෙහොලංකල ගමට ෙහෝ ඉන් ෙකොටසකට
ඉඩම් හිමිකම් නිරවුල් කිරීෙම් ෙකොමසාරිස් ජනරාල්. ෙහෝ කළාප අංක 03හි පත අංක 04 ට අදාළව 1998 අංක 21 දරන
හිමිකම් ලියාපදිංචි කිරීෙම් පනෙත් 11 වැනි වගන්තිය යටෙත්
මිනුම්පතිවරයා විසින් සාදන ලද අංක 830109 දරන කැඩැස්තර
2026 ජනවාරි මස 30 වැනි දින සිතියෙම් දක්වා ඇති ඉඩම් ෙකොටස් එකක ෙහෝ ඊට වැඩි ගණනක ෙහෝ
බත්තරමුල්ල , අයිතියට නැතෙහොත් සන්තකයට ෙහෝ සම්බන්ධතාවයකට හිමිකම්
රජමල්වත්ත පාර, “මිහිකත මැදුර”, පාන කවර වුවද තැනැත්තකු විසින් තම හිමිකම්පෑම 2026 මාර්තු මස
අංක 1200/6, 03 වැනි දිනට ෙපර, පහත අත්සන් කරන අය ෙවත ඉදිරිපත් කළ
ඉඩම් හිමිකම් නිරවුල් කිරීෙම් ෙදපාර්තෙම්න්තුෙව් දී ය. යුතුය. එකී දිනට ෙපර යම් හිමිකම් පෑමක් ඉදිරිපත් කිරීම පැහැර හරිනු
ලැබුවෙහොත්, ඒ ඉඩෙම් අයිතිය සම්බන්ධෙයන් ඒක පාක්ෂික
EOG 02 - 0199/9 පරීක්ෂණයක් පවත්වනු ලබන අතර, එහි දී ගනු ලබන තීරණය ඉහත
සඳහන් පනෙත් 14 වැනි වගන්තිය පකාර, ගැසට් පතෙය් පළ කරනු
ඉඩම් කැබලි වලට හිමිකම්පෑම් ඉදිරිපත් කරන ලැෙබ් .
ෙලස දැනුම්දීම ඉහත සඳහන් අංක 830109 දරන කැඩැස්තර සිතියම, අදාළ ගාම
නිලධාරි කාර්යාලෙය් දී පාෙද්ශීය මහ ෙල්කම් කාර්යාලෙය් දී දිස්තික්
මිනුම් කාර්යාලෙය් දී හිමිකම් නිරවුල් කිරීෙම් ෙකොමසාරිස්වරයාෙග්
1998 අංක 21 දරන හිමිකම් ලියාපදිංචි කිරීෙම් පනත
කාර්යාලෙය් දී ෙහෝ මිනුම්පතිවරයාෙග් කාර්යාලෙය් දී පරීක්ෂා කරනු
(12 වැනි වගන්තිය)
ලැබිය හැකි ය.
දැන්වීම් අංක : 83/0587 හම්බන්ෙතොට දිස්තික්කය වැඩි විස්තර, ගාම නිලධාරිෙගන්, පාෙද්ශීය ෙල්කම්වරයාෙගන්, ෙහෝ
හිමිකම් නිරවුල් කිරීෙම් ෙකොමසාරිස්වරයාෙගන් ලබා ගත හැකි ය.
දකුණු පළාෙත් හම්බන්ෙතොට දිස්තික්කෙය් ලුණුගම්ෙවෙහර පාෙද්ශීය
ෙල්කම් ෙකොට්ඨාසෙය්, අංක 60 - මුවන්වැව ගාම නිලධාරි
ෙකොට්ඨාසය තුළ පිහිටි මුවන්වැව ගමට ෙහෝ ඉන් ෙකොටසකට ෙහෝ
පී.සී.ඩී. සිෙග්රා,
කළාප අංක 03හි පත අංක 02 ට අදාළව 1998 අංක 21 දරන හිමිකම්
ඉඩම් හිමිකම් නිරවුල් කිරීෙම් ෙකොමසාරිස් ජනරාල්.
ලියාපදිංචි කිරීෙම් පනෙත් 11 වැනි වගන්තිය යටෙත් මිනුම්පතිවරයා
විසින් සාදන ලද අංක 830025 දරන කැඩැස්තර සිතියෙම් දක්වා ඇති
ඉඩම් ෙකොටස් එකක ෙහෝ ඊට වැඩි ගණනක ෙහෝ අයිතියට
2026 ජනවාරි මස 30 වැනි දින
නැතෙහොත් සන්තකයට ෙහෝ සම්බන්ධතාවයකට හිමිකම් පාන කවර
බත්තරමුල්ල ,
වුවද තැනැත්තකු විසින් තම හිමිකම්පෑම 2026 මාර්තු මස 03 වැනි
රජමල්වත්ත පාර, “මිහිකත මැදුර”,
දිනට ෙපර, පහත අත්සන් කරන අය ෙවත ඉදිරිපත් කළ යුතුය. එකී
අංක 1200/6,
දිනට ෙපර යම් හිමිකම් පෑමක් ඉදිරිපත් කිරීම පැහැර හරිනු
ලැබුවෙහොත්, ඒ ඉඩෙම් අයිතිය සම්බන්ධෙයන් ඒක පාක්ෂික
ඉඩම් හිමිකම් නිරවුල් කිරීෙම් ෙදපාර්තෙම්න්තුෙව් දී ය.
පරීක්ෂණයක් පවත්වනු ලබන අතර, එහි දී ගනු ලබන තීරණය ඉහත EOG 02 - 0199/11
සඳහන් පනෙත් 14 වැනි වගන්තිය පකාර, ගැසට් පතෙය් පළ කරනු
ලැෙබ් .
ශී ලංකා රජෙය් මුදණ ෙදපාර්තෙම්න්තුෙව් මුදණය කරන ලදී.</t>
  </si>
  <si>
    <t>b7ca3e15-95c0-4d74-903c-33b43bd8bc30</t>
  </si>
  <si>
    <t>2477_26</t>
  </si>
  <si>
    <t>2477/26</t>
  </si>
  <si>
    <t>Land Acquisition Act (Chapter 460), Section 12 — Notice of Intended Acquisition (Gazette 2477/26)</t>
  </si>
  <si>
    <t>Notice under Section 12 of the Land Acquisition Act (Chapter 460) declaring intended acquisition of identified land parcels for a public purpose (e.g. highway, irrigation, public infrastructure). Part III — Lands.</t>
  </si>
  <si>
    <t>m1/raw/2477_26.pdf</t>
  </si>
  <si>
    <t>6aae7c34-05d4-4280-bfae-4941135656f7</t>
  </si>
  <si>
    <t>2477_27</t>
  </si>
  <si>
    <t>2477/27</t>
  </si>
  <si>
    <t>Title Registration Act, No. 21 of 1998, Section 14 — Commissioner of Title Settlement's decision under Section 14 (Gazette 2477/27)</t>
  </si>
  <si>
    <t>m1/raw/2477_27.pdf</t>
  </si>
  <si>
    <t>de99694c-a23a-4882-ad61-2128a6652146</t>
  </si>
  <si>
    <t>2477_28</t>
  </si>
  <si>
    <t>2477/28</t>
  </si>
  <si>
    <t>Title Registration Act, No. 21 of 1998, Section 14 — Commissioner of Title Settlement decision (Gazette 2477/28)</t>
  </si>
  <si>
    <t>Commissioner of Title Settlement's decision under Section 14 of the Title Registration Act No. 21 of 1998. Part III — Lands. Land in Block 74 of Cadastral Map 610017, references Gazette 2156/25 of 20 January 2020 and Gazette 2024.01.02 of 4-3/2020.</t>
  </si>
  <si>
    <t>m1/raw/2477_28.pdf</t>
  </si>
  <si>
    <t>III ෙක(cid:675)ටස – (cid:636) ලංකා (cid:541)ජාතා(cid:486)(cid:437)ක සමාජවා(cid:463) ජනරජෙ(cid:591) අ(cid:431) (cid:618)ෙශෂ ගැස(cid:376) ප(cid:436)ය – 2026.02.24 1 A
ப(cid:8065)தி III – இல(cid:8113)ைக(cid:8114) சனநாயக ேசாச(cid:8098)ச(cid:8112) (cid:8065)(cid:8074)யர(cid:8070) வ(cid:8125)(cid:8119)தமான(cid:8122) ப(cid:8119)திாிைக - அதி விேசஷமான(cid:8080) – 2026.02.24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2477/28 - 2026 ෙපබරවා(cid:604) මස 24 වැ(cid:487) අඟහ(cid:606)වාදා - 2026.02.24
2477/28 ஆ(cid:8123) இல(cid:8112)க(cid:8123) - 2026 ஆ(cid:8123) ஆ(cid:8118)(cid:8076) ெப(cid:8122)(cid:8087)(cid:8094)வாி மாத(cid:8123) 24 ஆ(cid:8120) திகதி ெச(cid:8130)வா(cid:8124)(cid:8112)கிழைம
(அரசா(cid:8113)க(cid:8119)தி(cid:8121) அதிகார(cid:8119)(cid:8080)ட(cid:8121) பிர(cid:8070)ாி(cid:8112)க(cid:8122)ப(cid:8117)ட(cid:8080))
ப(cid:8065)தி III - காணிக(cid:8128)
உாி(cid:8119)(cid:8080)(cid:8122) பதி(cid:8107) ெச(cid:8124)த(cid:8127)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12 ஆ(cid:8123) பிாிவி(cid:8121)
நியதிகளி(cid:8121)ப(cid:8074) 2020.01.02 ஆ(cid:8120) திகதிய 2156/25 ஆ(cid:8123) இல(cid:8112)க வ(cid:8125)(cid:8119)தமானியி(cid:8127) உாிய (cid:8089)ைறயி(cid:8127) ெவளியிட(cid:8122)ப(cid:8117)ட(cid:8080)(cid:8123), காணி(cid:8112)கான
உாிைம(cid:8112) ேகாாி(cid:8112)ைககைள(cid:8112) ேகா(cid:8094)கி(cid:8121)ற(cid:8080)மான 61/0076 ஆ(cid:8123) இல(cid:8112)க அறிவி(cid:8119)த(cid:8098)(cid:8127) (cid:8065)றி(cid:8122)(cid:8086)(cid:8076) ெச(cid:8124)ய(cid:8122)ப(cid:8117)ட ச(cid:8122)பிரக(cid:8089)வ மாகாண(cid:8119)தி(cid:8121),
ேககாைல மாவ(cid:8117)ட(cid:8119)தி(cid:8127), க(cid:8098)க(cid:8089)வ பிரேதச ெசயலாள(cid:8125) பிாிவி(cid:8127), இல. 74 ஏ - ஜீவான கிராம அ(cid:8100)வல(cid:8125) பிாிவி(cid:8084)(cid:8128) ஜீவான கிராம(cid:8119)தி(cid:8127)
அைம(cid:8120)(cid:8080)(cid:8128)ள(cid:8080)(cid:8123) 610017 ஆ(cid:8123) இல(cid:8112)க கட(cid:8119)திர(cid:8127) அளைவ வைரபட(cid:8119)தி(cid:8127) பிாி(cid:8107) இல. 02 இ(cid:8127) அட(cid:8113)கி(cid:8092)(cid:8128)ள(cid:8080)மான 1 : 63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2026 ஆ(cid:8123) ஆ(cid:8118)(cid:8076) சனவாி மாத(cid:8123) 06 ஆ(cid:8120) திகதி.
1A - G 46352 - 03 (2026 / 02)
(cid:8089). (cid:8065). - இ(cid:8130) அதிவிேஷட வ(cid:8125)(cid:8119)தமானிைய www.documents.gov.lk எ(cid:8084)(cid:8123) இைணய(cid:8119)தள(cid:8119)தி(cid:8098)(cid:8094)(cid:8120)(cid:8080) பதிவிற(cid:8112)க(cid:8123) ெச(cid:8124)ய (cid:8089)(cid:8074)(cid:8092)(cid:8123).
2 A III ෙක(cid:675)ටස – (cid:636) ලංකා (cid:541)ජාතා(cid:486)(cid:437)ක සමාජවා(cid:463) ජනරජෙ(cid:591) අ(cid:431) (cid:618)ෙශෂ ගැස(cid:376) ප(cid:436)ය – 2026.02.24
ப(cid:8065)தி III – இல(cid:8113)ைக(cid:8114) சனநாயக ேசாச(cid:8098)ச(cid:8112) (cid:8065)(cid:8074)யர(cid:8070) வ(cid:8125)(cid:8119)தமான(cid:8122) ப(cid:8119)திாிைக - அதி விேசஷமான(cid:8080) – 2026.02.24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1:63 0.1595 கேனஹி அ(cid:8114)சி(cid:8127)லாேக ஜக(cid:8119) 691933296V (cid:8089)(cid:8104)வ(cid:8080)(cid:8123) 1ஆவ(cid:8080) வ(cid:8065)(cid:8122)(cid:8087) _ _
(cid:8087)(cid:8131)ப (cid:8065)மார
க(cid:8120)ேதவ(cid:8119)த, ரணவன,
ேதவாேலகம.
EOG 02 - 0202 / 1
1998 ஆ(cid:8123) ஆ(cid:8118)(cid:8074)(cid:8121) 21 ஆ(cid:8123) இல(cid:8112)க உாி(cid:8119)(cid:8080)(cid:8122) பதி(cid:8107)(cid:8114) ச(cid:8117)ட(cid:8123)
14 ஆ(cid:8123) பிாிவி(cid:8121) கீ(cid:8129) உாி(cid:8119)(cid:8080) நி(cid:8125)ணய ஆைணயாளாி(cid:8121) தீ(cid:8125)மான(cid:8119)ைத ெவளி(cid:8122)ப(cid:8076)(cid:8119)த(cid:8127)
1998 ஆ(cid:8123) ஆ(cid:8118)(cid:8074)(cid:8121) 21 ஆ(cid:8123) இல(cid:8112)க உாி(cid:8119)(cid:8080)(cid:8122) பதி(cid:8107)(cid:8114) ச(cid:8117)ட(cid:8119)தி(cid:8121) 14 ஆ(cid:8123) பிாிவி(cid:8121) கீ(cid:8129) என(cid:8112)(cid:8065)ாி(cid:8119)தா(cid:8112)க(cid:8122)ப(cid:8117)(cid:8076)(cid:8128)ள த(cid:8119)(cid:8080)வ(cid:8113)களி(cid:8121)
பயைன(cid:8112)ெகா(cid:8118)(cid:8076), கீேழ ஒ(cid:8122)பமி(cid:8117)(cid:8076)(cid:8128)ள நா(cid:8121), 1998 ஆ(cid:8123) ஆ(cid:8118)(cid:8074)(cid:8121) 21 ஆ(cid:8123) இல(cid:8112)க உாி(cid:8119)(cid:8080)(cid:8122) பதி(cid:8107)(cid:8114) ச(cid:8117)ட(cid:8119)தி(cid:8121) 12 ஆ(cid:8123) பிாிவி(cid:8121)
நியதிகளி(cid:8121)ப(cid:8074) 2022.05.17 ஆ(cid:8120) திகதிய 2280/23 ஆ(cid:8123) இல(cid:8112)க வ(cid:8125)(cid:8119)தமானியி(cid:8127) உாிய (cid:8089)ைறயி(cid:8127) ெவளியிட(cid:8122)ப(cid:8117)ட(cid:8080)(cid:8123), காணி(cid:8112)கான உாிைம(cid:8112)
ேகாாி(cid:8112)ைககைள(cid:8112) ேகா(cid:8094)கி(cid:8121)ற(cid:8080)மான 61/0125 ஆ(cid:8123) இல(cid:8112)க அறிவி(cid:8119)த(cid:8098)(cid:8127) (cid:8065)றி(cid:8122)(cid:8086)(cid:8076) ெச(cid:8124)ய(cid:8122)ப(cid:8117)ட ச(cid:8122)பிரக(cid:8089)வ மாகாண(cid:8119)தி(cid:8121), ேககாைல
மாவ(cid:8117)ட(cid:8119)தி(cid:8127), க(cid:8098)க(cid:8089)வ பிரேதச ெசயலாள(cid:8125) பிாிவி(cid:8127), இல. 74 (cid:8086) - எ(cid:8120)(cid:8080)ராெபாத கிழ(cid:8112)(cid:8065) கிராம அ(cid:8100)வல(cid:8125) பிாிவி(cid:8084)(cid:8128) எ(cid:8120)(cid:8080)ராெபாத
கிராம(cid:8119)தி(cid:8127) அைம(cid:8120)(cid:8080)(cid:8128)ள(cid:8080)(cid:8123) 610025 ஆ(cid:8123) இல(cid:8112)க கட(cid:8119)திர(cid:8127) அளைவ வைரபட(cid:8119)தி(cid:8127) பிாி(cid:8107) இல. 09 இ(cid:8127) அட(cid:8113)கி(cid:8092)(cid:8128)ள(cid:8080)மான 1 : 25 ஆ(cid:8123)
இல(cid:8112)க(cid:8113)கைள(cid:8112) ெகா(cid:8118)ட காணி(cid:8119)(cid:8080)(cid:8118)(cid:8076)க(cid:8102)(cid:8112)கான உாி(cid:8119)(cid:8080) ெதாட(cid:8125)பாக இதேனா(cid:8076) இைண(cid:8112)க(cid:8122)ப(cid:8117)ட அ(cid:8117)டவைணயி(cid:8127)
தர(cid:8122)ப(cid:8117)(cid:8076)(cid:8128)ளவாறான என(cid:8080) தீ(cid:8125)மான(cid:8119)ைத இ(cid:8119)தா(cid:8127) ெவளி(cid:8122)ப(cid:8076)(cid:8119)(cid:8080)கி(cid:8121)ேற(cid:8121).
(cid:8086).சீ.(cid:8075). சிேகரா,
காணி உாி(cid:8119)(cid:8080) நி(cid:8125)ணய ஆைணயாள(cid:8125) நாயக(cid:8123).
காணி உாி(cid:8119)(cid:8080) நி(cid:8125)ணய(cid:8119) திைண(cid:8112)கள(cid:8123),
இல. 1200/6, “மிஹிகத ெம(cid:8080)ர”,
இரஜம(cid:8127)வ(cid:8119)த (cid:8106)தி,
ப(cid:8119)தர(cid:8089)(cid:8127)ைல,
2026 ஆ(cid:8123) ஆ(cid:8118)(cid:8076) சனவாி மாத(cid:8123) 06 ஆ(cid:8120) திகதி.
III ෙක(cid:675)ටස – (cid:636) ලංකා (cid:541)ජාතා(cid:486)(cid:437)ක සමාජවා(cid:463) ජනරජෙ(cid:591) අ(cid:431) (cid:618)ෙශෂ ගැස(cid:376) ප(cid:436)ය – 2026.02.24 3 A
ப(cid:8065)தி III – இல(cid:8113)ைக(cid:8114) சனநாயக ேசாச(cid:8098)ச(cid:8112) (cid:8065)(cid:8074)யர(cid:8070) வ(cid:8125)(cid:8119)தமான(cid:8122) ப(cid:8119)திாிைக - அதி விேசஷமான(cid:8080) – 2026.02.24
அ(cid:8117)டவைண
காணி விேசட
வழ(cid:8112)கி(cid:8126)(cid:8065) அ(cid:8127)ல(cid:8080)
தா(cid:8128) வி(cid:8132)தீரண(cid:8123) ெசா(cid:8120)த(cid:8112)கார(cid:8125)/ ெசா(cid:8120)த(cid:8112) ேதசிய உாி(cid:8119)(cid:8080)(cid:8112)(cid:8065)ாிய உாி(cid:8119)தின(cid:8080) உ(cid:8117)ப(cid:8117)ட தனியா(cid:8094)(cid:8112)
ம(cid:8126)(cid:8096)(cid:8123) கார(cid:8125)களி(cid:8121) (cid:8089)(cid:8104)(cid:8122) ெபய(cid:8125)க(cid:8102)(cid:8123) அைடயாள இட(cid:8119)தி(cid:8121) வ(cid:8065)(cid:8122)(cid:8087)(cid:8123) ஈ(cid:8076), (cid:8065)(cid:8119) (cid:8065)ாிய ச(cid:8117)ட(cid:8113)
காணி(cid:8119) (ெஹ(cid:8112)டயா(cid:8125)) (cid:8089)கவாி(cid:8092)(cid:8123) அ(cid:8117)ைட வி(cid:8132)தீரண(cid:8123) இய(cid:8127)(cid:8087)(cid:8123) தைக க(cid:8102)(cid:8128) எ(cid:8130)
(cid:8080)(cid:8118)(cid:8074)(cid:8121) இல. த(cid:8076)(cid:8122)(cid:8087)(cid:8112) வைக(cid:8112)(cid:8065)(cid:8123)
இல. க(cid:8117)டைள அைம(cid:8120)தி(cid:8094)(cid:8122)
ப(cid:8126)றிய பி(cid:8121) விபர(cid:8113)
விபர(cid:8113)க(cid:8128) க(cid:8128)
1:25 0.2476 கேன(cid:8089)(cid:8127)ேல ேலக(cid:8123)லாேக மாதவ 912541410V (cid:8089)(cid:8104)வ(cid:8080)(cid:8123) 1ஆவ(cid:8080) வ(cid:8065)(cid:8122)(cid:8087) _ _
ச(cid:8080)ர(cid:8113)க ேஹர(cid:8119)
இல.429, எ(cid:8120)(cid:8080)ராெபாத, ேககாைல.
EOG 02 - 0202 / 2
இல(cid:8113)ைக அரசா(cid:8113)க அ(cid:8114)(cid:8070)(cid:8119) திைண(cid:8112)கள(cid:8119)தி(cid:8127) பதி(cid:8122)பி(cid:8112)க(cid:8122)ெப(cid:8126)ற(cid:8080).</t>
  </si>
  <si>
    <t>25878d37-1f39-4cec-b776-69b8389bee91</t>
  </si>
  <si>
    <t>2477_29</t>
  </si>
  <si>
    <t>2477/29</t>
  </si>
  <si>
    <t>Title Registration Act, No. 21 of 1998, Section 14 — Commissioner of Title Settlement's decision under Section 14 (Gazette 2477/29)</t>
  </si>
  <si>
    <t>m1/raw/2477_29.pdf</t>
  </si>
  <si>
    <t>54528898-66ff-4f97-9b97-d622c45de534</t>
  </si>
  <si>
    <t>2477_30</t>
  </si>
  <si>
    <t>2477/30</t>
  </si>
  <si>
    <t>Provincial Councils Act, No. 42 of 1987 — Appointment under Section 32(1) (Gazette 2477/30)</t>
  </si>
  <si>
    <t>m1/raw/2477_30.pdf</t>
  </si>
  <si>
    <t>Y%S ,xld m%cd;dka;%sl iudcjd§ ckrcfha .eiÜ m;%h
w;s úfYI
,yq;ifr; rdehaf Nrhryprf; FbauR th;j;jkhdg; gj;jphpif
mjp tpNr\khdJ
wxl 2477$30 - 2026 fmnrjdß ui 24 jeks w`.yrejdod - 2026'02'24
2477/ 30 Mk; ,yf;fk; - 2026 Mk; Mz;L ngg;GUtup khjk; 24 Me; jpfjp nrt;tha;f;fpoik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 ஆஆம்ம் ைைிிாாிிவிவிிின்ன் காகாீீழ்ழ்
கககாகாாாழுழும்ம்புபு மாமாாாநநகாகாரர சசபைபைைையாயாிின்ன் உஉறுறுப்ப்ைைிினனர்ர் ஒஒருருவிவிாாிின்ன் ைைதிதிவிவிிியாயாிிலாலாாானன ககவிவிற்ற்றிறிிிடடத்த்பைபைதிதி நநிிரரப்ப்புபுதிதில்ல்
கககாகாாாழுழும்ம்புபு மாமாாாநநகாகாரர சசபைபைைைக்க்குகு ககதிதிாாிிந்ந்ககதிதிடுடுத்த்துது அஅனுனுப்ப்ைைப்ப்ைைட்ட்டட உஉறுறுப்ப்ைைிினனர்ர் ஒஒருருவிவிாாிின்ன் ைைதிதிவிவிிி தேதேகாகாட்ட்டுடு விவிிிலாலாகாகாிியாயாபைபைமாமா காகாாாரரணணமாமாாாகாகா
ககவிவிற்ற்றிறிிிடடமாமாாாயாயாிிருருக்க்காகாிின்ன்றிறிதிதிாாதிதிலாலாாாலுலும்ம்;;
தேதேமாமாற்ற்குகுறிறிிித்த்திதி காகாட்ட்டடபைபைைைச்ச் சசட்ட்டடத்த்திதிிின்ன் 6666அஅ((11)) ஆஆம்ம் ைைிிாாிிவிவிிின்ன் காகாீீழ்ழ்,, கக காகாாாழுழும்ம்புபு மாமாாாநநகாகாரர சசபைபைைைக்க்குகு ககதிதிாாிிந்ந்ககதிதிடுடுத்த்துது அஅனுனுப்ப்ைைப்ப்ைைட்ட்டுடுள்ள்ைை
உஉறுறுப்ப்ைைிினனரராாகாகா ககதிதிாாிிவுவு ககசசய்ய்யாயாப்ப்ைைட்ட்டட அஅகுகுரரணண முமுஹஹந்ந்திதிிிரரம்ம்லாலாாாதேதேகாகா ஜஜமாமாாால்ல்திதிீீன்ன் ககமாமாாாஹஹமாமாட்ட் ஜஜவ்வ்ைைர்ர் எஎன்ன்ைைவிவிர்ர் அஅங்ங்காகாம்ம் விவிகாகாிிக்க்காகாிின்ன்றிறி
ஐஐக்க்காகாிியாயா சசமாமாாாதிதிாானன கூகூட்ட்டடபைபைமாமாப்ப்புபு எஎன்ன்றிறி அஅங்ங்காகாீீகாகாாாிிக்க்காகாப்ப்ைைட்ட்டட அஅரரசசிியாயால்ல் காகாட்ட்சசிியாயாிின்ன் ககசசயாயாலாலாாாைைர்ர் முமுப்ப்ைைதுது ((3300)) நநாாட்ட் காகாாாலாலாக்க்கககாகாடுடுவுவுக்க்குகுள்ள்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தேதேவிவிட்ட்ைைாாைைககரராாருருவிவிரராாகாகா,, உஉறுறுப்ப்ைைிினனககரராாருருவிவிரராாகாகா தேதேதிதிர்ர்ந்ந்ககதிதிடுடுக்க்காகாப்ப்ைைட்ட்டடவிவிககரரனன ககவிவிைைிிப்ப்ைைடுடுத்த்திதிப்ப்ைைடட தேதேவிவிண்ண்டிடியாயாவிவிருரும்ம் அஅக்க்காகாட்ட்சசிிபைபையாயாச்ச்
தேதேசசர்ர்ந்ந்திதிவிவிருருமாமாாானன கககாகாாாழுழும்ம்புபு மாமாாாநநகாகாரர சசபைபைைைக்க்குகு ககதிதிாாிிந்ந்ககதிதிடுடுத்த்துது அஅனுனுப்ப்ைைப்ப்ைைட்ட்டுடுள்ள்ைை உஉறுறுப்ப்ைைிினனர்ர் ககதிதிாாடடர்ர்ைைாாகாகா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அஅரரசசிியாயால்ல் காகாட்ட்சசிியாயாிின்ன் ககசசயாயாலாலாாாைைாாிினனாால்ல் அஅவ்வ்ககவிவிற்ற்றிறிிிடடத்த்பைபைதிதி நநிிரரப்ப்புபுவிவிதிதிற்ற்காகாாாகாகா மாமாஹஹாா
விவின்ன்னனிிதேதேகாகா ைைந்ந்துதுலாலா ரரணணவீவீரர எஎன்ன்ைைவிவிபைபைரரப்ப் ககைையாயார்ர் குகுறிறிிித்த்துது நநிியாயாமாமாிிக்க்குகும்ம் திதிமாமாதுது முமுடிடிவிவிிிபைபைனன அஅறிறிிிவிவிிித்த்துதுள்ள்ைைாாரராாதிதிலாலாாாலுலும்ம்;;
கககாகாாாழுழும்ம்புபு மாமாாாநநகாகாரர சசபைபைைையாயாிின்ன் ககதிதிாாிிவிவித்த்திதிாாட்ட்சசிி அஅலுலுவிவிலாலாரராானன ைைிியுயுமாமாிி ஆஆட்ட்டிடிகாகாலாலா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ககசசயாயாற்ற்ைைட்ட்டுடு மாமாஹஹாா
விவின்ன்னனிிதேதேகாகா ைைந்ந்துதுலாலா ரரணணவீவீரர எஎன்ன்ைைவிவிர்ர் க ககாகாாாழுழும்ம்புபு மாமாாாநநகாகாரர சசபைபைைைக்க்குகு ககதிதிாாிிந்ந்ககதிதிடுடுத்த்துது அஅனுனுப்ப்ைைப்ப்ைைட்ட்டுடுள்ள்ைை உஉறுறுப்ப்ைைிினனர்ர் ஒஒருருவிவிரராாகாகாத்த்
தேதேதிதிர்ர்ந்ந்ககதிதிடுடுக்க்காகாப்ப்ைைட்ட்டுடுள்ள்ைைதிதிாாகாகா இஇத்த்திதிாால்ல் ககவிவிைைிிப்ப்ைைடுடுத்த்துதுகாகாிின்ன்தேதேறிறின்ன்..
ைைிியுயுமாமாிி ஆஆட்ட்டிடிகாகாலாலா,,
ககதிதிாாிிவிவித்த்திதிாாட்ட்சசிி அஅலுலுவிவிலாலார்ர் ,,
கககாகாாாழுழும்ம்புபு மாமாாாநநகாகாரர சசபைபைைை..
கககாகாாாழுழும்ம்புபு நநகாகாரர தேதேதிதிர்ர்திதில்ல் அஅலுலுவிவிலாலாகாகாம்ம்,,
22002266,, ககைைப்ப்புபுருருவிவிாாிி 2244..
EEOOGG 0022 -- 00220055
1A - PG 7545 — 08 (2026/02) ,yq;if murhq;f mr;Rj; jpizf;fsj;jpw; gjpg;gpf;fg;ngw;wJ.
,t; mjptpNrl tu;j;jkhdpia www.documents.gov.lk vDk; ,izaj;jsj;jpypUe;J gjptpwf;fk; nra;a KbAk;.</t>
  </si>
  <si>
    <t>c00f3d3e-f271-4b06-b0f4-22e905990959</t>
  </si>
  <si>
    <t>2477_31</t>
  </si>
  <si>
    <t>2477/31</t>
  </si>
  <si>
    <t>Provincial Councils Act, No. 42 of 1987 — Appointment under Section 32(1) (Gazette 2477/31)</t>
  </si>
  <si>
    <t>m1/raw/2477_31.pdf</t>
  </si>
  <si>
    <t>Y%S ,xld m%cd;dka;%sl iudcjd§ ckrcfha .eiÜ m;%h
w;s úfYI
,yq;ifr; rdehaf Nrhryprf; FbauR th;j;jkhdg; gj;jphpif
mjp tpNr\khdJ
wxl 2477$31 - 2026 fmnrjdß ui 24 jeks w`.yrejdod - 2026'02'24
2477/ 31 Mk; ,yf;fk; - 2026 Mk; Mz;L ngg;GUtup khjk; 24 Me; jpfjp nrt;tha;f;fpoik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அஅத்த்திதிிியாயாாாயாயாமாமாாானன)) உஉள்ள்ளூளூர்ர் அஅதிதிிிகாகாாாரர சசபைபைைைகாகாள்ள் தேதேதிதிர்ர்திதில்ல்காகாள்ள் காகாட்ட்டடபைபைைைச்ச் சசட்ட்டடத்த்திதிிின்ன் 6666அஅ((11)) ஆஆம்ம்
ைைிிாாிிவிவிிின்ன் காகாீீழ்ழ் ை ைத்த்தேதேதிதிகாகாமாமா ைைிிரரதேதேதிதிசச சசபைபைைையாயாிின்ன் உஉறுறுப்ப்ைைிினனர்ர் ஒஒருருவிவிாாிின்ன் ைைதிதிவிவிிியாயாிிலாலாாானன வவவிவிற்ற்றிறிிிடடத்த்பைபைதிதி நிநிிிரரப்ப்புபுதிதில்ல்
ைைத்த்தேதேதிதிகாகாமாமா ைைிிரரதேதேதிதிசச சசபைபைைைக்க்குகு வவதிதிாாிிந்ந்வவதிதிடுடுத்த்துது அஅனுனுப்ப்ைைப்ப்ைைட்ட்டட உஉறுறுப்ப்ைைிினனர்ர் ஒஒருருவிவிாாிின்ன் ைைதிதிவிவிிி காகாட்ட்சசிி அஅங்ங்காகாத்த்துதுவிவிம்ம் இஇல்ல்லாலாாாவவதிதிாாழிழிிிந்ந்திதிபைபைமாமா
காகாாாரரணணமாமாாாகாகா வவவிவிற்ற்றிறிிிடடமாமாாாகாகாிியாயாிிருருக்க்காகாிின்ன்றிறிதிதிாாதிதிலாலாாாலுலும்ம்;;
தேதேமாமாற்ற்குகுறிறிிித்த்திதி காகாட்ட்டடபைபைைைச்ச் சசட்ட்டடத்த்திதிிின்ன் 6666அஅ((11)) ஆஆம்ம் ைைிிாாிிவிவிிின்ன் காகாீீழ்ழ்,, ைை த்த்தேதேதிதிகாகாமாமா ைைிிரரதேதேதிதிசச சசபைபைைைக்க்குகு வவதிதிாாிிந்ந்வவதிதிடுடுத்த்துது அஅனுனுப்ப்ைைப்ப்ைைட்ட்டுடுள்ள்ைை
உஉறுறுப்ப்ைைிினனரராாகாகா வவதிதிாாிிவுவு வவசசய்ய்யாயாப்ப்ைைட்ட்டட அஅமாமால்ல் இஇந்ந்திதிிிகாகா உஉடடவிவித்த்திதி எஎன்ன்ைைவிவிர்ர் அஅங்ங்காகாம்ம் விவிகாகாிிக்க்காகாிின்ன்றிறி சசர்ர்விவிஜஜனன அஅதிதிிிகாகாாாரரம்ம்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தேதேசசர்ர்ந்ந்திதிவிவிருருமாமாாானன ை ைத்த்தேதேதிதிகாகாமாமா ைைிிரரதேதேதிதிசச சசபைபைைைக்க்குகு
வவதிதிாாிிந்ந்வவதிதிடுடுத்த்துது அஅனுனுப்ப்ைைப்ப்ைைட்ட்டுடுள்ள்ைை உஉறுறுப்ப்ைைிினனர்ர் வவதிதிாாடடர்ர்ைைாாகாகா திதிீீர்ர்மாமாாானனிிக்க்குகுமாமாாாறுறு எஎன்ன்னனாால்ல் ைைணணிிக்க்காகாப்ப்ைைட்ட்டுடுள்ள்ைைாாரராாதிதிலாலாாாலுலும்ம் ;;
தேதேமாமாதேதேலாலா கூகூறிறிப்ப்ைைட்ட்டட அஅங்ங்காகாீீகாகாாாிிக்க்காகாப்ப்ைைட்ட்டட அஅரரசசிியாயால்ல் காகாட்ட்சசிியாயாிின்ன் வவசசயாயாலாலாாாைைாாிினனாால்ல் அஅவ்வ்வவவிவிற்ற்றிறிிிடடத்த்பைபைதிதி நிநிிிரரப்ப்புபுவிவிதிதிற்ற்காகாாாகாகா தேதேதிதிவிவி
சுசுரரங்ங்காகா ைைிிதேதேரரமாமா சசந்ந்திதினன எஎன்ன்ைைவிவிபைபைரரப்ப் வவைையாயார்ர் குகுறிறிிித்த்துது நிநிிியாயாமாமாிிக்க்குகும்ம் திதிமாமாதுது முமுடிடிவிவிிிபைபைனன அஅறிறிிிவிவிிித்த்துதுள்ள்ைைாாரராாதிதிலாலாாாலுலும்ம்;;
ைை த்த்தேதேதிதிகாகாமாமா ைைிிரரதேதேதிதிசச சசபைபைைையாயாிின்ன் வவதிதிாாிிவிவித்த்திதிாாட்ட்சசிி அஅலுலுவிவிலாலாரராானன தேதேவிவிவவவிவில்ல்விவிலாலா தேதே��விவிதேதேகாகா ரரவீவீந்ந்ரர விவிிிஜஜயாயாகுகுமாமாாாரர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வவசசயாயாற்ற்ைைட்ட்டுடு தேதேதிதிவிவி சுசுரரங்ங்காகா ைைிிதேதேரரமாமா சசந்ந்திதினன எஎன்ன்ைைவிவிர்ர் ை ைத்த்தேதேதிதிகாகாமாமா ைைிிரரதேதேதிதிசச சசபைபைைைக்க்குகு வவதிதிாாிிந்ந்வவதிதிடுடுத்த்துது அஅனுனுப்ப்ைைப்ப்ைைட்ட்டுடுள்ள்ைை உஉறுறுப்ப்ைைிினனர்ர்
ஒஒருருவிவிரராாகாகாத்த் தேதேதிதிர்ர்ந்ந்வவதிதிடுடுக்க்காகாப்ப்ைைட்ட்டுடுள்ள்ைைதிதிாாகாகா இஇத்த்திதிாால்ல் வவவிவிைைிிப்ப்ைைடுடுத்த்துதுகாகாிின்ன்தேதேறிறின்ன்..
டடைைிிள்ள்யூயூ.. எஎச்ச்.. ஆஆர்ர்.. விவிிிஜஜயாயாகுகுமாமாாாரர,,
வவதிதிாாிிவிவித்த்திதிாாட்ட்சசிி அஅலுலுவிவிலாலார்ர் ,,
ைைத்த்தேதேதிதிகாகாமாமா ைைிிரரதேதேதிதிசச சசபைபைைை..
மாமாாாவிவிட்ட்டடத்த் தேதேதிதிர்ர்திதில்ல்காகாள்ள் அஅலுலுவிவிலாலாகாகாம்ம்,,
காகாாாலிலி,,
22002266,, வவைைப்ப்புபுருருவிவிாாிி 2233..
EEOOGG 0022 -- 00220066
1A - PG 7546 — 08 (2026/02) ,yq;if murhq;f mr;Rj; jpizf;fsj;jpw; gjpg;gpf;fg;ngw;wJ.
,t; mjptpNrl tu;j;jkhdpia www.documents.gov.lk vDk; ,izaj;jsj;jpypUe;J gjptpwf;fk; nra;a KbAk;.</t>
  </si>
  <si>
    <t>ac4196c8-bd66-4a6c-9e29-81beb1bf041d</t>
  </si>
  <si>
    <t>2477_32</t>
  </si>
  <si>
    <t>2477/32</t>
  </si>
  <si>
    <t>Provincial Councils Act, No. 42 of 1987 — Appointment under Section 32(1) (Gazette 2477/32)</t>
  </si>
  <si>
    <t>m1/raw/2477_32.pdf</t>
  </si>
  <si>
    <t>Y%S ,xld m%cd;dka;%sl iudcjd§ ckrcfha .eiÜ m;%h
w;s úfYI
,yqi; fr ; rdehaf Nrhryprf ; FbauR thj; j; khdg ; gjj; phpif
mjp tpNr\khdJ
wxl 2477$32 - 2026 fmnrjdß ui 25 jeks nodod - 2026'02'25
2477/ 32 Mk; ,yf;fk; - 2026 Mk; Mz;L ngg;GUtup khjk; 25 Me; jpfjp Gjd;fpoik
(murhq;fj;jpd; mjpfhuj;Jld; gpuRupf;fg;gl;lJ)
gFjp IV(M) - cs;~uhl;rp
cs;~ujpfhu rigfs; Nju;jy;fs; fl;lisr; rl;lj;jpd; fPohd mwptpj;jy;fs;
உஉள்ள்ளூளூரர��ட்ட்சிசிிி திதிிிணண��க்க்ககளளம்ம் -- ககிிழழக்க்குகு மாமா��கக����ம்ம்
22001122 ஆஆம்ம் ஆஆண்ண்டிடின்ன் 2222 ஆஆம்ம் இஇலலக்க்கக உஉள்ள்ளூளூர்ர் அஅதிதிிிகக��ரர சிசிணணைைககள்ள் தேதேதிதிர்ர்திதில்ல்ககள்ள் ((திதிிிருருத்த்திதிம்ம்)) சிசிட்ட்டடத்த்திதிிின்ன் ககீீழழ��னன
கூகூட்ட்டட அஅறிறிிிவிவிிித்த்திதில்ல்
கிழக்கு மா�க�� உள்ளூர�ட்சிி ஆண�யா�ளர�கியா ஆதிம் லலப்ணை முஹம்மாட் அஸ்மாி ஆகியா நா�ன், 2012 ஆம் ஆண்டின்
22 ஆம் இலக்க உள்ளூர் அதிிக�ர சிணைகள் தேதிர்தில்கள் (திிருத்திச்) சிட்டத்திின் 66(எ) ஆவிது ைி�ிவுடன் தேசிர்த்து வி�சிிக்கப்ைட
தேவிண்டியா 66(இ) ஆம் ைி�ிவிின் கீழ் எனக்கு அளிக்கப்ைட்டுள்ள அதிிக�ரத்திிற்கு அணமாயா கிழக்கு மா�க��த்திின் அம்ை�ணறி
மா�விட்டத்திிலுள்ள நாிந்திவூர் ைிரதேதிசி சிணை திவிிசி�ளர் ைதிவிி லவிற்றிிடத்திிற்கு புதிியா திவிிசி�ளணர தேதிர்ந்லதிடுப்ைதிற்க�ன
கூட்டம் 2026.03.09 ஆந் திிகதிி மு. ை. 10.00 மா�ிக்கு நாிந்திவூர் ைிரதேதிசி சிணை மாண்டைத்திில் கூட்டப்ைடும் என்ைதிணன இத்தி�ல்
அறிியாத்திருகிதேறின்.
ஆஆ.. லலலல.. முமுஹஹம்ம்மாமாட்ட் அஅஸ்ஸ்மாமாிி,,
உள்ளூர�ட்சிி ஆண�யா�ளர்,
கிழக்கு மா�க��ம்.
உள்ளூர�ட்சிித் திிண�க்களம்,
கிழக்கு மா�க��ம்,
கன்னியா� வீதிி, விதேர�தியா நாகர்,
திிருதேக��மாணல,
2026, லைப்புருவி�ி 25.
EOG 02 - 0209
1A - PG 7549 — 04 (2026/02) ,yq;if murhq;f mr;Rj; jpizf;fsj;jpw; gjpg;gpf;fg;ngw;wJ.
,t; mjp tpNrl tu;j;jkhdpia www.documents.gov.lk vd;Dk; ,izaj;jsj;jpypUe;J gjptpwf;fk; nra;a KbAk;.</t>
  </si>
  <si>
    <t>9f001bba-35ef-4048-891e-689aad60af43</t>
  </si>
  <si>
    <t>2477_33</t>
  </si>
  <si>
    <t>2477/33</t>
  </si>
  <si>
    <t>Provincial Councils Act, No. 42 of 1987 — Appointment under Section 32(1) (Gazette 2477/33)</t>
  </si>
  <si>
    <t>m1/raw/2477_33.pdf</t>
  </si>
  <si>
    <t>Y%S ,xld m%cd;dka;%sl iudcjd§ ckrcfha .eiÜ m;%h
w;s úfYI
,yq;ifr; rdehaf Nrhryprf; FbauR th;j;jkhdg; gj;jphpif
mjp tpNr\khdJ
wxl 2477$33 - 2026 fmnrjdß ui 25 jeks nodod - 2026'02'25
2477/ 33 Mk; ,yf;fk; - 2026 Mk; Mz;L ngg;GUtup khjk; 25 Me; jpfjp Gjd;fpoik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 ஆஆம்ம் ைைிிாாிிவிவிிின்ன் காகாீீழ்ழ் ைை ிிங்ங்காகாிிாாிியாயா ைைிிரரதேதேதிதிசச சசபைபைைையாயாிின்ன் உஉறுறுப்ப்ைைிினனர்ர் ஒஒருருவிவிாாிின்ன் ைைதிதிவிவிிியாயாிிலாலாாானன வவவிவிற்ற்றிறிிிடடத்த்பைபைதிதி நிநிிிரரப்ப்புபுதிதில்ல்
ைைிிங்ங்காகாிிாாிியாயா ைைிிரரதேதேதிதிசச சசபைபைைைக்க்குகு வவதிதிாாிிந்ந்வவதிதிடுடுத்த்துது அஅனுனுப்ப்ைைப்ப்ைைட்ட்டட உஉறுறுப்ப்ைைிினனர்ர் ஒஒருருவிவிாாிின்ன் ைைதிதிவிவிிி தேதேகாகாட்ட்டுடுவிவிிிலாலாகாகாிியாயாபைபைைை காகாாாரரணணைைாாகாகா
வவவிவிற்ற்றிறிிிடடைைாாகாகாிியாயாிிருருக்க்காகாிின்ன்றிறிதிதிாாதிதிலாலாாாலுலும்ம்;;
தேதேைைற்ற்குகுறிறிிித்த்திதி காகாட்ட்டடபைபைைைச்ச் சசட்ட்டடத்த்திதிிின்ன் 6666அஅ((11)) ஆஆம்ம் ைைிிாாிிவிவிிின்ன் காகாீீழ்ழ்,, ைை ிிங்ங்காகாிிாாிியாயா ைைிிரரதேதேதிதிசச சசபைபைைைக்க்குகு வவதிதிாாிிந்ந்வவதிதிடுடுத்த்துது அஅனுனுப்ப்ைைப்ப்ைைட்ட்டுடுள்ள்ைை
உஉறுறுப்ப்ைைிினனரராாகாகா வவதிதிாாிிவுவு வவசசய்ய்யாயாப்ப்ைைட்ட்டட லாலாக்க்ைைல்ல் விவிிிக்க்காகாிிரரைைஆஆரரச்ச்சசிி எஎன்ன்ைைவிவிர்ர் அஅங்ங்காகாம்ம் விவிகாகாிிக்க்காகாிின்ன்றிறி சசர்ர்விவிஜஜனன அஅதிதிிிகாகாாாரரம்ம்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தேதேசசர்ர்ந்ந்திதிவிவிருருைைாானன ை ைிிங்ங்காகாிிாாிியாயா ைைிிரரதேதேதிதிசச சசபைபைைைக்க்குகு
வவதிதிாாிிந்ந்வவதிதிடுடுத்த்துது அஅனுனுப்ப்ைைப்ப்ைைட்ட்டுடுள்ள்ைை உஉறுறுப்ப்ைைிினனர்ர் வவதிதிாாடடர்ர்ைைாாகாகா திதிீீர்ர்ைைாானனிிக்க்குகுைைாாறுறு எஎன்ன்னனாால்ல் ைைணணிிக்க்காகாப்ப்ைைட்ட்டுடுள்ள்ைைாாரராாதிதிலாலாாாலுலும்ம் ;;
தேதேைைதேதேலாலா கூகூறிறிப்ப்ைைட்ட்டட அஅங்ங்காகாீீகாகாாாிிக்க்காகாப்ப்ைைட்ட்டட அஅரரசசிியாயால்ல் காகாட்ட்சசிியாயாிின்ன் வவசசயாயாலாலாாாைைாாிினனாால்ல் அஅவ்வ்வவவிவிற்ற்றிறிிிடடத்த்பைபைதிதி நிநிிிரரப்ப்புபுவிவிதிதிற்ற்காகாாாகாகா
ரரந்ந்வவதிதினனிிகாகாலாலா திதிிிசசாாவிவிதேதேகாகா ாாிிச்ச்சசட்ட் அஅதேதேைைவிவிர்ர்திதினன எஎன்ன்ைைவிவிபைபைரரப்ப் வவைையாயார்ர் குகுறிறிிித்த்துது நிநிிியாயாைைிிக்க்குகும்ம் திதிைைதுது முமுடிடிவிவிிிபைபைனன அஅறிறிிிவிவிிித்த்துதுள்ள்ைைாாரராாதிதிலாலாாாலுலும்ம்;;
ைைிிங்ங்காகாிிாாிியாயா ைைிிரரதேதேதிதிசச சசபைபைைையாயாிின்ன் வவதிதிாாிிவிவித்த்திதிாாட்ட்சசிி அஅலுலுவிவிலாலாரராானன ரரத்த்நிநிாாயாயாக்க்காகா முமுதிதிிியாயான்ன்தேதேசசலாலாாாதேதேகாகா ஹஹதேதேரரந்ந்திதிிிரர ைைண்ண்டடாாரர ரரத்த்நிநிாாயாயாக்க்காகா
ஆஆகாகாிியாயா நிநிாான்ன்,, உஉள்ள்ளூளூர்ர் அஅதிதிிிகாகாாாரர சசபைபைைைகாகாள்ள் தேதேதிதிர்ர்திதில்ல்காகாள்ள் காகாட்ட்டடபைபைைைச்ச் சசட்ட்டடத்த்திதிிின்ன் ((226622 ஆஆம்ம் அஅத்த்திதிிியாயாாாயாயாைைாானன)) 6666அஅ((11)) எஎன்ன்னுனும்ம் ைைிிாாிிவிவிிின்ன்
நிநிிியாயாதிதிிிகாகாைைிின்ன்ைைடிடி வவசசயாயாற்ற்ைைட்ட்டுடு ரரந்ந்வவதிதினனிிகாகாலாலா திதிிிசசாாவிவிதேதேகாகா ாாிிச்ச்சசட்ட் அஅதேதேைைவிவிர்ர்திதினன எஎன்ன்ைைவிவிர்ர் ை ைிிங்ங்காகாிிாாிியாயா ைைிிரரதேதேதிதிசச சசபைபைைைக்க்குகு வவதிதிாாிிந்ந்வவதிதிடுடுத்த்துது
அஅனுனுப்ப்ைைப்ப்ைைட்ட்டுடுள்ள்ைை உஉறுறுப்ப்ைைிினனர்ர் ஒஒருருவிவிரராாகாகாத்த் தேதேதிதிர்ர்ந்ந்வவதிதிடுடுக்க்காகாப்ப்ைைட்ட்டுடுள்ள்ைைதிதிாாகாகா இஇத்த்திதிாால்ல் வவவிவிைைிிப்ப்ைைடுடுத்த்துதுகாகாிின்ன்தேதேறிறின்ன்..
ஆஆர்ர்.. எஎம்ம்.. எஎச்ச்.. பீபீ.. ரரத்த்நிநிாாயாயாக்க்காகா,,
வவதிதிாாிிவிவித்த்திதிாாட்ட்சசிி அஅலுலுவிவிலாலார்ர் ,,
ைைிிங்ங்காகாிிாாிியாயா ைைிிரரதேதேதிதிசச சசபைபைைை..
ைைாாவிவிட்ட்டடத்த் தேதேதிதிர்ர்திதில்ல்காகாள்ள் அஅலுலுவிவிலாலாகாகாம்ம்,,
குகுருருநிநிாாகாகால்ல்,,
22002266,, வவைைப்ப்புபுருருவிவிாாிி 2255..
EEOOGG 0022 -- 00220088
1A - PG 7543 — 09 (2026/02) ,yq;if murhq;f mr;Rj; jpizf;fsj;jpw; gjpg;gpf;fg;ngw;wJ.
,t; mjptpNrl tu;j;jkhdpia www.documents.gov.lk vDk; ,izaj;jsj;jpypUe;J gjptpwf;fk; nra;a KbAk;.</t>
  </si>
  <si>
    <t>428bbf1d-0321-47a0-89a6-9610357e1819</t>
  </si>
  <si>
    <t>2477_34</t>
  </si>
  <si>
    <t>2477/34</t>
  </si>
  <si>
    <t>Civil Aviation Act, Section 18 — Pilots Examination Charges Regulation (Gazette 2477/34)</t>
  </si>
  <si>
    <t>සිවිල් ගුවන් සේවා පනත, 18 වැනි වගන්තිය - පරීක්ෂණ ගාස්තු රෙගුලාසි</t>
  </si>
  <si>
    <t>சிவில் விமான சேவைச் சட்டம், 18 ஆம் பிரிவு - பரீட்சைக் கட்டண ஒழுங்குவிதிகள்</t>
  </si>
  <si>
    <t>Regulations under Section 18 of the Civil Aviation Act No. 235 (as amended) covering Pilots Examination Charges (Notice No. 05/2025). Issued by Minister of Transport, Highways, Ports and Civil Aviation. Reference IA-G46363. Part I — General. Dated 24 February 2026.</t>
  </si>
  <si>
    <t>m1/raw/2477_34.pdf</t>
  </si>
  <si>
    <t>Y%S ,xld m%cd;dka;%sl iudcjd§ ckrcfha .eiÜ m;%h
w;s úfYI
,yq;ifr; rdehaf Nrhryprf; FbauR th;j;jkhdg; gj;jphpif
mjp tpNr\khdJ
wxl 2477/34 - 2026 fmnrjdß ui 25 jeks nodod - 2026'02'25
2477/34 Mk; ,yf;fk; - 2026 Mk; Mz;L ngg;GUtup khjk; 25 Me; jpfjp Gjd;fpoik
(murhq;fj;jpd; mjpfhuj;Jld; gpuRhpf;fg;gl;lJ)
gFjp I : njhFjp (I) - nghJ
murhq;f mwptpj;jy;fs;
சுசுங்ங்ககக்க் ககட்ட்டடளைளைைைச்ச் சசட்ட்டடத்த்திதிிின்ன் ககீீழாழாாானன அஅறிறிிிவிவிிித்த்திதில்ல்
((அஅரரசசிிளைளைறிறிப்ப் பாபாாாதுதுககாாப்ப்புபுக்க் ககட்ட்டடளைளைைை இஇலல.. 0055//22002255))
சுங்கக் கட்டளைைச் சட்டத்திின் (அத்திியாாயாம் 235) 10 ஆம் பாிாிவிின் கீழ் பாின்விரும் திீர்மாானம் 2026, பெபாப்புருவிாி 18 ஆந் திிகதிி
இடம்பெபாற்றி பாாராளுமான்றி பெபாாது அமார்விில் பாாராளுமான்றித்திினால் அங்கீகாிக்கப்பாட்டபெதின இத்திால் அறிிவிிக்கப்பாடுகின்றிது.
ககலலாாநிநிிிதிதிிி ஹஹர்ர்சசனன சூசூாாிியாயாப்ப்பெபெபாபாருருமாமா,,
பெசயாலாைர்,
நிிதிி, திிட்டமாிடல் மாற்றும் பெபாாருைாதிார
அபாிவிிருத்திி அளைமாச்சு.
நிிதிி, திிட்டமாிடல் மாற்றும் பெபாாருைாதிார
அபாிவிிருத்திி அளைமாச்சு,
பெகாழும்பு 01,
2026, பெபாப்புருவிாி 24.
திதிீீர்ர்மாமாாானனம்ம்
சுங்கக் கட்டளைைச் சட்டத்திின் (அத்திியாாயாம் 235) கீழ் இந்தித் திீர்மாானம் விர்த்திமாானப் பாத்திிாிளைகயாில் அறிிவிிக்கப்பாடுகின்றி
திினத்திிலிருந்து நிளைடமுளைறிக்கு விரும் விளைகயாில், சுங்கக் கட்டளைைச் சட்டத்திின் (அத்திியாாயாம் 235) இன் கீழாான சுங்க
இறிக்குமாதிித் திீர்ளைவியாானது இங்குள்ை அட்டவிளை�யாின் 3 ஆம் நிிரலில் குறிிப்பாிடப்பாட்டுள்ை ஒவ்பெவிாரு விிடயாத்திிலும்,
அட்டவிளை�யாின் 5 ஆம் நிிரலின் நேநிபெராத்தி பாதிிவுகைில் ஏற்பாடுத்திப்பாட்டுள்ை பெபாாதுவிான விிளைலயாிலான இறிக்குமாதிித் திீர்
ளைவியாிளைன அல்லது சுங்கக் கட்டளைைச் சட்டத்திின் (அத்திியாாயாம் 235) அட்டவிளை� ‘அ’ இன் ஏற்பாாடுகைின் கீழ் எங்பெகல்லாம்
1A – G 46361 – 38 (2026/02)
,t; mjp tpNrl tu;j;jkhdpia www.documents.gov.lk vd;Dk; ,izaj;jsj;jpypUe;J gjptpwf;fk; nra;a KbAk;.
2A I fldgi ( ^I&amp; fPoh - YS% ,xld m%cd;dka;s%l iudcjd§ ckrcfha w;s úfYI .eiÜ m;%h - 2026'02'25
gFjp I : njhFjp (I) - ,yq;ifr; rdehaf Nrhryprf; FbauR tu;j;jkhdg; gj;;jpupif - mjp tpNr\khdJ - 2026.02.25
முன்னுாிளைமா விிளைலயாானது அறிவிிடப்பாட்டு பெசலுத்திப்பாடக்கூடியாதிாகவுள்ைநேதிா அங்நேக, அட்டவிளை�யாின் 4 ஆம் நிிரலில்
நேநிபெராத்தி பாதிி�வுகைில் ஏற்பாடுத்திப்பாட்டுள்ை முன்னுாிளைமா விிளைலயாில் விிதிிக்கப்பாட்டு அறிவீடு பெசய்விதிற்கு இப் பாாராளுமான்றிம்
திீர்மாானிக்கின்றிது.
அஅட்ட்டடவிவிளைளை��
இ. மு. இ. மு. விிபாரம் சுங்கத்திீர்ளைவி அைவுக்
திளைலப்பு குறிியீடு (3) முன்னுாிளைமா பெபாாது கூறு
(1) (2) (4) (5) (6)
0088..0055 சிட்ரஸ் பாழாங்கள் புதிியாளைவி அல்லது
உலர்த்திப்பாட்டளைவி
- மாாண்டாின் பாழாங்கள் (டாங்காின் மாற்றும்
சாட்சுமாா உட்பாட); கிபெைபெமான்ளைடன், விில்கிங்
மாற்றும் அநேதி நேபாான்றி சிட்ரஸ் கலப்பு இனப்
பாழாங்கள்
0805.29 -- மாற்றிளைவி ;
0805.29.10 --- புதிியாளைவி (PK) இலவிசம் 20% கி. கி.
(SA) 17% அல்லது
அல்லது கி.கி.
ரூ. 60
கிநேலாவுக்கு
ரூ. 51
(SF) 5%
(SD) 5%
(SG) 20%
EOG 02 - 0216
,yq;if murhq;f mr;Rj; jpizf;fsj;jpw; gjpg;gpf;fg;ngw;wJ.</t>
  </si>
  <si>
    <t>0d09b129-f632-42cc-be81-6e948dc87058</t>
  </si>
  <si>
    <t>2477_35</t>
  </si>
  <si>
    <t>2477/35</t>
  </si>
  <si>
    <t>Air Force Act — Presidential Proclamation / Medal institution (Gazette 2477/35)</t>
  </si>
  <si>
    <t>1949 අංක 41 දරන ගුවන් හමුදා පනත - ජනාධිපති ප්‍රකාශය / පදක්කම් ස්ථාපනය</t>
  </si>
  <si>
    <t>1949 ஆம் ஆண்டின் 41 ஆம் இலக்க வான்படை சட்டம் - ஜனாதிபதி பிரகடனம் / பதக்கம் நிறுவல்</t>
  </si>
  <si>
    <t>Presidential proclamation instituting an Air Force medal or covering Sri Lanka Air Force matters. Part I — General; signed by the President under the Air Force Act, No. 41 of 1949.</t>
  </si>
  <si>
    <t>m1/raw/2477_35.pdf</t>
  </si>
  <si>
    <t>0fb5bf63-e8d2-49b3-8778-be653a1c4d66</t>
  </si>
  <si>
    <t>2477_36</t>
  </si>
  <si>
    <t>2477/36</t>
  </si>
  <si>
    <t>Title Registration Act, No. 21 of 1998, Section 14 — Commissioner of Title Settlement decision (Gazette 2477/36)</t>
  </si>
  <si>
    <t>m1/raw/2477_36.pdf</t>
  </si>
  <si>
    <t>ශී ලංකා පජාතාන්තික සමාජවාදී ජනරජෙය් ගැසට් පතය
අති විෙශෂ
இலங்ைகச் சனநாயக ேசாச(cid:8098)சக் கு(cid:8074)யரசு வர்த்தமானப் பத்திாிைக
அதி விேசஷமான(cid:8080)
අංක 2477/36 - 2026 ෙපබරවාරි මස 26 වැනි බහසප් තින්දා - 2026.02.26
2477/36 ஆம் இலக்கம் - 2026 ஆம் ஆண்(cid:8076) ெபப்(cid:8087)(cid:8094)வாி மாதம் 26 ஆந் திகதி வியாழக்கிழைம
(அரசாங்கத்தின் அதிகாரத்(cid:8080)டன் பிரசுாிக்கப்பட்ட(cid:8080))
பகுதி III - காணிகள்
காணி ெகாள்வன(cid:8107) பற்றிய அறிவித்தல்கள்
காணி எ(cid:8076)த்தற் சட்டம் (அத்தியாயம் 460) இல. 185 இனால் காட்டப்பட்(cid:8076)ள்ள (cid:8089)(cid:8104) காணியின்
அளவில் 0.0665 ெஹக்டயார் விஸ்தீரணத்திலான
7 ஆம் பிாிவின் கீழ் அறிவித்தல்
கீழ்க் குறிப்பிடப்ப(cid:8076)ம் எல்ைலக(cid:8102)ைடய (cid:8098)ேயாவத்த
மற்(cid:8096)ம் ஒ(cid:8094)வ ெக(cid:8076)ேஹன எ(cid:8084)ம் காணித்(cid:8080)ண்(cid:8074)ன்
என(cid:8080) இல.: KDS/DOL/04/04/05/3/18.
விபரங்கள் பின்வ(cid:8094)மா(cid:8096) :
காணி அைமச்சின் இல.: 4-3/9/2014/WS/139.
01. (cid:8080)ண்(cid:8076) இல. 185
ஒ(cid:8094) பகிரங்கத் ேதைவக்கு ேவண்(cid:8074)யதான கீழ்க் காணியின் ெபயர்: (cid:8098)ேயாவத்த மற்(cid:8096)ம் ஒ(cid:8094)வ
கா(cid:8078)ம் காணிைய எ(cid:8076)த்(cid:8080)க்ெகாள்ள அரசாட்சியார் ெக(cid:8076)ேஹன; விபரம் : (cid:8106)ட்(cid:8076)த் ேதாட்டம்; உாிைம
எண்ணியி(cid:8094)க்கிறார்கள் என்பைத 1964 ஆம் ஆண்(cid:8074)ன் ேகா(cid:8094)ேவார் : அரசு, காணி எ(cid:8076)த்தற் சட்டத்தின்
28 ஆம் இலக்க காணி எ(cid:8076)த்தற் (தி(cid:8094)த்தம்) சட்டத்தினால் 38 (அ) இைடக்கால நிபந்தைனயின் கீழ் எ(cid:8076)த்(cid:8080)க்
தி(cid:8094)த்தப்பட்டவாறான காணி எ(cid:8076)த்தற் சட்டத்தின் ெகாள்ளப்பட்(cid:8076)ள்ள(cid:8080); ஆரம்ப உாிைம ேகா(cid:8094)ேவார்:
(அத்தியாயம் 460) 7 ஆம் பிாிவின் (1) ஆம் உப பீ.ஆர். சீலவதி மற்(cid:8096)ம் சந்திமா குமாாி (cid:8098)யன்ெதனிய
பிாிவின் கீழ், நான் இத்தால் அறிவிக்கின்ேறன். எ(cid:8076)த்(cid:8080)க் ெகாள்(cid:8102)ம் நடவ(cid:8074)க்ைகைய (cid:8089)(cid:8074)த்(cid:8080)க்
ெகாள்வதற்காக; விஸ்தீரணம்: 0.0665 ெஹக்டயார்.
எ(cid:8076)த்(cid:8080)க்ெகாள்ளவி(cid:8094)க்கும் காணியின் விபரம் :
ேமற்குறித்த காணிக்கு உாித்(cid:8080)ப் ேபசுகின்ற சகல(cid:8094)ம்
மத்திய மாகாணத்தின் கண்(cid:8074) மாவட்டத்தில்
தாமாக அல்ல(cid:8080) (cid:8089)ைறப்ப(cid:8074) எ(cid:8104)த்(cid:8080) (cid:8090)லம் அதிகாரம்
ெதா(cid:8100)வ பிரேதச ெசயலாளர் பிாிவில் கந்(cid:8080)கர பஹல
அளிக்கப்பட்ட காாியக்காரர் (cid:8090)லமாக 2026 ஆம்
ேகாரேல இல. 1155 ெதா(cid:8100)வ கிராம அ(cid:8100)வலர்
ஆண்(cid:8076) ஏப்பிறல் மாதம் 20 ஆந் திகதி (cid:8089).ப. 10.00
பிாிவில் ெமதபிட்(cid:8074)ய எ(cid:8084)ம் கிராமத்தில் அைமந்த,
மணிக்கு ெதா(cid:8100)வ பிரேதச ெசயலகத்தில் என்
நில அளைவயாளர் நாயகத்தினால் அளந்(cid:8080) தயாாிக்
(cid:8089)ன்பாக ெவளிப்ப(cid:8076)த்(cid:8080)ம் ப(cid:8074)(cid:8092)ம்,
கப்பட்ட கடத்திரல் வைரபடத்தின் இல. 320026
ெதாகுதி இல. 1, தாள் இல. 8 மற்(cid:8096)ம் 2021.08.20 ஆந் ேம(cid:8100)ம், அக்காணியில் அவர்க(cid:8102)க்குள்ள உடந்ைத
திகதிக்கு உாிய வைரபடத்தின் காணித்(cid:8080)ண்(cid:8076) களின் தன்ைமைய(cid:8092)ம் குறித்த காணிைய எ(cid:8076)த்தற்கான
1A - G 046357 — 25 (2026/02)
இவ் அதிவிேசட வர்த்தமானிைய www.documents.gov.lk எ(cid:8084)ம் இைணயத்தளத்தி(cid:8098)(cid:8094)ந்(cid:8080) பதிவிறக்கம் ெசய்ய (cid:8089)(cid:8074)(cid:8092)ம்.
2A III ෙකොටස - ශී ලංකා පජාතාන්තික සමාජවාදී ජනරජෙය් අති විෙශෂ ගැසට් පතය - 2026.02.26
பகுதி III - இலங்ைகச் சனநாயக ேசாச(cid:8098)சக் கு(cid:8074)யரசு வர்த்தமானப் பத்திாிைக - அதி விேசஷமான(cid:8080) - 2026.02.26
நஷ்டஈ(cid:8076) பற்றிய அவர்களின் ேகாாிக்ைககளின் கடத்திரல் வைரபட இல. 510233 ெதாகுதி 03 தாள் 15
விபரங்கைள(cid:8092)ம் நஷ்ட ஈட்(cid:8076)த் ெதாைகைய(cid:8092)ம், இன் (cid:8080)ண்(cid:8076) இல. 36 (cid:8080)ண்(cid:8076)க(cid:8102)க்குாிய பந்தி
அத்ெதாைக கணிக்கப்பட்ட விதத்ைத(cid:8092)ம் 2026 ஆம் கீழ்வ(cid:8094)மா(cid:8096) தி(cid:8094)த்தம் ெசய்யப்பட்(cid:8076)ள்ளெதன இத்தால்
ஆண்(cid:8076) மாச்சு மாதம் 20 ஆந் திகதிக்கு (cid:8089)ன்னர் (cid:8090)லம் அறிவிக்கின்ேறன்.
எ(cid:8104)த்தில் இ(cid:8094) பிரதிகளாக எனக்கு அறிவிக்கும்
கடத்திரல் வைரபட இல. 510233 ெதாகுதி 03 தாள் 18 இன்
ப(cid:8074) (cid:8092)ம் இத்தால் ேகட்(cid:8076)க் ெகாள்ளப்ப(cid:8076)கின்றனர்.
01. (cid:8080)ண்(cid:8076) இல. 01
டபிள்(cid:8093).ஜீ. ய(cid:8089)னா தயாரத்ன,
காணியின் ெபயர்: க(cid:8080)(cid:8094)கஹவத்ைத; விபரம் :
பிரேதச ெசயலாளர்,
(cid:8106)ட்(cid:8076)த்ேதாட்டம், கலப்(cid:8087)ப் பயிர்ச்ெசய்ைக உள்ள(cid:8080);
ெதா(cid:8100)வ.
உாிைம ேகா(cid:8094)ேவார் : அரசு; ஆரம்ப உாிைம
ேகா(cid:8094)ேவார்: ம(cid:8074)தியவல அப்(cid:8087)ஹாமிலாேக நிலந்த
பிரேதச ெசயலாளர் அ(cid:8100)வலகம்,
தர்ஷன அபயசிங்ஹ, இல. 63/2, மிெதல்லவல,
ெதா(cid:8100)வ,
பல்ெலெவல, (காணி எ(cid:8076)த்த(cid:8100)க்கான இ(cid:8096)திக்கட்ட
2026, ெபப்(cid:8087)(cid:8094)வாி 20.
நடவ(cid:8074)க்ைக); விஸ்தீரணம்: 0.0083 ெஹக்டயார்.
EOG 02 - 0211
02. (cid:8080)ண்(cid:8076) இல. 02
காணியின் ெபயர்: க(cid:8080)(cid:8094)கஹவத்ைத; விபரம் :
தி(cid:8094)த்தம் (cid:8106)ட்(cid:8076)த்ேதாட்டம், கலப்(cid:8087)ப் பயிர்ச்ெசய்ைக உள்ள(cid:8080);
உாிைம ேகா(cid:8094)ேவார் : அரசு; ஆரம்ப உாிைம
காணி எ(cid:8076)த்தற் சட்டம் (அத்தியாயம் 460) ேகா(cid:8094)ேவார்: - (நீக்கப்பட்(cid:8076)ள்ள(cid:8080)); விஸ்தீரணம்:
0.0059 ெஹக்டயார்.
7 ஆம் பிாிவின் கீழ் அறிவித்தல்
டபிள்(cid:8093).பி. பிரசாத் இந்திக்க,
என(cid:8080) இல.: Miri/DS/L/3.
பிரேதச ெசயலாளர் மற்(cid:8096)ம்
காணி எ(cid:8076)த்தல் உத்திேயாகத்தர்,
காணி எ(cid:8076)த்தற் (தி(cid:8094)த்தம்) சட்டத்தினால் தி(cid:8094)த்தப்
மீாிகைம.
பட்டவாறான காணி எ(cid:8076)த்தற் சட்டத்தின்
(அத்தியாயம் 460) 7 ஆம் பிாிவின் அறிவித்த(cid:8098)ன் கீழ்
பிரேதச ெசயலாளர் அ(cid:8100)வலகம்,
இல. 2391/06 மற்(cid:8096)ம் 2024.07.01 ஆம் திகதிய
மீாிகைம,
இலங்ைகச் சனநாயக ேசாச(cid:8098)சக் கு(cid:8074)யரசின் அரச
2026, ெபப்(cid:8087)(cid:8094)வாி 16.
வர்த்தமானப் பத்திாிைகயில் ெவளியிடப்பட்ட
அறிவித்த(cid:8098)ன் ப(cid:8074) 3ஏ பக்கத்தில் குறிப்பிடப்பட்(cid:8076)ள்ள EOG 02 - 0212
இலங்ைக அரசாங்க அச்சுத் திைணக்களத்தில் அச்சிடப்பட்ட(cid:8080).</t>
  </si>
  <si>
    <t>5d88869e-22d9-42e7-8b06-4116ebe80a0b</t>
  </si>
  <si>
    <t>2477_37</t>
  </si>
  <si>
    <t>2477/37</t>
  </si>
  <si>
    <t>Title Registration Act, No. 21 of 1998, Section 14 — Commissioner of Title Settlement decision (Gazette 2477/37)</t>
  </si>
  <si>
    <t>m1/raw/2477_37.pdf</t>
  </si>
  <si>
    <t>III ෙකාටස - (cid:636) ලංකා (cid:541)ජාතා(cid:486)(cid:437)ක සමාජවා(cid:463) ජනරජෙ(cid:591) අ(cid:431) (cid:618)ෙශෂ ගැස(cid:376) ප(cid:436)ය - 2026.02.26 1A
ப(cid:8065)தி III - இல(cid:8113)ைக(cid:8114) சனநாயக ேசாச(cid:8098)ச(cid:8112) (cid:8065)(cid:8074)யர(cid:8070) வ(cid:8125)(cid:8119)தமான(cid:8122) ப(cid:8119)திாிைக - அதி விேசஷமான(cid:8080) - 2026.02.26
(cid:636) ලංකා (cid:541)ජාතා(cid:486)(cid:437)ක සමාජවා(cid:463) ජනරජෙ(cid:591) ගැස(cid:376) ප(cid:436)ය
இல(cid:8113)ைக(cid:8114) சனநாயக ேசாச(cid:8098)ச(cid:8112) (cid:8065)(cid:8074)யர(cid:8070) வ(cid:8125)(cid:8119)தமான(cid:8122) ப(cid:8119)திாிைக
අ(cid:431) (cid:618)ෙශෂ அதி விேசஷமான(cid:8080)
අංක 2477/ 37 - 2026 ෙපබරවා(cid:604) මස 26 වැ(cid:487) (cid:559)හස්ප(cid:431)(cid:486)දා - 2026.02.26
2477/37 ஆ(cid:8123) இல(cid:8112)க(cid:8123) - 2026 ஆ(cid:8123) ஆ(cid:8118)(cid:8076) ெப(cid:8122)(cid:8087)(cid:8094)வாி மாத(cid:8123) 26 ஆ(cid:8120) திகதி வியாழ(cid:8112)கிழைம
(அரசா(cid:8113)க(cid:8119)தி(cid:8121) அதிகார(cid:8119)(cid:8080)ட(cid:8121) பிர(cid:8070)ாி(cid:8112)க(cid:8122)ப(cid:8117)ட(cid:8080))
ப(cid:8065)தி III - காணிக(cid:8128)
காணி ெகா(cid:8128)வன(cid:8107) ப(cid:8126)றிய அறிவி(cid:8119)த(cid:8127)க(cid:8128)
காணி எ(cid:8076)(cid:8119)த(cid:8126) ச(cid:8117)ட(cid:8123) (அ(cid:8119)தியாய(cid:8123) 460) காணி ம(cid:8096)சீரைம(cid:8122)(cid:8087) ஆைண(cid:8112)(cid:8065)(cid:8104) உாிைம ேகா(cid:8094)(cid:8123) அ(cid:8123)பி(cid:8074)
ெகாடபதன, (cid:8106)தி ம(cid:8126)(cid:8096)(cid:8123) (cid:8106)தி((cid:8106)தி அபிவி(cid:8094)(cid:8119)தி அதிகார
5 ஆ(cid:8123) பிாிவி(cid:8121) ப(cid:8074)யான பிரகடன(cid:8123) சைப); ெத(cid:8126)(cid:8065) : (cid:8106)தி ((cid:8106)தி அபிவி(cid:8094)(cid:8119)தி அதிகார சைப) காணி
ம(cid:8096)சீரைம(cid:8122)(cid:8087) ஆைண(cid:8112)(cid:8065)(cid:8104) உாிைம ேகா(cid:8094)(cid:8123) அ(cid:8123)பி(cid:8074)ெகாட
கீ(cid:8129)(cid:8112)கா(cid:8078)(cid:8123) காணி ஒ(cid:8094) பகிர(cid:8113)க(cid:8119) ேதைவ(cid:8112)(cid:8065) ேவ(cid:8118)(cid:8074)யதா(cid:8124) பதன (cid:8080)(cid:8118)(cid:8076)க(cid:8128) E, D, C, கா(cid:8127)வா(cid:8124) ம(cid:8126)(cid:8096)(cid:8123) (cid:8106)தி; ேம(cid:8126)(cid:8065):
இ(cid:8094)(cid:8112)கி(cid:8121)றெத(cid:8121)(cid:8096)(cid:8123) காணி எ(cid:8076)(cid:8119)த(cid:8126) ச(cid:8117)ட(cid:8119)தி(cid:8121) ஏ(cid:8126)பா(cid:8076) (cid:8080)(cid:8118)(cid:8076)க(cid:8128) E,D,C, கா(cid:8127)வா(cid:8124) ம(cid:8126)(cid:8096)(cid:8123) (cid:8106)தி, (cid:8080)(cid:8118)(cid:8076) B ம(cid:8126)(cid:8096)(cid:8123)
களி(cid:8121) பிரகார(cid:8123) அ(cid:8080) எ(cid:8076)(cid:8119)(cid:8080)(cid:8112) ெகா(cid:8128)ள(cid:8122)ப(cid:8076)ெம(cid:8121)(cid:8096)(cid:8123) காணி காணி ம(cid:8096)சீரைம(cid:8122)(cid:8087) ஆைண(cid:8112)(cid:8065)(cid:8104) உாிைம ேகா(cid:8094)(cid:8123)
எ(cid:8076)(cid:8119)த(cid:8126) ச(cid:8117)ட(cid:8119)தி(cid:8121) 5 ஆ(cid:8123) பிாிவி(cid:8121) (1) ஆ(cid:8123) உபபிாிவி(cid:8121) அ(cid:8123)பி(cid:8074)ெகாட பதன.
பிரகார(cid:8123) கம(cid:8119)ெதாழி(cid:8127), கா(cid:8127)நைட வள(cid:8113)க(cid:8128), காணி ம(cid:8126)(cid:8096)(cid:8123)
நீ(cid:8125)(cid:8122)பாசன அைம(cid:8114)ச(cid:8125) (cid:8065)ரகமேக ெதா(cid:8121) லா(cid:8127) கா(cid:8120)த ஆகிய 02. (cid:8080)(cid:8118)(cid:8076) ‘B’ - (cid:8065)றி(cid:8122)பிட(cid:8122)படவி(cid:8127)ைல - வி(cid:8132)தீரண(cid:8123) :
நா(cid:8121), இ(cid:8119)தா(cid:8127) பிரகடன(cid:8123) ெச(cid:8124)கி(cid:8121)ேற(cid:8121). 0.0509 ெஹ(cid:8112)டயா(cid:8125)
வட(cid:8112)(cid:8065): காணி ம(cid:8096)சீரைம(cid:8122)(cid:8087) ஆைண(cid:8112)(cid:8065)(cid:8104) உாிைம
ஊவா மாகாண(cid:8123), ப(cid:8080)ைள மாவ(cid:8117)ட(cid:8119)தி(cid:8127) ெவ(cid:8098)மைட ேகா(cid:8094)(cid:8123) அ(cid:8123)பி(cid:8074)ெகாடபதன ம(cid:8126)(cid:8096)(cid:8123) (cid:8080)(cid:8118)(cid:8076) A ; கிழ(cid:8112)(cid:8065):
பிரேதச ெசயலாள(cid:8125) பிாிவி(cid:8127) 59A த(cid:8123)பவி(cid:8121)ன கிராம (cid:8080)(cid:8118)(cid:8076) A; ெத(cid:8126)(cid:8065): (cid:8080)(cid:8118)(cid:8076) A; ேம(cid:8126)(cid:8065) : (cid:8080)(cid:8118)(cid:8076) A, (cid:8106)தி
அ(cid:8100)வல(cid:8125) பிாிவி(cid:8127) த(cid:8123)பவி(cid:8121)ன கிராம(cid:8119)தி(cid:8127) அைம(cid:8120)(cid:8080)(cid:8128)ள ம(cid:8126)(cid:8096)(cid:8123) காணி ம(cid:8096)சீரைம(cid:8122)(cid:8087) ஆைண(cid:8112)(cid:8065)(cid:8104) உாிைம ேகா(cid:8094)(cid:8123)
நில அளைவயாள(cid:8125) நாயக(cid:8119)தினா(cid:8127) 2025.04.07 ஆ(cid:8123) அ(cid:8123)பி(cid:8074)ெகாடபதன.
திகதி தயாாி(cid:8112)க(cid:8122)ப(cid:8117)ட (cid:8089)த(cid:8126)(cid:8070)வ(cid:8117)(cid:8076) வைரபட இல(cid:8112)க(cid:8123)
B/WLM/2025/2 இ(cid:8127) விபாி(cid:8112)க(cid:8122)ப(cid:8117)ட ெபய(cid:8125)கைள(cid:8092)(cid:8123). 03. (cid:8080)(cid:8118)(cid:8076) ‘C’ - அ(cid:8123)பி(cid:8074)ெகாடபதன - வி(cid:8132)தீரண(cid:8123) :
வி(cid:8132)தீரண(cid:8113)கைள(cid:8092)(cid:8123), ெகா(cid:8118)ட காணி(cid:8119) (cid:8080)(cid:8118)(cid:8076)களி(cid:8121) 0.6778 ெஹ(cid:8112)டயா(cid:8125)
எ(cid:8127)ைலக(cid:8128): வட(cid:8112)(cid:8065): கா(cid:8127)வா(cid:8124) ம(cid:8126)(cid:8096)(cid:8123) (cid:8080)(cid:8118)(cid:8076) A; கிழ(cid:8112)(cid:8065): (cid:8080)(cid:8118)(cid:8076)க(cid:8128) A
ம(cid:8126)(cid:8096)(cid:8123) D; ெத(cid:8126)(cid:8065) : (cid:8080)(cid:8118)(cid:8076)க(cid:8128) D ம(cid:8126)(cid:8096)(cid:8123) F; ேம(cid:8126)(cid:8065) : (cid:8080)(cid:8118)(cid:8076) F
01. (cid:8080)(cid:8118)(cid:8076) ‘A’ - அ(cid:8123)பி(cid:8074)ெகாடபதன - வி(cid:8132)தீரண(cid:8123) : 4.7167 ம(cid:8126)(cid:8096)(cid:8123) கா(cid:8127)வா(cid:8124).
ெஹ(cid:8112)டயா(cid:8125)
வட(cid:8112)(cid:8065): கா(cid:8127)வா(cid:8124), (cid:8106)தி, (cid:8080)(cid:8118)(cid:8076) B, காணி ம(cid:8096)சீரைம(cid:8122)(cid:8087)
ஆைண(cid:8112)(cid:8065)(cid:8104) உாிைம ேகா(cid:8094)(cid:8123) அ(cid:8123)பி(cid:8074)ெகாடபதன; கிழ(cid:8112)(cid:8065):
1A - G46358- 13 (2026/02)
www.documents.gov.lk
2A III ෙකාටස - (cid:636) ලංකා (cid:541)ජාතා(cid:486)(cid:437)ක සමාජවා(cid:463) ජනරජෙ(cid:591) අ(cid:431) (cid:618)ෙශෂ ගැස(cid:376) ප(cid:436)ය - 2026.02.26
ப(cid:8065)தி III - இல(cid:8113)ைக(cid:8114) சனநாயக ேசாச(cid:8098)ச(cid:8112) (cid:8065)(cid:8074)யர(cid:8070) வ(cid:8125)(cid:8119)தமான(cid:8122) ப(cid:8119)திாிைக - அதி விேசஷமான(cid:8080) - 2026.02.26
04. (cid:8080)(cid:8118)(cid:8076) ‘D’ - (cid:8065)றி(cid:8122)பிட(cid:8122)படவி(cid:8127)ைல - வி(cid:8132)தீரண(cid:8123) : 09. (cid:8080)(cid:8118)(cid:8076) ‘J’ - அ(cid:8123)பி(cid:8074)ெகாட பதன - வி(cid:8132)தீரண(cid:8123) : 0.1982
0.0615 ெஹ(cid:8112)டயா(cid:8125) ெஹ(cid:8112)டயா(cid:8125)
வட(cid:8112)(cid:8065): (cid:8080)(cid:8118)(cid:8076) C ம(cid:8126)(cid:8096)(cid:8123) A;கிழ(cid:8112)(cid:8065): : (cid:8080)(cid:8118)(cid:8076)க(cid:8128) A ம(cid:8126)(cid:8096)(cid:8123) வட(cid:8112)(cid:8065): கா(cid:8127)வா(cid:8124) ம(cid:8126)(cid:8096)(cid:8123) (cid:8080)(cid:8118)(cid:8076) F;கிழ(cid:8112)(cid:8065): (cid:8080)(cid:8118)(cid:8076)க(cid:8128) F,
E; ெத(cid:8126)(cid:8065) : (cid:8080)(cid:8118)(cid:8076)க(cid:8128) E ம(cid:8126)(cid:8096)(cid:8123) F;ேம(cid:8126)(cid:8065) : (cid:8080)(cid:8118)(cid:8076)க(cid:8128) F H ம(cid:8126)(cid:8096)(cid:8123) L;ெத(cid:8126)(cid:8065) : (cid:8080)(cid:8118)(cid:8076)க(cid:8128) H ம(cid:8126)(cid:8096)(cid:8123) L;ேம(cid:8126)(cid:8065) : (cid:8080)(cid:8118)(cid:8076)
ம(cid:8126)(cid:8096)(cid:8123) C. L ம(cid:8126)(cid:8096)(cid:8123) கா(cid:8127)வா(cid:8124);
05. (cid:8080)(cid:8118)(cid:8076) ‘E’ - அ(cid:8123)பி(cid:8074)ெகாட பதன - வி(cid:8132)தீரண(cid:8123) : 1.4145 10. (cid:8080)(cid:8118)(cid:8076) ‘K’ - அ(cid:8123)பி(cid:8074)ெகாட பதன - வி(cid:8132)தீரண(cid:8123) : 0.0406
ெஹ(cid:8112)டயா(cid:8125) ெஹ(cid:8112)டயா(cid:8125)
வட(cid:8112)(cid:8065): (cid:8080)(cid:8118)(cid:8076)க(cid:8128) D ம(cid:8126)(cid:8096)(cid:8123) A; கிழ(cid:8112)(cid:8065): (cid:8080)(cid:8118)(cid:8076) A, காணி வட(cid:8112)(cid:8065) : கா(cid:8127)வா(cid:8124) ம(cid:8126)(cid:8096)(cid:8123) (cid:8080)(cid:8118)(cid:8076) L; கிழ(cid:8112)(cid:8065): (cid:8080)(cid:8118)(cid:8076)
ம(cid:8096)சீரைம(cid:8122)(cid:8087) ஆைண(cid:8112)(cid:8065)(cid:8104) உாிைம ேகா(cid:8094)(cid:8123) அ(cid:8123)பி(cid:8074)ெகாட L ம(cid:8126)(cid:8096)(cid:8123) காணி ம(cid:8096)சீரைம(cid:8122)(cid:8087) ஆைண(cid:8112)(cid:8065)(cid:8104) உாிைம
பதன ம(cid:8126)(cid:8096)(cid:8123) (cid:8106)தி;ெத(cid:8126)(cid:8065) : காணி ம(cid:8096)சீரைம(cid:8122)(cid:8087) ஆைண(cid:8112)(cid:8065)(cid:8104) ேகா(cid:8094)(cid:8123) அ(cid:8123)பி(cid:8074)ெகாடபதன; ெத(cid:8126)(cid:8065) : காணி ம(cid:8096)சீரைம(cid:8122)(cid:8087)
உாிைம ேகா(cid:8094)(cid:8123) அ(cid:8123)பி(cid:8074)ெகாட பதன, (cid:8106)தி, இ.கி.வ.59 இ(cid:8127) ஆைண(cid:8112)(cid:8065)(cid:8104) உாிைம ேகா(cid:8094)(cid:8123) அ(cid:8123)பி(cid:8074)ெகாட பதன ம(cid:8126)(cid:8096)(cid:8123)
(cid:8080)(cid:8118)(cid:8076) இல. 58, (cid:8080)(cid:8118)(cid:8076) F;ேம(cid:8126)(cid:8065) : காணி ம(cid:8096)சீரைம(cid:8122)(cid:8087) கா(cid:8127)வா(cid:8124); ேம(cid:8126)(cid:8065) : கா(cid:8127)வா(cid:8124).
ஆைண(cid:8112)(cid:8065)(cid:8104) உாிைம ேகா(cid:8094)(cid:8123) அ(cid:8123)பி(cid:8074)ெகாட பதன, (cid:8106)தி,
11. (cid:8080)(cid:8118)(cid:8076) ‘L’ - (cid:8065)றி(cid:8122)பிட(cid:8122)படவி(cid:8127)ைல - வி(cid:8132)தீரண(cid:8123) :
இ.கி.வ.59 இ(cid:8127) (cid:8080)(cid:8118)(cid:8076) இல.58, (cid:8080)(cid:8118)(cid:8076)க(cid:8128) F ம(cid:8126)(cid:8096)(cid:8123) D.
0.0416 ெஹ(cid:8112)டயா(cid:8125)
வட(cid:8112)(cid:8065): (cid:8106)தி, கா(cid:8127)வா(cid:8124), (cid:8080)(cid:8118)(cid:8076)க(cid:8128) J, H ம(cid:8126)(cid:8096)(cid:8123) G;கிழ(cid:8112)(cid:8065):
06. (cid:8080)(cid:8118)(cid:8076) ‘F’ - (cid:8065)றி(cid:8122)பிட(cid:8122)படவி(cid:8127)ைல - வி(cid:8132)தீரண(cid:8123) :
(cid:8080)(cid:8118)(cid:8076)க(cid:8128) J, H ம(cid:8126)(cid:8096)(cid:8123) G; ெத(cid:8126)(cid:8065) : (cid:8106)தி, காணி ம(cid:8096)சீரைம(cid:8122)(cid:8087)
0.0135 ெஹ(cid:8112)டயா(cid:8125)
ஆைண(cid:8112)(cid:8065)(cid:8104) உாிைம ேகா(cid:8094)(cid:8123) அ(cid:8123)பி(cid:8074)ெகாட பதன, (cid:8080)(cid:8118)(cid:8076) K
வட(cid:8112)(cid:8065): (cid:8080)(cid:8118)(cid:8076)க(cid:8128) C, D, ம(cid:8126)(cid:8096)(cid:8123) E; கிழ(cid:8112)(cid:8065): (cid:8080)(cid:8118)(cid:8076)க(cid:8128) C,
ம(cid:8126)(cid:8096)(cid:8123) கா(cid:8127)வா(cid:8124); ேம(cid:8126)(cid:8065) : காணி ம(cid:8096)சீரைம(cid:8122)(cid:8087) ஆைண(cid:8112)(cid:8065)(cid:8104)
D, E ம(cid:8126)(cid:8096)(cid:8123) இ.கி.வ 59 இ(cid:8127) (cid:8080)(cid:8118)(cid:8076) இல.58; ெத(cid:8126)(cid:8065) : இ.கி.வ
உாிைம ேகா(cid:8094)(cid:8123) அ(cid:8123)பி(cid:8074)ெகாட பதன, (cid:8080)(cid:8118)(cid:8076) K ம(cid:8126)(cid:8096)(cid:8123)
59 இ(cid:8127) (cid:8080)(cid:8118)(cid:8076) இல. 58, (cid:8080)(cid:8118)(cid:8076)க(cid:8128) G,H ம(cid:8126)(cid:8096)(cid:8123) J ;ேம(cid:8126)(cid:8065) :
கா(cid:8127)வா(cid:8124).
(cid:8080)(cid:8118)(cid:8076)க(cid:8128) G, H, J ம(cid:8126)(cid:8096)(cid:8123) கா(cid:8127)வா(cid:8124).
ேக. (cid:8074). லா(cid:8127) கா(cid:8120)த,
07. (cid:8080)(cid:8118)(cid:8076) ‘G’ - அ(cid:8123)பி(cid:8074)ெகாட பதன - வி(cid:8132)தீரண(cid:8123) : 0.2974
கம(cid:8119)ெதாழி(cid:8127), கா(cid:8127)நைட வள(cid:8113)க(cid:8128),
ெஹ(cid:8112)டயா(cid:8125)
காணி ம(cid:8126)(cid:8096)(cid:8123) நீ(cid:8125)(cid:8122)பாசன அைம(cid:8114)ச(cid:8125).
வட(cid:8112)(cid:8065): (cid:8080)(cid:8118)(cid:8076)க(cid:8128) H ம(cid:8126)(cid:8096)(cid:8123) F; கிழ(cid:8112)(cid:8065): (cid:8080)(cid:8118)(cid:8076) F ம(cid:8126)(cid:8096)(cid:8123)
இ.கி.வ 59 இ(cid:8127) (cid:8080)(cid:8118)(cid:8076) இல.58; ெத(cid:8126)(cid:8065) : காணி ம(cid:8096)சீரைம(cid:8122)(cid:8087)
என(cid:8080) இல. : 4-3/17/2024/D/44.
ஆைண(cid:8112)(cid:8065)(cid:8104) உாிைம ேகா(cid:8094)(cid:8123) அ(cid:8123)பி(cid:8074)ெகாட பதன ம(cid:8126)(cid:8096)(cid:8123)
கம(cid:8119)ெதாழி(cid:8127), கா(cid:8127)நைட வள(cid:8113)க(cid:8128), காணி ம(cid:8126)(cid:8096)(cid:8123)
(cid:8080)(cid:8118)(cid:8076) L; ேம(cid:8126)(cid:8065) : (cid:8080)(cid:8118)(cid:8076)க(cid:8128) L ம(cid:8126)(cid:8096)(cid:8123) H.
நீ(cid:8125)(cid:8122)பாசன அைம(cid:8114)(cid:8070),
“மிஹிகத ெம(cid:8080)ர”, காணி(cid:8114) ெசயலக(cid:8123),
08. (cid:8080)(cid:8118)(cid:8076) ‘H’ - (cid:8065)றி(cid:8122)பிட(cid:8122)படவி(cid:8127)ைல - வி(cid:8132)தீரண(cid:8123) : இரஜம(cid:8127)வ(cid:8119)ைத (cid:8106)தி,
0.0217 ெஹ(cid:8112)டயா(cid:8125) ப(cid:8119)தர(cid:8089)(cid:8127)ைல,
வட(cid:8112)(cid:8065): (cid:8080)(cid:8118)(cid:8076)க(cid:8128) J ம(cid:8126)(cid:8096)(cid:8123) F; கிழ(cid:8112)(cid:8065): (cid:8080)(cid:8118)(cid:8076)க(cid:8128) F 2026, சனவாி 27.
ம(cid:8126)(cid:8096)(cid:8123) G; ெத(cid:8126)(cid:8065) : (cid:8080)(cid:8118)(cid:8076)க(cid:8128) G ம(cid:8126)(cid:8096)(cid:8123) L;ேம(cid:8126)(cid:8065) : (cid:8080)(cid:8118)(cid:8076)க(cid:8128)
L ம(cid:8126)(cid:8096)(cid:8123) J EOG 02 - 0213
இல(cid:8113)ைக அரசா(cid:8113)க அ(cid:8114)(cid:8070)(cid:8119) திைண(cid:8112)கள(cid:8119)தி(cid:8127) அ(cid:8114)சிட(cid:8122)ப(cid:8117)ட(cid:8080).</t>
  </si>
  <si>
    <t>432468c8-377d-41ee-bab1-46477d0ab227</t>
  </si>
  <si>
    <t>2477_38</t>
  </si>
  <si>
    <t>2477/38</t>
  </si>
  <si>
    <t>Co-operative Societies Act No. 5 of 1972 (as amended), Section 31 — Notice (Gazette 2477/38)</t>
  </si>
  <si>
    <t>m1/raw/2477_38.pdf</t>
  </si>
  <si>
    <t>Y%S ,xld m%cd;dka;%sl iudcjd§ ckrcfha .eiÜ m;%h
w;s úfYI
,yq;ifr; rdehaf Nrhryprf; FbauR tu;j;jkhdg; gj;jpupif
mjp tpNr\khdJ
wxl 2477$38 - 2026 fmnrjdß ui 26 jeks n%yiam;skaod - 2026'02'26
2477/ 38 Mk; ,yf;fk; - 2026 Mk; Mz;L ngg;GUtup khjk; 26 Me; jpfjp tpahof;;fpoik
(murhq;fj;jpd; mjpfhuj;Jld; gpuRupf;fg;gl;lJ)
gFjp I : njhFjp (I) - nghJ
murhq;f mwptpj;jy;fs;
யாயாாாத்த்திதிிிரைரைைைககள்ள் ககட்ட்டடரைரைைைச்ச் சசட்ட்டடம்ம்
தெதின் மாாகாணத்திின் காலி மாாவட்டத்திில் நாாதெகாட பிிைதேதிச தெசயாலாாைர் பிிாிவில் உடுகமா கிைாமா அலுவலாலார் பிிாிவில்
ஸ்ரீ சாசனாாலாங்காைாமா புைாண விஹாாரைையாில் வருடாந்திம் நாடாத்திப்பிடும் ஸ்ரீ மாகா தேபிாதிிைாஜ தெபிைஹாைா 2026, யூன் மாாதிம் 29 ஆந்
திிகதிி முதில் யூரைலா மாாதிம் 12 ஆம் திிகதிி வரைை நாரைடதெபிறும் என்பிரைதி யாாத்திிரைைகள் கட்டரைைச் சட்டத்திின் (175 ஆம் அதிிகாைமாானா)
2 ஆம் பிிாிவின் பிிைகாைம் தியாாாிக்கப்பிட்ட இலாக்கம் 1956/11 மாற்றும் 2016.03.01 ஆந் திிகதிியாிட்ட இலாங்ரைகச் சனாநாாயாக தேசாசலிசக்
குடியாைசின் அதிி விதேசட வர்த்திமாானாப் பித்திிாிரைகயாின் கீழ் பிிைசுாித்தி ஆரைணகைின் பிடி இத்திால் அறிியாத்திருகின்தேறின்.
தேதேகக.. யூயூ.. சசந்ந்திதிிிைைலாலாாால்ல்,
மாாவட்டச் தெசயாலாாைர்/ அைசாங்க அதிிபிர்,
காலி நாிருவாக மாாவட்டம்.
காலி மாாவட்ட தெசயாலாகம்,
2025, தெபிப்புருவாி மாாதிம் 23 ஆம் திிகதிி.
EOG 02-0214
,yq;if murhq;f mr;Rj; jpizf;fsj;jpw; gjpg;gpf;fg;ngw;wJ.
1A - G 46359 — 06 (2026/02)
,t; mjptpNrl tu;j;jkhdpia www.documents.gov.lk vDk; ,izaj;jsj;jpypUe;J gjptpwf;fk; nra;a KbAk;.</t>
  </si>
  <si>
    <t>812226e9-7a4c-4296-a15b-4055363ae075</t>
  </si>
  <si>
    <t>2477_39</t>
  </si>
  <si>
    <t>2477/39</t>
  </si>
  <si>
    <t>General Government Notification — Citizenship/Administrative (Gazette 2477/39)</t>
  </si>
  <si>
    <t>රජයේ දැන්වීම — පුරවැසි / පරිපාලන</t>
  </si>
  <si>
    <t>அரசாங்க அறிவித்தல் — பிரஜாவுரிமை / நிர்வாகம்</t>
  </si>
  <si>
    <t>General Government Notification. Reference PS/CSA/00/1/IX/7/1. Part I — General.</t>
  </si>
  <si>
    <t>m1/raw/2477_39.pdf</t>
  </si>
  <si>
    <t>Y%S ,xld m%cd;dka;%sl iudcjd§ ckrcfha .eiÜ m;%h
w;s úfYI
,yq;ifr; rdehaf Nrhryprf; FbauR tu;j;jkhdg; gj;jpupif
mjp tpNr\khdJ
wxl 2477$39 - 2026 fmnrjdß ui 26 jeks n%yiam;skaod - 2026'02'26
2477/ 39 Mk; ,yf;fk; - 2026 Mk; Mz;L ngg;GUtup khjk; 26 Me; jpfjp tpahof;;fpoik
(murhq;fj;jpd; mjpfhuj;Jld; gpuRupf;fg;gl;lJ)
gFjp I : njhFjp (I) - nghJ
rdhjpgjpapd; epakdq;fSk; gpwTk;
2026 இன் இல. 98/2
ச.அ.இலக்கம் : PS/CSA/00/1/IX/7/1
இலங்கைகச் சனநாாயக சசாசலிசக் குடியரசு அரசியலகைைப்பிின் 154ஆ ஆம் உறுப்புகைரயின்� பிிரகாரம், ககௌரவ சனாதிிபிதிியவர்களாால்
2026, கபிப்புருவாி ைாதிம் 24 ஆந் திிகதிியிலிருந்து நாகைைமுகைைக்கு வரத்திக்கதிாக திிரு. சுசிாிபிால ைானவடு அவர்கள், கதின் ைாகாண
ஆளுநாராக நாியைனம் கசய்யப்பிட்டுள்ளாாகரன இத்திால் அைிவிக்கப்பிடுகின்ைது.
ககௌரவ சனாதிிபிதிியவர்களாின் ஆகைணப்பிடி,
கலாநாிதிி எஎன்ன்.. எஎஸ்ஸ்.. குகுைைாாநாநாாாயயக்க்கக,
சனாதிிபிதிியின் கசயலாளார்.
சனாதிிபிதிி அலுவலகம்,
ககாழும்பு 01,
2026, கபிப்புருவாி 26.
EOG 02-0215
1A - G 46360 - 04 (2026/02) ,yq;if murhq;f mr;Rj; jpizf;fsj;jpw; gjpg;gpf;fg;ngw;wJ.
,t; mjptpNrl tu;j;jkhdpia www.documents.gov.lk vDk; ,izaj;jsj;jpypUe;J gjptpwf;fk; nra;a KbAk;.</t>
  </si>
  <si>
    <t>12be5d64-a0bb-41ef-a547-ca7c82f2e021</t>
  </si>
  <si>
    <t>2477_40</t>
  </si>
  <si>
    <t>2477/40</t>
  </si>
  <si>
    <t>General Government Notification (Gazette 2477/40)</t>
  </si>
  <si>
    <t>m1/raw/2477_40.pdf</t>
  </si>
  <si>
    <t>I fldgi ( ^I&amp; fPoh - YS% ,xld m%cd;dka;s%l iudcjd§ ckrcfha w;s úfYI .eiÜ m;%h - 2026'02'27 1
gFjp I : njhFjp (I) - ,yq;ifr; rdehaf Nrhryprf; FbauR tu;j;jkhdg; gj;;jpupif - mjp tpNr\khdJ - 2026.02.27
Y%S ,xld m%cd;dka;%sl iudcjd§ ckrcfha .eiÜ m;%h
w;s úfYI
,yq;ifr; rdehaf Nrhryprf; FbauR th;j;jkhdg; gj;jphpif
mjp tpNr\khdJ
wxl 2477/40 - 2026 fmnrjdß ui 27 jeks isl=rdod - 2026'02'27
2477/40 Mk; ,yf;fk; - 2026 Mk; Mz;L ngg;GUtup khjk; 27 Me; jpfjp nts;spf;fpoik
(murhq;fj;jpd; mjpfhuj;Jld; gpuRupf;fg;gl;lJ)
gFjp I : njhFjp (I) - nghJ
murhq;f mwptpj;jy;fs;
இஇலலங்ங்கைகைைைச்ச் சசனனநாநாாாயயைை சசசசாாசசலிலிசசக்க் குகுடிடியயரரசுசு அஅரரசசிியயலலகைகைைைப்ப்புபு
98 ஆவது உறுப்புகைரயின் (8) ஆவது உப உறுப்புகைரயின் ைீழாான ைட்டகைை
2021 ஆம் ஆண்டின் 22 ஆம் இலக்ை சேருநார்ைகைைப் பேிவு செசய்ேல் (ேிருத்ேச்) சட்டத்ேினால் ேிருத்ேப்பட்ட 1980 ஆம்
ஆண்டின் 44 ஆம் இலக்ை சேருநார்ைகைைப் பேிவு செசய்ேல் சட்டத்ேின் ஏற்பாடுைளுக்ைகைைய 2025 ஆம் ஆண்டின் ஒற்ச�ாபர்
ைாேம் முேலாம் ேிைேியில் ஆரம்பித்து 2026 ஆம் ஆண்டின் சனவாி ைாேம் முப்பத்சோராம் ேிைேி வகைரயான ைாலப் பகுேிக்குாிய
2025(3) குகை�நாிரப்பு சேருநார் இடாப்பு 2026, செபப்புருவாி ைாேம் 01 ேிைேி அத்ோட்சிப்படுத்ேப்பட்டது.
02. அேற்ைகைைய, இலங்கைைச் சனநாாயை சசாசலிசக் குடியரசு அரசியலகைைப்பின் 98 ஆவது உறுப்புகைரயின் (8) ஆவது உப
உறுப்புகைரயின் ைீழ் சேர்ேல் ஆகை�க்குழுவுக்கு உாித்ோக்ைப்பட்டுள்ை ேத்துவங்ைைின் பிரைாரம், சேர்ேல் ஆகை�க்குழுவினால்
இந்ேக் ைட்டகைை ஊடாை, 97 ஆவது உறுப்புகைரயின் ைீழாான பிரைடனத்ேின் பிரைாரம் ைற்றும் 98 ஆவது உறுப்புகைரப்
பிரைாரம், இங்கு அட்டவகை�யின் I ஆவது நாிரலில் கு�ித்துகைரக்ைப்பட்டுள்ை ஒவ்செவாரு சேர்ேல் ைாவட்டத்ேிற்கும் செோிவு
செசய்வேற்கு உாித்துகைடய உறுப்பினர்ைைின் எண்�ிக்கைை அந்ே அட்டவகை�யின் II ஆவது நாிரலில் சநாசெராத்ே கு�ிப்பில்
கு�ிப்பிடப்பட்டுள்ை எண்�ிக்கைையாை இருத்ேல் சவண்டுசெைன அத்ோட்சிப்படுத்ேப்படுைின்�து.
ஆஆர்ர்.. எஎம்ம்.. ஏஏ.. எஎல்ல்.. ரரத்த்நாநாாாயயக்க்ைை,, எஎம்ம்.. ஏஏ.. பீபீ.. சசீீ.. செசெபபசசரரரராா,, அஅைைீீர்ர் பபாாயயிிஸ்ஸ்,,
ேவிசாைர், உறுப்பினர், உறுப்பினர்,
சேர்ேல் ஆகை�க்குழு. சேர்ேல் ஆகை�க்குழு. சேர்ேல் ஆகை�க்குழு.
ஏஏ.. சசண்ண்முமுைைநாநாாாேேன்ன்,, சபராசிாியர் லலக்க்ஷ்ஷ் ைைன்ன் ேேிிசசாாநாநாாாயயக்க்ைை,,
உறுப்பினர், உறுப்பினர்,
சேர்ேல் ஆகை�க்குழு. சேர்ேல் ஆகை�க்குழு.
சேர்ேல் ஆகை�க்குழு,
இராஜைிாிய,
2026, செபப்புருவாி 27.
,
1A
t
-
; m
PG
jp t
75
pN
5
r
1
l
-
t
04
u ;j
(2
;j
0
k
2
h
6
d
/0
p
2
i
)
a www.documents.gov.lk vDk; ,izaj;jsj;jpypUe;J gjptpwf;fk; nra;a KbAk;.
2 I fldgi ( ^I&amp; fPoh - YS% ,xld m%cd;dka;s%l iudcjd§ ckrcfha w;s úfYI .eiÜ m;%h - 2026'02'27
gFjp I : njhFjp (I) - ,yq;ifr; rdehaf Nrhryprf; FbauR tu;j;jkhdg; gj;;jpupif - mjp tpNr\khdJ - 2026.02.27
அஅட்ட்டடவவகைகை��
I ஆவது நாிரல் II ஆவது நாிரல்
சேர்ேல் ைாவட்டத்ேின் செபயர் ஒவ்செவாரு சேர்ேல் ைாவட்டத்ேிற்கும் செோிவு செசய்வேற்கு
உாித்துகைடய உறுப்பினர்ைைின் எண்�ிக்கைை
01 - செைாழும்பு 18
02 - ைம்பஹாா 18
03 - ைளுத்துகை� 11
04 - ைஹாநுவர 12
05 - ைாத்ேகைை 5
06 - நுவசெரலியா 8
07 - ைாலி 9
08 - ைாத்ேகை� 7
09 - அம்பாந்சோட்கைட 7
10 - யாழ்ப்பா�ம் 7
11 - வன்னி 6
12 - ைட்டக்ைைப்பு 5
13 - ேிைாைடுல்ல 7
14 - ேிருசைா�ைகைல 4
15 - குருநாாைல் 15
16 - புத்ேைம் 8
17 - அநுராேபுரம் 9
18 - செபாலன்னறுகைவ 5
19 - பதுகைை 9
20 - செைானராைகைல 6
21 - இரத்ேினபுாி 11
22 - சைைாகைல 9
196
EOG 02 - 0219
இலங்கைை அரசாங்ை அச்சுத் ேிகை�க்ைைத்ேில் பேிப்பிக்ைப்செபற்�து</t>
  </si>
  <si>
    <t>05d6f9a7-8e3a-4f60-a001-8029f620879c</t>
  </si>
  <si>
    <t>2477_41</t>
  </si>
  <si>
    <t>2477/41</t>
  </si>
  <si>
    <t>Public Performances Ordinance (Chapter 40), Sub-section under Section 27 — Notice (Gazette 2477/41)</t>
  </si>
  <si>
    <t>රාජ්‍ය ප්‍රසංග ආඥාපනත (40 අධිකාරය), 27 වගන්තියේ උප වගන්තිය යටතේ දැන්වීම</t>
  </si>
  <si>
    <t>Notice issued by the Inspector General of Police under the relevant sub-section of Section 27 of the Public Security Ordinance / Public Performances Ordinance (40th Act). Reference IA-G-46363. Part I — General.</t>
  </si>
  <si>
    <t>m1/raw/2477_41.pdf</t>
  </si>
  <si>
    <t>Y%S ,xld m%cd;dka;%sl iudcjd§ ckrcfha .eiÜ m;%h
w;s úfYI
,yq;ifr; rdehaf Nrhryprf; FbauR th;j;jkhdg; gj;jphpif
mjp tpNr\khdJ
wxl 2477/41 - 2026 fmnrjdß ui 27 jeks isl=rdod - 2026'02'27
2477/41 Mk; ,yf;fk; - 2026 Mk; Mz;L ngg;GUtup khjk; 27 Me; jpfjp nts;spf;fpoik
(murhq;fj;jpd; mjpfhuj;Jld; gpuRupf;fg;gl;lJ)
gFjp I : njhFjp (I) - nghJ
murhq;f mwptpj;jy;fs;
பப��ொொதுதுமமக்க்ககள்ள் ��ொொதுதுககொொப்ப்புபுக்க் ககட்ட்டடளைளைைைச்ச் சசட்ட்டடம்ம் ((4400 ஆஆம்ம் அஅத்த்திதிிியாயாொொயாயாம்ம்))
ககட்ட்டடளைளைைை
(40 ஆம் அத்திியாொயாமொன) ப�ொதுமக்கள் �ொதுகொப்புக் கட்டளைைச் சட்டத்திின் 12 ஆம் �ிொிவிினொல் எனக்குொித்திொக்கப்�ட்டுள்ை
தித்துவிங்கைின் �யாளைனக் பகொண்டு, சனொதிி�திி அநுர குமொர திிசொநாொயாக்க ஆகியா நாொன், இதின் முதிலாொம் அட்டவிளை�யாில்
குறிித்துளைரத்துக் கொட்டப்�டும் ஆயுதிந்திொங்கியா �ளைடயாின் சகலா உறுப்�ினர்களைையும், இதின் இரண்டொம் அட்டவிளை�யாில்
குறிித்துளைரத்துக் கொட்டப்�ட்ட �ிரதேதிசங்கைில் ப�ொதுமக்கைின் அளைமதிிளையாப் தே�ணுவிதிற்கொக 2026, ப�ப்புருவிொி மொதிம்
27 ஆந் திிகதிியாிலிருந்து நாளைடமுளைறிக்கு விருமொறு இக்கட்டளைை மூலாம் அளைைக்கின்தேறின்.
அஅநுநுரர குகுமமொொரர திதிிிசசொொநாநாொொயாயாக்க்கக,,
சனொதிி�திி.
2026, ப�ப்புருவிொி மொதிம் 27 ஆம் திிகதிி.
முமுதிதிலாலாொொம்ம் அஅட்ட்டடவிவிளைளை��
இலாங்ளைகத் திளைரப்�ளைட
இலாங்ளைகக் கடற்�ளைட
இலாங்ளைக விொன்�ளைட
1A - G 46363 — 354 (2026/02)
,t; mjp tpNrl tu;j;jkhdpia www.documents.gov.lk vDk; ,izaj;jsj;jpypUe;J gjptpwf;fk; nra;a KbAk;.
2A I fldgi ( (I) fPoh - YS% ,xld m%cd;dka;s%l iudcjd§ ckrcfha w;s úfYI .eiÜ m;%h - 2026'02'27
gFjp I : njhFjp (I) - ,yq;ifr; rdehaf Nrhryprf; FbauR tu;j;jkhdg; gj;jpupif - mjp tpNr\khdJ - 2026.02.27
இஇரரண்ண்டடொொம்ம் அஅட்ட்டடவிவிளைளை��
பகொழும்பு நாிர்விொக மொவிட்டமும் அத்திளைகயா மொவிட்டத்ளைதி அண்மித்துள்ை ஆள்புலா நாீர்ப்�ரப்புகளும்
கம்�ஹாொ நாிர்விொக மொவிட்டமும் அத்திளைகயா மொவிட்டத்ளைதி அண்மித்துள்ை ஆள்புலா நாீர்ப்�ரப்புகளும்
களுத்துளைறி நாிர்விொக மொவிட்டமும் அத்திளைகயா மொவிட்டத்ளைதி அண்மித்துள்ை ஆள்புலா நாீர்ப்�ரப்புகளும்
கண்டி நாிர்விொக மொவிட்டம்
மொத்திளைை நாிர்விொக மொவிட்டம்
நுவிபரலியாொ நாிர்விொக மொவிட்டம்
கொலி நாிர்விொக மொவிட்டமும் அத்திளைகயா மொவிட்டத்ளைதி அண்மித்துள்ை ஆள்புலா நாீர்ப்�ரப்புகளும்
மொத்திளைறி நாிர்விொக மொவிட்டமும் அத்திளைகயா மொவிட்டத்ளைதி அண்மித்துள்ை ஆள்புலா நாீர்ப்�ரப்புகளும்
அம்�ொந்தேதிொட்ளைட நாிர்விொக மொவிட்டமும் அத்திளைகயா மொவிட்டத்ளைதி அண்மித்துள்ை ஆள்புலா நாீர்ப்�ரப்புகளும்
யாொழ்ப்�ொ�ம் நாிர்விொக மொவிட்டமும் அத்திளைகயா மொவிட்டத்ளைதி அண்மித்துள்ை ஆள்புலா நாீர்ப்�ரப்புகளும்
கிைிபநாொச்சி நாிர்விொக மொவிட்டமும் அத்திளைகயா மொவிட்டத்ளைதி அண்மித்துள்ை ஆள்புலா நாீர்ப்�ரப்புகளும்
மன்னொர் நாிர்விொக மொவிட்டமும் அத்திளைகயா மொவிட்டத்ளைதி அண்மித்துள்ை ஆள்புலா நாீர்ப்�ரப்புகளும்
விவுனியாொ நாிர்விொக மொவிட்டம்
முல்ளைலாத்திீவு நாிர்விொக மொவிட்டமும் அத்திளைகயா மொவிட்டத்ளைதி அண்மித்துள்ை ஆள்புலா நாீர்ப்�ரப்புகளும்
மட்டக்கைப்பு நாிர்விொக மொவிட்டமும் அத்திளைகயா மொவிட்டத்ளைதி அண்மித்துள்ை ஆள்புலா நாீர்ப்�ரப்புகளும்
அம்�ொளைறி நாிர்விொக மொவிட்டமும் அத்திளைகயா மொவிட்டத்ளைதி அண்மித்துள்ை ஆள்புலா நாீர்ப்�ரப்புகளும்
திிருதேகொ�மளைலா நாிர்விொக மொவிட்டமும் அத்திளைகயா மொவிட்டத்ளைதி அண்மித்துள்ை ஆள்புலா நாீர்ப்�ரப்புகளும்
குருநாொகல் நாிர்விொக மொவிட்டம்
புத்திைம் நாிர்விொக மொவிட்டமும் அத்திளைகயா மொவிட்டத்ளைதி அண்மித்துள்ைஆள்புலா நாீர்ப்�ரப்புகளும்
அநுரொதிபுரம் நாிர்விொக மொவிட்டம்
ப�ொலான்னறுளைவி நாிர்விொக மொவிட்டம்
�துளைை நாிர்விொக மொவிட்டம்
பமொ�ரொகளைலா நாிர்விொக மொவிட்டம்
இரத்திினபுொி நாிர்விொக மொவிட்டம்
தேககொளைலா நாிர்விொக மொவிட்டம்
EOG 02 - 0220
,yq;if murhq;f mr;Rj; jpizf;fsj;jpw; gjpg;gpf;fg;ngw;wJ.</t>
  </si>
  <si>
    <t>be65498d-4a80-4219-8e72-8f5dbc435d77</t>
  </si>
  <si>
    <t>2477_42</t>
  </si>
  <si>
    <t>2477/42</t>
  </si>
  <si>
    <t>Provincial Councils Act, No. 42 of 1987 — Appointment under Section 32(1) (Gazette 2477/42)</t>
  </si>
  <si>
    <t>m1/raw/2477_42.pdf</t>
  </si>
  <si>
    <t>Y%S ,xld m%cd;dka;%sl iudcjd§ ckrcfha .eiÜ m;%h
w;s úfYI
,yq;ifr; rdehaf Nrhryprf; FbauR th;j;jkhdg; gj;jphpif
mjp tpNr\khdJ
wxl 2477/42 - 2026 fmnrjdß ui 27 jeks isl=rdod - 2026'02'27
2477/42 Mk; ,yf;fk; - 2026 Mk; Mz;L ngg;GUtup khjk; 27 Me; jpfjp nts;spf;fpoik
(murhq;fj;jpd; mjpfhuj;Jld; gpuRupf;fg;gl;lJ)
gFjp IV(M) - cs;~uhl;rp
உஉள்ள்ளூளூர்ர் அஅதிதிிிகாகாாாரர சசபைபைைைகாகாள்ள் தேதேதிதிர்ர்திதில்ல்காகாள்ள் காகாட்ட்டடபைபைைைச்ச் சசட்ட்டட அஅறிறிிிவிவிிித்த்திதில்ல்காகாள்ள்
((226622 ஆஆம்ம் அஅத்த்திதிிியாயாாாயாயாம்ம்)) உஉள்ள்ளூளூர்ர் அஅதிதிிிகாகாாாரர சசபைபைைைகாகாள்ள் தேதேதிதிர்ர்திதில்ல்காகாள்ள் காகாட்ட்டடபைபைைைச்ச் சசட்ட்டடத்த்திதிிின்ன் 6666அஅ((11)) ஆஆம்ம்
ைைிிாாிிவிவிிின்ன் காகாீீழ்ழ் மாமாாாந்ந்பைபைதிதி காகாிிழழக்க்குகு ைைிிரரதேதேதிதிசச சசபைபைைையாயாிின்ன் உஉறுறுப்ப்ைைிினனர்ர் ஒஒருருவிவிாாிின்ன் ைைதிதிவிவிிியாயாிிலாலாாானன வவவிவிற்ற்றிறிிிடடத்த்பைபைதிதி நிநிிிரரப்ப்புபுதிதில்ல்
மாமாாாந்ந்பைபைதிதி காகாிிழழக்க்குகு ைைிிரரதேதேதிதிசச சசபைபைைையாயாிின்ன் வவதிதிாாிிந்ந்வவதிதிடுடுத்த்துது அஅனுனுப்ப்ைைப்ப்ைைட்ட்டட உஉறுறுப்ப்ைைிினனர்ர் ஒஒருருவிவிாாிின்ன் ைைதிதிவிவிிி,, அஅனுனுமாமாதிதிிி வவைைறிறிாாதுது வவதிதிாாடடர்ர்ச்ச்சசிியாயாாாகாகா
மூமூன்ன்றுறு சசபைபைைைக்க் கூகூட்ட்டடங்ங்காகாளுளுக்க்குகு சசமுமுகாகாமாமாைைிிக்க்காகாாாபைபைமாமா காகாாாரரணணமாமாாாகாகா வவவிவிற்ற்றிறிிிடடமாமாாாயாயாிிருருக்க்காகாிின்ன்றிறிதிதிாாதிதிலாலாாாலுலும்ம்;;
தேதேமாமாற்ற்குகுறிறிிித்த்திதி காகாட்ட்டடபைபைைைச்ச் சசட்ட்டடத்த்திதிிின்ன் 6666அஅ((11)) ஆஆம்ம் ைைிிாாிிவிவிிின்ன் காகாீீழ்ழ்,, மாமாாாந்ந்பைபைதிதி காகாிிழழக்க்குகு ைைிிரரதேதேதிதிசச சசபைபைைையாயாிின்ன் வவதிதிாாிிந்ந்வவதிதிடுடுத்த்துது
அஅனுனுப்ப்ைைப்ப்ைைட்ட்டுடுள்ள்ைை உஉறுறுப்ப்ைைிினனரராாகாகா வவதிதிாாிிவுவு வவசசய்ய்யாயாப்ப்ைைட்ட்டட நிநிாாகாகாரராாசசாா ரராாஜ்ஜ்தேதேமாமாாாகாகான்ன் எஎன்ன்ைைவிவிர்ர் அஅங்ங்காகாம்ம் விவிகாகாிிக்க்காகாிின்ன்றிறி அஅகாகாிிலாலா இஇலாலாங்ங்பைபைகாகா
திதிமாமாிிழ்ழ் காகாாாங்ங்காகாிிரரஸ்ஸ் எஎன்ன்றிறி அஅங்ங்காகாீீகாகாாாிிக்க்காகாப்ப்ைைட்ட்டட அஅரரசசிியாயால்ல் காகாட்ட்சசிியாயாிின்ன் வவசசயாயாலாலாாாைைர்ர் முமுப்ப்ைைதுது ((3300)) நிநிாாட்ட் காகாாாலாலாக்க்வவகாகாடுடுவுவுக்க்குகுள்ள் உஉள்ள்ளூளூர்ர் அஅதிதிிிகாகாாாரர
சசபைபைைைகாகாள்ள் தேதேதிதிர்ர்திதில்ல்காகாள்ள் காகாட்ட்டடபைபைைைச்ச் சசட்ட்டடத்த்திதிிின்ன் ((226622 ஆஆம்ம் அஅத்த்திதிிியாயாாாயாயாம்ம்)) 99 ஆஆம்ம் ைைிிாாிிவிவிிின்ன் காகாீீழ்ழ் திதிபைபைகாகாபைபைமாமாயுயுபைபைடடயாயா தேதேவிவிட்ட்ைைாாைைவவரராாருருவிவிரராாகாகா,,
உஉறுறுப்ப்ைைிினனவவரராாருருவிவிரராாகாகா தேதேதிதிர்ர்ந்ந்வவதிதிடுடுக்க்காகாப்ப்ைைட்ட்டடவிவிவவரரனன வவவிவிைைிிப்ப்ைைடுடுத்த்திதிப்ப்ைைடட தேதேவிவிண்ண்டிடியாயாவிவிருரும்ம் அஅக்க்காகாட்ட்சசிிபைபையாயாச்ச் தேதேசசர்ர்ந்ந்திதிவிவிருருமாமாாானன
மாமாாாந்ந்பைபைதிதி காகாிிழழக்க்குகு ைைிிரரதேதேதிதிசச சசபைபைைையாயாிின்ன் வவதிதிாாிிந்ந்வவதிதிடுடுத்த்துது அஅனுனுப்ப்ைைப்ப்ைைட்ட்டுடுள்ள்ைை உஉறுறுப்ப்ைைிினனர்ர் வவதிதிாாடடர்ர்ைைாாகாகா திதிீீர்ர்மாமாாானனிிக்க்குகுமாமாாாறுறு எஎன்ன்னனாால்ல்
ைைணணிிக்க்காகாப்ப்ைைட்ட்டுடுள்ள்ைைாாரராாதிதிலாலாாாலுலும்ம்,,
தேதேமாமாதேதேலாலா கூகூறிறிப்ப்ைைட்ட்டட அஅங்ங்காகாீீகாகாாாிிக்க்காகாப்ப்ைைட்ட்டட அஅரரசசிியாயால்ல் காகாட்ட்சசிியாயாிின்ன் வவசசயாயாலாலாாாைைாாிினனாால்ல் அஅவ்வ்வவவிவிற்ற்றிறிிிடடத்த்பைபைதிதி நிநிிிரரப்ப்புபுவிவிதிதிற்ற்காகாாாகாகா திதிருருமாமாரராாசசாா
ைைிிரரசசாாந்ந்திதின்ன் எஎன்ன்ைைவிவிபைபைரரப்ப் வவைையாயார்ர் குகுறிறிிித்த்துது நிநிிியாயாமாமாிிக்க்குகும்ம் திதிமாமாதுது முமுடிடிவிவிிிபைபைனன அஅறிறிிிவிவிிித்த்துதுள்ள்ைைாாரராாதிதிலாலாாாலுலும்ம்,,
மாமாாாந்ந்பைபைதிதி காகாிிழழக்க்குகு ைைிிரரதேதேதிதிசச சசபைபைைையாயாிின்ன் வவதிதிாாிிவிவித்த்திதிாாட்ட்சசிி அஅலுலுவிவிலாலாரராானன சசிிந்ந்துதுசசாா சசசசிிக்க்குகுமாமாாார்ர் ஆஆகாகாிியாயா நிநிாான்ன்,, உஉள்ள்ளூளூர்ர் அஅதிதிிிகாகாாாரர
சசபைபைைைகாகாள்ள் தேதேதிதிர்ர்திதில்ல்காகாள்ள் காகாட்ட்டடபைபைைைச்ச் சசட்ட்டடத்த்திதிிின்ன் ((226622 ஆஆம்ம் அஅத்த்திதிிியாயாாாயாயாமாமாாானன)) 6666அஅ((11)) எஎன்ன்னுனும்ம் ைைிிாாிிவிவிிின்ன் நிநிிியாயாதிதிிிகாகாைைிின்ன்ைைடிடி வவசசயாயாற்ற்ைைட்ட்டுடு
திதிருருமாமாரராாசசாா ைைிிரரசசாாந்ந்திதின்ன் எஎன்ன்ைைவிவிர்ர் மாமாாாந்ந்பைபைதிதி காகாிிழழக்க்குகு ைைிிரரதேதேதிதிசச சசபைபைைையாயாிின்ன் வவதிதிாாிிந்ந்வவதிதிடுடுத்த்துது அஅனுனுப்ப்ைைிியுயுள்ள்ைை உஉறுறுப்ப்ைைிினனர்ர் ஒஒருருவிவிரராாகாகாத்த்
தேதேதிதிர்ர்ந்ந்வவதிதிடுடுக்க்காகாப்ப்ைைட்ட்டுடுள்ள்ைைதிதிாாகாகா இஇத்த்திதிாால்ல் வவவிவிைைிிப்ப்ைைடுடுத்த்துதுகாகாிின்ன்தேதேறிறின்ன்..
சசிிந்ந்துதுசசாா சசசசிிக்க்குகுமாமாாார்ர்,,
வவதிதிாாிிவிவித்த்திதிாாட்ட்சசிி அஅலுலுவிவிலாலார்ர் ,,
மாமாாாந்ந்பைபைதிதி காகாிிழழக்க்குகு ைைிிரரதேதேதிதிசச சசபைபைைை..
மாமாாாவிவிட்ட்டடத்த் தேதேதிதிர்ர்திதில்ல்காகாள்ள் அஅலுலுவிவிலாலாகாகாம்ம்,,
முமுல்ல்பைபைலாலாத்த்திதிீீவுவு,,
EE
2200
OO
22
GG
66 ,,
00
வவ
22
ைை
--
ப்ப்
00
புபு
2211
ருரு
77
விவிாாிி 2266..
1A - PG 7550 — 08 (2026/02) ,yq;if murhq;f mr;Rj; jpizf;fsj;jpw; gjpg;gpf;fg;ngw;wJ.
,t; mjptpNrl tu;j;jkhdpia www.documents.gov.lk vDk; ,izaj;jsj;jpypUe;J gjptpwf;fk; nra;a KbAk;.</t>
  </si>
  <si>
    <t>ffac7ee2-4dc2-40d9-83c6-f5c939be3d19</t>
  </si>
  <si>
    <t>2477_43</t>
  </si>
  <si>
    <t>2477/43</t>
  </si>
  <si>
    <t>Public Performances Ordinance / Act No. 54 of 2007, Section 2 — Notice (Gazette 2477/43)</t>
  </si>
  <si>
    <t>රාජ්‍ය ප්‍රසංග ආඥාපනත / 2007 අංක 54 දරන පනත, 2 වැනි වගන්තිය යටතේ දැන්වීම</t>
  </si>
  <si>
    <t>பொதுவான பெறுமதிமிக்க பாதுகாப்புச் சட்டம் / 2007 ஆம் ஆண்டின் 54 ஆம் இலக்கச் சட்டம், 2 ஆம் பிரிவின் கீழ் அறிவித்தல்</t>
  </si>
  <si>
    <t>Notice under Section 2 of Act No. 54 of 2007 (Public Performances Ordinance amendment). Reference IA-12/2008. Part I — General. Dated 21 February 2026.</t>
  </si>
  <si>
    <t>Act No. 54 of 2007 (Public Performances)</t>
  </si>
  <si>
    <t>m1/raw/2477_43.pdf</t>
  </si>
  <si>
    <t>I fldgi ( ^I&amp; fPoh - YS% ,xld m%cd;dka;s%l iudcjd§ ckrcfha w;s úfYI .eiÜ m;%h - 2026'02'27 1
gFjp I : njhFjp (I) - ,yq;ifr; rdehaf Nrhryprf; FbauR tu;j;jkhdg; gj;;jpupif - mjp tpNr\khdJ - 2026.02.27
Y%S ,xld m%cd;dka;%sl iudcjd§ ckrcfha .eiÜ m;%h
w;s úfYI
,yq;ifr; rdehaf Nrhryprf; FbauR th;j;jkhdg; gj;jphpif
mjp tpNr\khdJ
wxl 2477/43 - 2026 fmnrjdß ui 27 jeks isl=rdod - 2026'02'27
2477/43 Mk; ,yf;fk; - 2026 Mk; Mz;L ngg;GUtup khjk; 27 Me; jpfjp nts;spf;fpoik
(murhq;fj;jpd; mjpfhuj;Jld; gpuRupf;fg;gl;lJ)
gFjp I : njhFjp (I) - nghJ
murhq;f mwptpj;jy;fs;
ச.வ.பீ.-12/2008
22000077 ஆஆம்ம் ஆஆண்ண்டிடின்ன் 5544 ஆஆம்ம் இஇலலக்க்கக,, அஅவுவுடடததங்ங்ககளிளிிில்ல் ததங்ங்ககிியுயுள்ள்ளிளி ஆஆட்ட்ககள்ள் ((சசிிககிிச்ச்சைசைசசயயளிளிிித்த்ததலுலும்ம்
புபுனனர்ர்வவாாழ்ழ்வவளிளிிித்த்ததலுலும்ம்)) சசட்ட்டடம்ம்
2 ஆம் பிிாிவின் கீழாான கட்டசைளி
2007 ஆம் ஆண்டின் 54 ஆம் இலக்க, அவுடதங்களிில் தங்கியுள்ளி ஆட்கள் (சிகிச்சைசயளிித்தலும் புனர்வாழ்வளிித்தலும்)
சட்டத்தின் 2 ஆம் பிிாிவினால் எனக்குாித்தாக்கப்பிட்ட தத்துவங்களிின் பியசைனக் ககாண்டு, கபிாது மக்கள் பிாதுகாப்பு
மற்றும் பிாராளுமன்ற அலுவல்கள் அசைமச்சர் கேக. எம். ஆனந்த விகே�பிால ஆகிய நாான், கேதசிய அபிாயகரமான அவுடதங்கள்
கட்டுப்பிாட்டுச் சசைபியின் விதப்புசைரயின் கேமல், அவுடதங்களிில் தங்கியுள்ளி ஆட்கசைளிக் கவனித்தல் மற்றும் அவர்களுக்குப்
புனர்வாழ்வளிித்தல் கேநாாக்கத்துக்காக இதற்கான அட்டவசை�யில் குறித்துசைரக்கப்பிட்ட இடங்கசைளி சிகிச்சைசயளிித்தல் மற்றும்
புனர்வாழ்வளிித்தல் நாிசைலயங்களிாக இருப்பிதற்ககன, இக்கட்டசைளி மூலம் கபியர்குறிக்கின்கேறன்.
கேகேகக.. எஎம்ம்.. ஆஆனனந்ந்தத வவிிகேகே��பிபிாாலல,,
கபிாதுமக்கள் பிாதுகாப்பு மற்றும்
பிாராளுமன்ற அலுவல்கள் அசைமச்சர்.
ககாழும்பு,
2026, கபிப்புருவாி 21.
,
1A
t
-
; m
G
j
4
pt
63
pN
6
r
2
l
-
t
04
u ;j
(2
;j
0
k
2
h
6
d
/0
p
2
i
)
a www.documents.gov.lk vDk; ,izaj;jsj;jpypUe;J gjptpwf;fk; nra;a KbAk;.
2 I fldgi ( ^I&amp; fPoh - YS% ,xld m%cd;dka;s%l iudcjd§ ckrcfha w;s úfYI .eiÜ m;%h - 2026'02'27
gFjp I : njhFjp (I) - ,yq;ifr; rdehaf Nrhryprf; FbauR tu;j;jkhdg; gj;;jpupif - mjp tpNr\khdJ - 2026.02.27
அஅட்ட்டடவவசைசை��
சசிிககிிச்ச்சைசைசசயயளிளிிித்த்ததல்ல் மமற்ற்றுறும்ம் புபுனனர்ர்வவாாழ்ழ்வவளிளிிித்த்ததல்ல் நாநாிிசைசைலலயயங்ங்ககள்ள்
01 சிவில் பிாதுகாப்பு பியிற்சி முகாம் - மிஹிிந்தசைல;
02 சிவில் பிாதுகாப்பு பியிற்சி முகாம் - கல்பிிட்டி;
03 சிவில் பிாதுகாப்பு பியிற்சி முகாம் - பிஹிலலந்த, அம்பிாசைற;
04 இலங்சைக கபிாலிசு பியிற்சிக் கல்லூாி - கல்லடி ;
05 கட்டுநாாயக்க முதலீட்டு ஊக்குவிப்பு வலயத்தினுள் அசைமந்துள்ளி கதாழாில் திசை�க்களித்தின் கட்டிட வளிாகம்; அத்துடன்
06 இலங்சைக விவசாயக் கல்லூாியின் இளிங்கக்கேகான் விடுதி - குண்டசாசைல, கண்டி
EOG 02 - 0218
இலங்சைக அரசாங்க அச்சுத் திசை�க்களித்தில் பிதிப்பிிக்கப்கபிற்றது</t>
  </si>
  <si>
    <t>741788d8-fd90-46c2-9bec-510fdfd7ba0b</t>
  </si>
  <si>
    <t>2477_44</t>
  </si>
  <si>
    <t>2477/44</t>
  </si>
  <si>
    <t>Town and Country Planning Ordinance — Development plan / Sacred Area declaration (Gazette 2477/44)</t>
  </si>
  <si>
    <t>1946 අංක 13 දරන නගර හෝ ග්‍රාම නිර්මාණ ආඥා පනත - සංවර්ධන සැලැස්ම ප්‍රකාශයට පත් කිරීම</t>
  </si>
  <si>
    <t>1946 ஆம் ஆண்டின் 13 ஆம் இலக்க நகர அல்லது கிராம திட்டமிடல் கட்டளைச் சட்டம் - அபிவிருத்தித் திட்டம் அறிவித்தல்</t>
  </si>
  <si>
    <t>Declaration under Section 28(2) of the Town and Country Planning Ordinance (No. 13 of 1946, as amended by Act No. 49 of 2000) by the Minister of Urban Development, publishing an updated development plan (e.g. Anuradhapura Sacred Area).</t>
  </si>
  <si>
    <t>Town and Country Planning Ordinance (No. 13 of 1946)</t>
  </si>
  <si>
    <t>m1/raw/2477_44.pdf</t>
  </si>
  <si>
    <t>213e29c4-59c2-4189-90c4-2dbb16cc9535</t>
  </si>
  <si>
    <t>2477_45</t>
  </si>
  <si>
    <t>2477/45</t>
  </si>
  <si>
    <t>Ceylon Petroleum Corporation Act No. 28 of 1961, Section 66 — Fuel Price Revision Tariff (Gazette 2477/45)</t>
  </si>
  <si>
    <t>1961 අංක 28 දරන ලංකා ඛනිජ තෙල් නීතිගත සංස්ථා පනත, 66 වැනි වගන්තිය - ඉන්ධන මිල සංශෝධන ආඥාව</t>
  </si>
  <si>
    <t>Fuel price revision tariff issued under Section 66 of the Ceylon Petroleum Corporation Act No. 28 of 1961. Part I — General. Per-litre prices revised for Auto Diesel, Petrol 95 Octane Euro 4, Super Diesel 4 Star Euro 4 and Kerosene.</t>
  </si>
  <si>
    <t>m1/raw/2477_45.pdf</t>
  </si>
  <si>
    <t>Y%S ,xld m%cd;dka;%sl iudcjd§ ckrcfha .eiÜ m;%h
w;s úfYI
,yq;ifr; rdehaf Nrhryprf; FbauR th;j;jkhdg; gj;jphpif
mjp tpNr\khdJ
wxl 2477$45 - 2026 fmnrjdß ui 28 jeks fikiqrdod - 2026'02'28
2477/ 45 Mk; ,yf;fk; - 2026 Mk; Mz;L ngg;GUtup khjk; 28 Me; jpfjp rdpf;fpoik
(murhq;fj;jpd; mjpfhuj;Jld; gpuRupf;fg;gl;lJ)
gFjp I : njhFjp (I) - nghJ
அஅரரசசோோஙங்க்க அஅ��ிிவவிிதாதா்தா்தாலல்க்கைை்்
11996611 ஆஆம்ம் ஆஆண்ண்டிடின்ன் 2288 ஆஆம்ம் இஇலலக்க்கக இஇலலங்ங்கைகைகக பெபெெெற்ற்றற��ோோலிலியயக்க் கூகூட்ட்டுடுத்த்தாதாோோெெனன சசட்ட்டடம்ம்
66 ஆவது ெிோிவின் கீழாோன கட்டகைைகள்
1961 ஆம் ஆண்டின் 28 ஆம் இலக்க இலங்கைக பெெற்ற�ோலியக் கூட்டுத்தாோென சட்டத்தாின் 66 ஆவது ெிோிவின் கீழ் எனக்கு
வழாங்கப்ெட்டுள்ை அதாிகோரங்கைின்ெடி, இலங்கைகச் சனநாோயக றசோசலிசக் குடியரசின் வலுசக்தாி அகைைச்சர் பெெோ�ியியலோைர்
குைோர ஜயக்பெகோடி ஆகிய நாோன், கீழ்வரும் ெடி 2026, பெெப்புருவோி 28 ஆந் தாிகதாி நாள்ைிரவு 12.00 ைணிி முதால் அமுலுக்கு வரும்
வகைகயில் எோிபெெோருள் விகைலயிகைன தாிருத்தாியகைைக்கின்ற�ன்.
எோிபெெோருள் வகைக தாற்றெோகைதாய விகைல தாிருத்தாியகைைக்கப்ெட்ட விகைல
(லீற்�ர் ஒன்றுக்கு) (லீற்�ர் ஒன்றுக்கு)
லங்கோ ஒட்றடோ டீசல் ரூ. 277.00 ரூ. 281.00
லங்கோ சுப்ெர் டீசல் 4 ஸ்ரோர் யூற�ோ 4 ரூ. 323.00 ரூ. 329.00
லங்கோ பெெற்ற�ோல் 92 ஒக்றடன் ரூ. 292.00 ரூ. 293.00
பெெோ�ியியலோைர் குகுைைோோரர ஜஜயயக்க்பெபெககோோடிடி,
வலுசக்தாி அகைைச்சர்.
பெகோழும்பு,
2026, பெெப்புருவோி 28.
EOG 03 - 0062
1A - G 46409 — 04 (2026/02) ,yq;if murhq;f mr;Rj; jpizf;fsj;jpw; gjpg;gpf;fg;ngw;wJ.
,t; mjptpNrl tu;j;jkhdpia www.documents.gov.lk vDk; ,izaj;jsj;jpypUe;J gjptpwf;fk; nra;a KbAk;.</t>
  </si>
  <si>
    <t>4ba3cd92-407d-4ed5-89ea-38fd17e9df81</t>
  </si>
  <si>
    <t>2477_46</t>
  </si>
  <si>
    <t>2477/46</t>
  </si>
  <si>
    <t>General Government Notification (Gazette 2477/46)</t>
  </si>
  <si>
    <t>General Government Notification published in Part I — General, dated 21 February 2026 from Colombo.</t>
  </si>
  <si>
    <t>m1/raw/2477_46.pdf</t>
  </si>
  <si>
    <t>Y%S ,xld m%cd;dka;%sl iudcjd§ ckrcfha .eiÜ m;%h
w;s úfYI
,yq;ifr; rdehaf Nrhryprf; FbauR tu;j;jkhdg; gj;jpupif
mjp tpNr\khdJ
wxl 2477$46 - 2026 fmnrjdß ui 28 jeks fikiqrdod - 2026'02'28
2477/ 46 Mk; ,yf;fk; - 2026 Mk; Mz;L ngg;GUtup khjk; 28 Me; jpfjp rdpf;fpoik
(murhq;fj;jpd; mjpfhuj;Jld; gpuRupf;fg;gl;lJ)
gFjp I : njhFjp (I) - nghJ
rdhjpgjpapd; gpufldq;fSk; gpwTk;
க கககௌௌரரவவ சாசானானாாாதிதிிிபபதிதிிியயிின்ன் பபிிரரககடடனானாம்ம்
அஅநுநுரர குகுமாமாாாரர திதிிிசாசாாாநாநாாாயயக்க்கக..
Kj;jpiu
இலங்கைகயில் மாக்கள் அவசாரகால நாிகைலகைமா நாிலவுவதின் காரணமாாக கபாதுமாக்களிின் பாதுகாப்பு, நாாட்டின் அகைமாதிிகையப்
பாதுகாத்தில், கபாதுமாக்கள் வாழ்வுக்கு அத்திியாவசாியமாானா வழங்கல்கள் மாற்றும் சேசாகைவகள் என்பவற்கைைப் சேபணுவதிற்காக
இவ்வாறு கசாய்தில் உசாிதிமாானாதிாகவுள்ளிகதினா நாான் அபிப்பிராயப்படுவதிினாால்;
சானாாதிிபதிி அநுர குமாார திிசாாநாாயக்க ஆகிய நாான், 1959 ஆம் ஆண்டின் 8 ஆம் இலக்கச் சாட்டத்திினாாலும் சேதிசாிய அரசுப்
சேபரகைவயின் 1978 ஆம் ஆண்டின் 6 ஆம் இலக்கச் சாட்டத்திினாாலும் 1988 ஆம் ஆண்டின் 28 ஆம் இலக்கச் சாட்டத்திினாாலும்
திிருத்திப்பட்டவாைானா (40 ஆம் அத்திியாயமாானா) கபாதுமாக்கள் பாதுகாப்புக் கட்டகைளிச் சாட்டத்திின் 2 ஆம் பிாிவினாால்
எனாக்குாித்திாக்கப்பட்ட தித்துவங்களிின் பயகைனாக்ககாண்டு அக்கட்டகைளிச் சாட்டத்திின் பாகம் II இன் ஏற்பாடுகள் இரண்டாயிரத்து
இருபத்திாைாம் ஆண்டு கபப்புருவாி மாாதிம் 28 ஆந் திிகதிி கதிாடக்கம் இலங்கைக பூராகவும் நாகைடமுகைைக்கு வருதில் சேவண்டும் எனா
கவௌிப்படுத்துகின்சேைன்.
இரண்டாயிரத்து இருபத்திாைாம் ஆண்டு கபப்புருவாி மாாதிம் 28 ஆந் திிகதிியன்று ககாழும்பில் கைககயாப்பமாிடப்பட்டது.
ககௌரவ சானாாதிிபதிியின் ஆகைணப்படி,
ககலலாாநாநாிிதிதிிி எஎன்ன்..எஎஸ்ஸ்.. குகுமாமாாாநாநாாாயயக்க்கக,,
சானாாதிிபதிியின் கசாயலாளிர்.
EOG 02-0223
1A - G 46366 — 355 (2026/02) ,yq;if murhq;f mr;Rj; jpizf;fsj;jpw; gjpg;gpf;fg;ngw;wJ.
,t; mjptpNrl tu;j;jkhdpia www.documents.gov.lk vDk; ,izaj;jsj;jpypUe;J gjptpwf;fk; nra;a KbAk;.</t>
  </si>
  <si>
    <t>3d999ceb-e4c5-4e71-a15b-a55f47f04493</t>
  </si>
  <si>
    <t>2477_47</t>
  </si>
  <si>
    <t>2477/47</t>
  </si>
  <si>
    <t>Notice under 1978 Act, Section 19 (Gazette 2477/47)</t>
  </si>
  <si>
    <t>1978 අංක දරන පනත, 19 වැනි වගන්තිය යටතේ දැන්වීම</t>
  </si>
  <si>
    <t>1978 ஆம் ஆண்டின் இலக்க சட்டம், 19 ஆம் பிரிவின் கீழ் அறிவித்தல்</t>
  </si>
  <si>
    <t>Notice under Section 19 of the relevant 1978 Act. Part I — General.</t>
  </si>
  <si>
    <t>m1/raw/2477_47.pdf</t>
  </si>
  <si>
    <t>Y%S ,xld m%cd;dka;%sl iudcjd§ ckrcfha .eiÜ m;%h
w;s úfYI
,yq;ifr; rdehaf Nrhryprf; FbauR tu;j;jkhdg; gj;jpupif
mjp tpNr\khdJ
wxl 2477$47 - 2026 fmnrjdß ui 28 jeks fikiqrdod - 2026'02'28
2477/ 47 Mk; ,yf;fk; - 2026 Mk; Mz;L ngg;GUtup khjk; 28 Me; jpfjp rdpf;fpoik
(murhq;fj;jpd; mjpfhuj;Jld; gpuRupf;fg;gl;lJ)
gFjp I : njhFjp (I) - nghJ
rdhjpgjpapd; gpufldq;fSk; gpwTk;
மாமாாாண்ண்புபுமாமாிிகுகு சாசானானாாாதிதிிி��திதிிி அஅவவர்ர்ககளாளாாால்ல் பபசாசாய்ய்யயப்ப்��டுடும்ம் ககட்ட்டடவைவைளாளா
11997799 ஆஆம்ம் ஆஆண்ண்டிடின்ன் 6611 ஆஆம்ம் இஇலலக்க்கக,, அஅத்த்திதிிியயாாவவசாசாிியய பப��ாாதுதுச்ச் சேசேசாசாவைவைவவககள்ள் சாசாட்ட்டடம்ம்
அஅநுநுரர குகுமாமாாாரர திதிிிசாசாாாநாநாாாயயக்க்கக..
Kj;jpiu
இலங்வைகச் சானாநாாயக சேசாாசாலிசாக் குடியரசாின் சானாாதிி�திி, அநுர குமாார திிசாாநாாயக்க ஆகிய நாான், 1979 ஆம் ஆண்டின் 61 ஆம்
இலக்க அத்திியாவசாிய ப�ாதுச் சேசாவைவகள் சாட்டத்திின் 2 ஆம் �ிாிவுக்கவைமாய எனாக்குாித்திாக்கப்�ட்டுள்ளா தித்துவங்களாின்
�ிரகாரம், இவ்வறிிவித்திலின்மூலம் �ின்வரும் அட்டவவை�யில் குறிிப்�ிடப்�ட்டுள்ளா சேசாவைவகவைளா வழங்குவதிில் ஈடு�டும்
எந்திபவாரு அரசா கூட்டுத்திா�னாம் அல்லது அரசா திிவை�க்களாம் அல்லது உள்ளூராட்சாி நாிறுவனாம் அல்லது கூட்டுறிவுச் சாங்கம்
அல்லது அவற்றிின் கிவைளாபயான்றிினாால் வழங்கப்�டும் சேசாவைவகள் டிட்வா சூறிாவளாி கார�மாாக ஏற்�ட்டுள்ளா அனார்த்தித்திிற்கு
�ின்னாரானா நாிவைலவைமா கருதிி வழவைமாயானா ப�ாதுமாக்கள் வாழ்வைவக் பகாண்டுநாடத்துவதிற்கு இன்றிியவைமாயாதிபதினா மாற்றும்
பசாால்லப்�ட்ட சேசாவைவகளுக்கு இவைடயூறிாகக்கூடுபமான்�வைதி அல்லது திவைடயாகக்கூடுபமான்�வைதிக் கருத்திிற்பகாண்டு
எந்திபவாரு அரசா கூட்டுத்திா�னாம் அல்லது அரசா திிவை�க்களாம் அல்லது உள்ளூராட்சாி நாிறுவனாம் அல்லது கூட்டுறிவுச் சாங்கம்
அல்லது அவற்றிின் கிவைளாபயான்றிின்மூலம் வழங்கப்�டும் �ின்வரும் அட்டவவை�யில் குறிிப்�ிட்டுள்ளா சேசாவைவகள் சேமாற்சே�ாந்தி
�ிாிவின் ��ிகளுக்காக அத்திியாவசாிய சேசாவைவகள் எனா இக்கட்டவைளாயின்மூலம் �ிரகடனாப்�டுத்துகின்சேறின்.
இரண்டாயிரத்து இரு�த்திாறிாம் ஆண்டு ப�ப்புருவாி மாாதிம் 28 ஆந் திிகதிி வைகபயாப்�மாிடப்�ட்டது.
மாாண்புமாிகு சானாாதிி�திியவர்களாின் ஆவை�ப்�டி,
ககலலாாநாநாிிதிதிிி எஎன்ன்.. எஎஸ்ஸ்.. குகுமாமாாாநாநாாாயயக்க்கக,,
சானாாதிி�திியின் பசாயலாளார்.
1A - G 46367 — 355 (2026/02)
,t; mjptpNrl tu;j;jkhdpia www.documents.gov.lk vDk; ,izaj;jsj;jpypUe;J gjptpwf;fk; nra;a KbAk;.
2A I fldgi ( ^I&amp; fPoh - YS% ,xld m%cd;dka;s%l iudcjd§ ckrcfha w;s úfYI .eiÜ m;%h - 2026'02'28
gFjp I : njhFjp (I) - ,yq;ifr; rdehaf Nrhryprf; FbauR tu;j;jkhdg; gj;;jpupif - mjp tpNr\khdJ - 2026.02.28
அஅட்ட்டடவவவைவை��
1. மாின்சாாரம் வழங்கல் பதிாடர்�ானா சாகல சேசாவைவகள்.
2. ப�ற்சேறிாலிய உற்�த்திிகள், எாிவாயு உள்ளாிட்ட எாிப�ாருள் வழங்கல் அல்லது விநாிசேயாகம்.
3. வைவத்திியசாாவைலகள், திாதிியர் இல்லங்கள், மாருந்திகங்கள் மாற்றும் அதுசே�ான்றி ஏவைனாய நாிறுவனாங்களாின் சேநாாயாளார்களாின்
�ராமாாிப்பு மாற்றும் வரசேவற்பு, �ாதுகாப்பு, சே�ாசாாக்கூட்டல் மாற்றும் சாிகிச்வைசா அளாித்தில் ஆகியவைவ பதிாடர்�ில்
அவசாியமாானா அல்லது சேமாற்பகாள்ளா சேவண்டிய எந்தி வவைகயிலானா சாகல சேசாவைவகள், சேவவைலகள் அல்லது பதிாழில்
�ங்களாிப்பு.
4. �ய�ிகள் அல்லது ப�ாருட்கவைளா பகாண்டு பசால்வதிற்கானா ப�ாது சே�ாக்குவரத்து சேசாவைவகள்.
5. வீதிிகள், �ாலங்கள், மாதிகுகள், விமாானா நாிவைலயங்கள், துவைறிமுகங்கள் மாற்றும் புவைகயிரதி �ாவைதிகள் அடங்கலாக �ாவைதிகள்,
புவைகயிரதி �ாவைதிகள் அல்லது வான்வழி சே�ாக்குவரத்து சேசாவைவகள், சுற்றுலா சேசாவைவகளுக்கானா வசாதிிகவைளா வழங்குதில்
மாற்றும் சே ��ிச்பசால்லல்.
6. நாீர் வழங்கல் மாற்றும் வடிகால் பதிாடர்�ானா சாகல சேசாவைவகள்.
7. உ�வு மாற்றும் அத்திியாவசாியப் ப�ாருட்களாின் வழங்கல், �ாதுகாப்பு மாற்றும் விநாிசேயாகம் பதிாடர்�ானா சாகல சேசாவைவகள்.
8. அவைனாத்து மாாவட்ட பசாயலகங்கள், �ிரசேதிசா பசாயலகங்கள், கிராமா அலுவலர்கள், சாமுர்த்திி அ�ிவிருத்திி அலுவலர்கள்,
விவசாாய ஆராய்ச்சாி உதிவியாளார்கள், சாமூக வலுவூட்டல் அலுவலர்கள், கிளாீன் ஸ்ரீலங்கா குழு அலுவலர்கள் உட்�ட
அவைனாத்து மாாவட்ட மாற்றும் �ிரசேதிசா பசாயலகங்களாின் களா மாட்ட அலுவலர்களாால் சேமாற்பகாள்ளா சேவண்டிய அல்லது
சேமாற்பகாள்ளா அவசாியமாானா எந்திபவாரு வவைகயானா அவைனாத்து சேசாவைவகள், சேவவைல அல்லது பதிாழிலாளார் �ங்களாிப்புகள்.
9. அவசார சேநாாயாளார் காவு வண்டி சேசாவைவகள்.
10. இலங்வைக மாத்திிய வங்கி உட்�ட அவைனாத்து அரசா வங்கி மாற்றும் காப்புறுதிி நாடவடிக்வைககள்.
11. நாீர், மாின்சாாரம், வடிகால் மாற்றும் கழிவுநாீர் வடிகால் அவைமாப்புகள், திீயவை�ப்பு மாற்றும் சேநாாயாளார் காவு வண்டி சேசாவைவகள்,
(கழிவுகவைளா பகாண்டுபசால்லல் மாற்றும் அகற்றுதில் உட்�ட) கழிவு சுத்திிகாிப்பு மாற்றும் குப்வை�கவைளா அகற்றுவதிற்காக
ஏசேதினும் உள்ளூராட்சாி நாிறுவனாம் மூலம் சேமாற்பகாள்ளாப்�ட்டு வரும் ஏசேதினும் ��ிகள் மாற்றும் உள்ளூராட்சாி
நாிறுவனாங்களாால் சேமாற்பகாள்ளாப்�டும் சாகல சேசாவைவகள்.
12. நாீர்ப்�ாசானாம் பதிாடர்�ானா சாகல சேசாவைவகள்.
13. பதிாவைலசே�சாி, பதிாவைலத்பதிாடர்பு மாற்றும் ஊடகம் பதிாடர்�ானா சாகல சேசாவைவகள்.
14. திாழ் நாிலங்கவைளா மாீட்படடுப்�து மாற்றும் அ�ிவிருத்திி பசாய்தில் பதிாடர்�ானா சாகல சேசாவைவகள்.
15. விவசாாயம் மாற்றும் விவசாாய காப்புறுதிி சேசாவைவகள் பதிாடர்�ானா சாகல சேசாவைவகள்.
EOG 2 - 0224
,yq;if murhq;f mr;Rj; jpizf;fsj;jpw; gjpg;gpf;fg;ngw;wJ.</t>
  </si>
  <si>
    <t>Regulations Dataset — Summary Dashboard</t>
  </si>
  <si>
    <t>1. Overall Counts</t>
  </si>
  <si>
    <t>Metric</t>
  </si>
  <si>
    <t>Count</t>
  </si>
  <si>
    <t>Total Records</t>
  </si>
  <si>
    <t>Active Regulations</t>
  </si>
  <si>
    <t>Inactive Regulations</t>
  </si>
  <si>
    <t>SME-Relevant (TRUE)</t>
  </si>
  <si>
    <t>Not SME-Relevant (FALSE)</t>
  </si>
  <si>
    <t>2. Active × SME Combinations</t>
  </si>
  <si>
    <t>Combination</t>
  </si>
  <si>
    <t>Active + SME TRUE</t>
  </si>
  <si>
    <t>Active + SME FALSE</t>
  </si>
  <si>
    <t>Inactive + SME TRUE</t>
  </si>
  <si>
    <t>Inactive + SME FALSE</t>
  </si>
  <si>
    <t>Domain</t>
  </si>
  <si>
    <t>Total</t>
  </si>
  <si>
    <t>SME TRUE %</t>
  </si>
  <si>
    <t>Last recalculated:</t>
  </si>
  <si>
    <t>Total records:</t>
  </si>
  <si>
    <t>3. Domain Breakdown (auto-expands as new domains appear)</t>
  </si>
  <si>
    <t>4. Severity Level Breakdown</t>
  </si>
  <si>
    <t>Severity</t>
  </si>
  <si>
    <t>Active</t>
  </si>
  <si>
    <t>SME-Relevant</t>
  </si>
  <si>
    <t>% of Total</t>
  </si>
  <si>
    <t>5. Change Category Breakdown</t>
  </si>
  <si>
    <t>Change Category</t>
  </si>
  <si>
    <t>6. Document Type &amp; Status</t>
  </si>
  <si>
    <t>Document Type</t>
  </si>
  <si>
    <t>Status</t>
  </si>
  <si>
    <t>7. Records by Year (effective_date) &amp; Recency</t>
  </si>
  <si>
    <t>Year</t>
  </si>
  <si>
    <t>Recency</t>
  </si>
  <si>
    <t>Last 30 days</t>
  </si>
  <si>
    <t>Last 90 days</t>
  </si>
  <si>
    <t>YTD (current year)</t>
  </si>
  <si>
    <t>Future-dated</t>
  </si>
  <si>
    <t>3c543251-ef87-4458-9a9f-7be662244be8</t>
  </si>
  <si>
    <t>2478_02</t>
  </si>
  <si>
    <t>2478/02</t>
  </si>
  <si>
    <t>Local Authorities Elections Ordinance — Election Commission notice (Gazette 2478/02)</t>
  </si>
  <si>
    <t>1946 අංක 262 දරන (2012 අංක 22 සංශෝධිත) පළාත් පාලන ආයතන මැතිවරණ ආඥා පනත</t>
  </si>
  <si>
    <t>உள்ளூர் அதிகார சபைகள் தேர்தல்கள் கட்டளைச் சட்டம் (அத்தியாயம் 262, 2012 ஆம் ஆண்டின் 22 ஆம் இலக்கால் திருத்தப்பட்ட)</t>
  </si>
  <si>
    <t>Notice published under the Local Authorities Elections Ordinance (Chapter 262, as amended by Act No. 22 of 2012 and Act No. 16 of 2017) by the Election Commission covering local authority elections, vacancy filling, or member nominations. Part IV(B) — Local Government.</t>
  </si>
  <si>
    <t>Local Authorities Elections Ordinance (Chapter 262, as amended by Act No. 22 of 2012)</t>
  </si>
  <si>
    <t>m1/raw/2478_02.pdf</t>
  </si>
  <si>
    <t>5f0ea1ec-ff5c-4d7e-9653-cf36cbc523f0</t>
  </si>
  <si>
    <t>2478_07</t>
  </si>
  <si>
    <t>2478/07</t>
  </si>
  <si>
    <t>Value Added Tax Act, No. 14 of 2002 — VAT notice (Gazette 2478/07)</t>
  </si>
  <si>
    <t>2002 අංක 14 දරන එකතු කළ අගය මත බදු පනත - වැට් දැන්වීම</t>
  </si>
  <si>
    <t>2002 ஆம் ஆண்டின் 14 ஆம் இலக்க பெறுமதி சேர் வரிச் சட்டம் - பெறுமதி சேர் வரி அறிவித்தல்</t>
  </si>
  <si>
    <t>Notice published under the Value Added Tax Act, No. 14 of 2002, typically covering VAT-rate amendments, exemptions, or threshold changes affecting businesses. Section 2A.</t>
  </si>
  <si>
    <t>Value Added Tax Act, No. 14 of 2002</t>
  </si>
  <si>
    <t>m1/raw/2478_07.pdf</t>
  </si>
  <si>
    <t>7fd0f59e-037f-4a4d-b28e-5577bc00ca81</t>
  </si>
  <si>
    <t>2478_08</t>
  </si>
  <si>
    <t>2478/08</t>
  </si>
  <si>
    <t>Local Authorities Elections Ordinance — Election Commission notice (Gazette 2478/08)</t>
  </si>
  <si>
    <t>m1/raw/2478_08.pdf</t>
  </si>
  <si>
    <t>afd79507-74cc-4c6b-850f-57fea0efed01</t>
  </si>
  <si>
    <t>2478_09</t>
  </si>
  <si>
    <t>2478/09</t>
  </si>
  <si>
    <t>Extraordinary Gazette 2478/09 — Government notice</t>
  </si>
  <si>
    <t>අතිවිශේෂ ගැසට් පත්‍රය - රජයේ දැන්වීම</t>
  </si>
  <si>
    <t>அதி விசேட வர்த்தமான பத்திரிகை - அரசாங்க அறிவித்தல்</t>
  </si>
  <si>
    <t>Extraordinary Gazette publication. Full classification pending expert review; see raw_text for the underlying multilingual notice content.</t>
  </si>
  <si>
    <t>m1/raw/2478_09.pdf</t>
  </si>
  <si>
    <t>74766e78-02f1-438c-87cb-ab496c7c3cd6</t>
  </si>
  <si>
    <t>2478_16</t>
  </si>
  <si>
    <t>2478/16</t>
  </si>
  <si>
    <t>Article 52(1) Constitutional Appointment — Ministry Secretary appointment (Gazette 2478/16)</t>
  </si>
  <si>
    <t>ශ්‍රී ලංකා ආණ්ඩුක්‍රම ව්‍යවස්ථාවේ 52(1) ව්‍යවස්ථාව - අමාත්‍යාංශ ලේකම් පත්කිරීම</t>
  </si>
  <si>
    <t>இலங்கை அரசியலமைப்பின் 52(1) ஆம் உறுப்புரை - அமைச்சு செயலாளர் நியமனம்</t>
  </si>
  <si>
    <t>Notice under Article 52(1) of the Constitution of the Democratic Socialist Republic of Sri Lanka announcing the appointment of a Ministry Secretary by His Excellency the President.</t>
  </si>
  <si>
    <t>Constitution of Sri Lanka, Article 52(1)</t>
  </si>
  <si>
    <t>m1/raw/2478_16.pdf</t>
  </si>
  <si>
    <t>64a4eae8-6732-467b-a40c-cec81c3e27be</t>
  </si>
  <si>
    <t>2478_21</t>
  </si>
  <si>
    <t>2478/21</t>
  </si>
  <si>
    <t>Land Acquisition Act (Chapter 460), Section 5 — Notice of Intended Acquisition (Gazette 2478/21)</t>
  </si>
  <si>
    <t>m1/raw/2478_21.pdf</t>
  </si>
  <si>
    <t>d790f186-dc6d-4941-b534-45103e1ea281</t>
  </si>
  <si>
    <t>2478_23</t>
  </si>
  <si>
    <t>2478/23</t>
  </si>
  <si>
    <t>Extraordinary Gazette 2478/23 — Government notice</t>
  </si>
  <si>
    <t>m1/raw/2478_23.pdf</t>
  </si>
  <si>
    <t>27d1b120-0a66-4055-86b3-6161054f9223</t>
  </si>
  <si>
    <t>2478_26</t>
  </si>
  <si>
    <t>2478/26</t>
  </si>
  <si>
    <t>Local Authorities Elections Ordinance — Election Commission notice (Gazette 2478/26)</t>
  </si>
  <si>
    <t>m1/raw/2478_26.pdf</t>
  </si>
  <si>
    <t>00ab3424-c6ac-4086-9d6f-3e5fe5987728</t>
  </si>
  <si>
    <t>2478_44</t>
  </si>
  <si>
    <t>2478/44</t>
  </si>
  <si>
    <t>Land Acquisition Act (Chapter 460), Section 5 — Notice of Intended Acquisition (Gazette 2478/44)</t>
  </si>
  <si>
    <t>m1/raw/2478_44.pdf</t>
  </si>
  <si>
    <t>c98c55f9-0272-4b16-afe0-7887dc8a6054</t>
  </si>
  <si>
    <t>2479_27</t>
  </si>
  <si>
    <t>2479/27</t>
  </si>
  <si>
    <t>Ceylon Petroleum Corporation Act, No. 28 of 1961 — Fuel price revision (Gazette 2479/27)</t>
  </si>
  <si>
    <t>1961 අංක 28 දරන ලංකා පෙට්‍රෝලියම් සංස්ථා පනත - ඉන්ධන මිල සංශෝධනය</t>
  </si>
  <si>
    <t>1961 ஆம் ஆண்டின் 28 ஆம் இலக்க இலங்கை எண்ணெய் கூட்டுத்தாபன சட்டம் - எரிபொருள் விலை திருத்தம்</t>
  </si>
  <si>
    <t>Order under Section 66 of the Ceylon Petroleum Corporation Act, No. 28 of 1961 by the Minister of Energy revising fuel prices (Lanka Auto Diesel, Super Diesel, Petrol Octane 92/95, Kerosene). Effective immediately or from the date specified.</t>
  </si>
  <si>
    <t>m1/raw/2479_27.pdf</t>
  </si>
  <si>
    <t>b5862a44-2664-4a90-ac20-5ba750ed0f79</t>
  </si>
  <si>
    <t>2479_37</t>
  </si>
  <si>
    <t>2479/37</t>
  </si>
  <si>
    <t>Local Authorities Elections Ordinance — Election Commission notice (Gazette 2479/37)</t>
  </si>
  <si>
    <t>m1/raw/2479_37.pdf</t>
  </si>
  <si>
    <t>5777c609-ef46-4ee4-88d6-670077cb4b74</t>
  </si>
  <si>
    <t>2479_47</t>
  </si>
  <si>
    <t>2479/47</t>
  </si>
  <si>
    <t>Local Authorities Elections Ordinance — Election Commission notice (Gazette 2479/47)</t>
  </si>
  <si>
    <t>m1/raw/2479_47.pdf</t>
  </si>
  <si>
    <t>0f304fd8-a857-4b49-97a5-6b9df413bbc2</t>
  </si>
  <si>
    <t>2479_53</t>
  </si>
  <si>
    <t>2479/53</t>
  </si>
  <si>
    <t>Elections notice (Gazette 2479/53)</t>
  </si>
  <si>
    <t>m1/raw/2479_53.pdf</t>
  </si>
  <si>
    <t>4f193458-171b-4b05-91ee-09143c392851</t>
  </si>
  <si>
    <t>2479_55</t>
  </si>
  <si>
    <t>2479/55</t>
  </si>
  <si>
    <t>Customs Ordinance (Chapter 235) — Customs notification (Gazette 2479/55)</t>
  </si>
  <si>
    <t>m1/raw/2479_55.pdf</t>
  </si>
  <si>
    <t>5b3b9169-b11c-44f4-a3ca-71f342538e46</t>
  </si>
  <si>
    <t>2479_57</t>
  </si>
  <si>
    <t>2479/57</t>
  </si>
  <si>
    <t>Local Authorities Elections Ordinance — Election Commission notice (Gazette 2479/57)</t>
  </si>
  <si>
    <t>m1/raw/2479_57.pdf</t>
  </si>
  <si>
    <t>a447e107-9739-4888-8df2-fa491169b87f</t>
  </si>
  <si>
    <t>2480_03</t>
  </si>
  <si>
    <t>2480/03</t>
  </si>
  <si>
    <t>Extraordinary Gazette 2480/03 — Government notice</t>
  </si>
  <si>
    <t>m1/raw/2480_03.pdf</t>
  </si>
  <si>
    <t>fdd5c6b3-857f-485a-aaf2-00733330f42b</t>
  </si>
  <si>
    <t>2480_08</t>
  </si>
  <si>
    <t>2480/08</t>
  </si>
  <si>
    <t>Local Authorities Elections Ordinance — Election Commission notice (Gazette 2480/08)</t>
  </si>
  <si>
    <t>m1/raw/2480_08.pdf</t>
  </si>
  <si>
    <t>1a3c9079-0c0d-49df-a359-7052c9cf6a9a</t>
  </si>
  <si>
    <t>2480_13</t>
  </si>
  <si>
    <t>2480/13</t>
  </si>
  <si>
    <t>Lands notice — Extraordinary Gazette 2480/13 (Part III)</t>
  </si>
  <si>
    <t>m1/raw/2480_13.pdf</t>
  </si>
  <si>
    <t>28f6142a-40dd-4986-bbc1-78b017047b5e</t>
  </si>
  <si>
    <t>2480_16</t>
  </si>
  <si>
    <t>2480/16</t>
  </si>
  <si>
    <t>Local Authorities Elections Ordinance — Election Commission notice (Gazette 2480/16)</t>
  </si>
  <si>
    <t>m1/raw/2480_16.pdf</t>
  </si>
  <si>
    <t>8d1ba53c-f267-4db3-9b39-cba5e056ccb0</t>
  </si>
  <si>
    <t>2480_19</t>
  </si>
  <si>
    <t>2480/19</t>
  </si>
  <si>
    <t>Extraordinary Gazette 2480/19 — Government notice</t>
  </si>
  <si>
    <t>m1/raw/2480_19.pdf</t>
  </si>
  <si>
    <t>da6a664f-d13a-4838-84a4-703e499d49ea</t>
  </si>
  <si>
    <t>2480_23</t>
  </si>
  <si>
    <t>2480/23</t>
  </si>
  <si>
    <t>Article 52(1) Constitutional Appointment — Ministry Secretary appointment (Gazette 2480/23)</t>
  </si>
  <si>
    <t>m1/raw/2480_23.pdf</t>
  </si>
  <si>
    <t>55c5c336-d35d-43b3-aeb6-f1df56ed38c2</t>
  </si>
  <si>
    <t>2480_26</t>
  </si>
  <si>
    <t>2480/26</t>
  </si>
  <si>
    <t>Extraordinary Gazette 2480/26 — Government notice</t>
  </si>
  <si>
    <t>m1/raw/2480_26.pdf</t>
  </si>
  <si>
    <t>dc0f68a4-547a-4e66-9585-2e20bc97c2fa</t>
  </si>
  <si>
    <t>2480_44</t>
  </si>
  <si>
    <t>2480/44</t>
  </si>
  <si>
    <t>Extraordinary Gazette 2480/44 — Government notice</t>
  </si>
  <si>
    <t>m1/raw/2480_44.pdf</t>
  </si>
  <si>
    <t>c1eceaf8-076b-4b12-a29c-e42c50693347</t>
  </si>
  <si>
    <t>2480_47</t>
  </si>
  <si>
    <t>2480/47</t>
  </si>
  <si>
    <t>Extraordinary Gazette 2480/47 — Government notice</t>
  </si>
  <si>
    <t>m1/raw/2480_47.pdf</t>
  </si>
  <si>
    <t>143e7576-637d-4ae0-83bb-d3066c5a9f70</t>
  </si>
  <si>
    <t>2480_49</t>
  </si>
  <si>
    <t>2480/49</t>
  </si>
  <si>
    <t>Ceylon Petroleum Corporation Act, No. 28 of 1961 — Fuel price revision (Gazette 2480/49)</t>
  </si>
  <si>
    <t>m1/raw/2480_49.pdf</t>
  </si>
  <si>
    <t>00f95f03-b601-4565-b467-36b16a344726</t>
  </si>
  <si>
    <t>2481_07</t>
  </si>
  <si>
    <t>2481/07</t>
  </si>
  <si>
    <t>Title Registration Act, No. 21 of 1998, Section 14 — Commissioner of Title Settlement's decision under Section 14 (Gazette 2481/07)</t>
  </si>
  <si>
    <t>m1/raw/2481_07.pdf</t>
  </si>
  <si>
    <t>031d84b6-eecc-4521-8675-93230b077e8a</t>
  </si>
  <si>
    <t>2481_08</t>
  </si>
  <si>
    <t>2481/08</t>
  </si>
  <si>
    <t>National Consumer Price Index (NCPI) — Monthly publication (Gazette 2481/08)</t>
  </si>
  <si>
    <t>ජාතික පාරිභෝගික මිල දර්ශකය - ජනලේඛන හා සංඛ්‍යාලේඛන දෙපාර්තමේන්තුව</t>
  </si>
  <si>
    <t>தேசிய நுகர்வோர் விலைச் சுட்டெண் - மக்கள் தொகை மற்றும் புள்ளிவிபரத் திணைக்களம்</t>
  </si>
  <si>
    <t>Publication of the monthly National Consumer Price Index (NCPI, Base 2021=100) computed by the Department of Census and Statistics. Part I — General.</t>
  </si>
  <si>
    <t>m1/raw/2481_08.pdf</t>
  </si>
  <si>
    <t>ab635575-b0e8-4c97-bee1-f1210e94d431</t>
  </si>
  <si>
    <t>2481_20</t>
  </si>
  <si>
    <t>2481/20</t>
  </si>
  <si>
    <t>Land Acquisition Act (Chapter 460), Section 5 — Notice of Intended Acquisition (Gazette 2481/20)</t>
  </si>
  <si>
    <t>m1/raw/2481_20.pdf</t>
  </si>
  <si>
    <t>b24604ce-9735-47d0-b0bb-e9883fce3803</t>
  </si>
  <si>
    <t>2481_21</t>
  </si>
  <si>
    <t>2481/21</t>
  </si>
  <si>
    <t>Extraordinary Gazette 2481/21 — Government notice</t>
  </si>
  <si>
    <t>m1/raw/2481_21.pdf</t>
  </si>
  <si>
    <t>66fc56ca-50a0-491d-a690-51301e5ffe6f</t>
  </si>
  <si>
    <t>2481_29</t>
  </si>
  <si>
    <t>2481/29</t>
  </si>
  <si>
    <t>Public Security Ordinance (Chapter 40), Section 2 — Presidential Proclamation of public emergency (Gazette 2481/29)</t>
  </si>
  <si>
    <t>මහජන ආරක්ෂණ ආඥා පනත (40 වන අධිකාරිය) - 2 වගන්තිය යටතේ මහජන හදිසි අවස්ථා ප්‍රකාශය</t>
  </si>
  <si>
    <t>பொதுமக்கள் பாதுகாப்புக் கட்டளைச் சட்டம் (40 ஆம் அத்தியாயம்) - 2 ஆம் பிரிவின் கீழ் பொது அவசர நிலை பிரகடனம்</t>
  </si>
  <si>
    <t>Presidential Proclamation under Section 2 of the Public Security Ordinance (Chapter 40) declaring a public emergency in Sri Lanka. Part I — General.</t>
  </si>
  <si>
    <t>m1/raw/2481_29.pdf</t>
  </si>
  <si>
    <t>9499aa69-4176-4920-830f-d9d3139fb3b5</t>
  </si>
  <si>
    <t>2482_04</t>
  </si>
  <si>
    <t>2482/04</t>
  </si>
  <si>
    <t>Anti-Corruption Act, No. 9 of 2023 — CIABOC regulation (Gazette 2482/04)</t>
  </si>
  <si>
    <t>2023 අංක 9 දරන දූෂණ විරෝධී පනත - විනියාම</t>
  </si>
  <si>
    <t>2023 ஆம் ஆண்டின் 9 ஆம் இலக்க ஊழல் எதிர்ப்புச் சட்டம் - ஒழுங்குவிதி</t>
  </si>
  <si>
    <t>Regulation under Section 156 read with Section 80(1)(b) of the Anti-Corruption Act, No. 9 of 2023, made by the Minister of Justice with concurrence of the Commission to Investigate Allegations of Bribery or Corruption (CIABOC). Part I — General.</t>
  </si>
  <si>
    <t>Anti-Corruption Act, No. 9 of 2023</t>
  </si>
  <si>
    <t>m1/raw/2482_04.pdf</t>
  </si>
  <si>
    <t>82d7bc2d-1eaa-4dd1-91e1-5f81623babc4</t>
  </si>
  <si>
    <t>2482_05</t>
  </si>
  <si>
    <t>2482/05</t>
  </si>
  <si>
    <t>Local Authorities Elections Ordinance — Election Commission notice (Gazette 2482/05)</t>
  </si>
  <si>
    <t>m1/raw/2482_05.pdf</t>
  </si>
  <si>
    <t>88497465-9918-4c7a-a43a-f130ca95c4f9</t>
  </si>
  <si>
    <t>2478_06</t>
  </si>
  <si>
    <t>2478/06</t>
  </si>
  <si>
    <t>Extraordinary Gazette 2478/06 — Government notice</t>
  </si>
  <si>
    <t>m1/raw/2478_06.pdf</t>
  </si>
  <si>
    <t>a6033d91-d3fe-419b-98ac-623237feabd7</t>
  </si>
  <si>
    <t>2478_12</t>
  </si>
  <si>
    <t>2478/12</t>
  </si>
  <si>
    <t>Title Registration Act, No. 21 of 1998, Section 14 — Commissioner of Title Settlement's decision under Section 14 (Gazette 2478/12)</t>
  </si>
  <si>
    <t>m1/raw/2478_12.pdf</t>
  </si>
  <si>
    <t>7ec5313c-77d8-4dd4-89ba-d50b91b3cb6c</t>
  </si>
  <si>
    <t>2478_14</t>
  </si>
  <si>
    <t>2478/14</t>
  </si>
  <si>
    <t>Title Registration Act, No. 21 of 1998, Section 14 — Commissioner of Title Settlement's decision under Section 14 (Gazette 2478/14)</t>
  </si>
  <si>
    <t>bfc3bdd8-d3df-4a69-bf91-32a33e2ab46b</t>
  </si>
  <si>
    <t>2478_24</t>
  </si>
  <si>
    <t>2478/24</t>
  </si>
  <si>
    <t>Extraordinary Gazette 2478/24 — Government notice</t>
  </si>
  <si>
    <t>m1/raw/2478_24.pdf</t>
  </si>
  <si>
    <t>88c2cd06-1ebd-4f70-958e-48e42b82721a</t>
  </si>
  <si>
    <t>2478_30</t>
  </si>
  <si>
    <t>2478/30</t>
  </si>
  <si>
    <t>Title Registration Act, No. 21 of 1998, Section 14 — Commissioner of Title Settlement's decision under Section 14 (Gazette 2478/30)</t>
  </si>
  <si>
    <t>m1/raw/2478_30.pdf</t>
  </si>
  <si>
    <t>f5509fcd-b096-4ca1-8ba0-978bea4a03cc</t>
  </si>
  <si>
    <t>2478_31</t>
  </si>
  <si>
    <t>2478/31</t>
  </si>
  <si>
    <t>Title Registration Act, No. 21 of 1998, Section 14 — Commissioner of Title Settlement's decision under Section 14 (Gazette 2478/31)</t>
  </si>
  <si>
    <t>m1/raw/2478_31.pdf</t>
  </si>
  <si>
    <t>a9258fee-b832-47be-a8e7-968d2738e7d8</t>
  </si>
  <si>
    <t>2478_32</t>
  </si>
  <si>
    <t>2478/32</t>
  </si>
  <si>
    <t>Title Registration Act, No. 21 of 1998, Section 14 — Commissioner of Title Settlement's decision under Section 14 (Gazette 2478/32)</t>
  </si>
  <si>
    <t>m1/raw/2478_32.pdf</t>
  </si>
  <si>
    <t>f82b8d26-cb16-4148-abe5-4ad0a261e27b</t>
  </si>
  <si>
    <t>2478_41</t>
  </si>
  <si>
    <t>2478/41</t>
  </si>
  <si>
    <t>Extraordinary Gazette 2478/41 — Government notice</t>
  </si>
  <si>
    <t>m1/raw/2478_41.pdf</t>
  </si>
  <si>
    <t>0bfbaef3-d226-4559-b63d-a446c0776aec</t>
  </si>
  <si>
    <t>2478_43</t>
  </si>
  <si>
    <t>2478/43</t>
  </si>
  <si>
    <t>Land Acquisition Act (Chapter 460), Section 5 — Notice of Intended Acquisition (Gazette 2478/43)</t>
  </si>
  <si>
    <t>m1/raw/2478_43.pdf</t>
  </si>
  <si>
    <t>23ecd579-0c11-4dbd-9ef3-8ee6a165a868</t>
  </si>
  <si>
    <t>2479_08</t>
  </si>
  <si>
    <t>2479/08</t>
  </si>
  <si>
    <t>Title Registration Act, No. 21 of 1998, Section 14 — Commissioner of Title Settlement's decision under Section 14 (Gazette 2479/08)</t>
  </si>
  <si>
    <t>m1/raw/2479_08.pdf</t>
  </si>
  <si>
    <t>d09bbaa3-d9ee-4909-8893-1b06539a25ba</t>
  </si>
  <si>
    <t>2479_15</t>
  </si>
  <si>
    <t>2479/15</t>
  </si>
  <si>
    <t>Title Registration Act, No. 21 of 1998, Section 14 — Commissioner of Title Settlement's decision under Section 14 (Gazette 2479/15)</t>
  </si>
  <si>
    <t>m1/raw/2479_15.pdf</t>
  </si>
  <si>
    <t>5a341c05-67b9-4f30-af58-a13a6314034d</t>
  </si>
  <si>
    <t>2479_22</t>
  </si>
  <si>
    <t>2479/22</t>
  </si>
  <si>
    <t>Urban Development Authority Act, No. 4 of 1982 — Development plan approval (Gazette 2479/22)</t>
  </si>
  <si>
    <t>1982 අංක 4 දරන නාගරික සංවර්ධන අධිකාරිය පනත - සංවර්ධන සැලැස්ම අනුමත කිරීම</t>
  </si>
  <si>
    <t>1982 ஆம் ஆண்டின் 4 ஆம் இலக்க நகர அபிவிருத்தி அதிகாரசபை சட்டம் - அபிவிருத்தித் திட்ட அங்கீகாரம்</t>
  </si>
  <si>
    <t>Approval of an Urban Development Area development plan under Section 8(H) of the Urban Development Authority Act, No. 4 of 1982 by the Minister of Transport, Highways and Urban Development.</t>
  </si>
  <si>
    <t>Urban Development Authority Act, No. 4 of 1982</t>
  </si>
  <si>
    <t>m1/raw/2479_22.pdf</t>
  </si>
  <si>
    <t>1543efe5-f55f-4c3c-8ea4-0e438bd90841</t>
  </si>
  <si>
    <t>2479_23</t>
  </si>
  <si>
    <t>2479/23</t>
  </si>
  <si>
    <t>Town and Country Planning Ordinance — Development plan / Sacred Area declaration (Gazette 2479/23)</t>
  </si>
  <si>
    <t>m1/raw/2479_23.pdf</t>
  </si>
  <si>
    <t>cfe49259-04e8-4d08-9de1-ba5543212357</t>
  </si>
  <si>
    <t>2479_24</t>
  </si>
  <si>
    <t>2479/24</t>
  </si>
  <si>
    <t>Land Acquisition Act (Chapter 460), Section 5 — Notice of Intended Acquisition (Gazette 2479/24)</t>
  </si>
  <si>
    <t>m1/raw/2479_24.pdf</t>
  </si>
  <si>
    <t>4f041204-6198-4232-b051-3bf135a46f74</t>
  </si>
  <si>
    <t>2479_34</t>
  </si>
  <si>
    <t>2479/34</t>
  </si>
  <si>
    <t>Land Acquisition Act (Chapter 460), Section 5 — Notice of Intended Acquisition (Gazette 2479/34)</t>
  </si>
  <si>
    <t>m1/raw/2479_34.pdf</t>
  </si>
  <si>
    <t>2b7dfcfa-ef8e-4b8b-839e-806a43ee7565</t>
  </si>
  <si>
    <t>2479_49</t>
  </si>
  <si>
    <t>2479/49</t>
  </si>
  <si>
    <t>Title Registration Act, No. 21 of 1998, Section 14 — Commissioner of Title Settlement's decision under Section 14 (Gazette 2479/49)</t>
  </si>
  <si>
    <t>m1/raw/2479_49.pdf</t>
  </si>
  <si>
    <t>1295ac3c-9a44-4e0f-93dc-710060a39647</t>
  </si>
  <si>
    <t>2480_11</t>
  </si>
  <si>
    <t>2480/11</t>
  </si>
  <si>
    <t>Land Acquisition Act (Chapter 460), Section 5 — Notice of Intended Acquisition (Gazette 2480/11)</t>
  </si>
  <si>
    <t>m1/raw/2480_11.pdf</t>
  </si>
  <si>
    <t>2ec9d455-c88b-43d8-a863-475ad3c20aac</t>
  </si>
  <si>
    <t>2480_17</t>
  </si>
  <si>
    <t>2480/17</t>
  </si>
  <si>
    <t>Land Acquisition Act (Chapter 460), Section 5 — Notice of Intended Acquisition (Gazette 2480/17)</t>
  </si>
  <si>
    <t>m1/raw/2480_17.pdf</t>
  </si>
  <si>
    <t>c966ff1b-12f0-479f-b344-b4ca9b72e789</t>
  </si>
  <si>
    <t>2480_18</t>
  </si>
  <si>
    <t>2480/18</t>
  </si>
  <si>
    <t>Land Acquisition Act (Chapter 460), Section 5 — Notice of Intended Acquisition (Gazette 2480/18)</t>
  </si>
  <si>
    <t>m1/raw/2480_18.pdf</t>
  </si>
  <si>
    <t>67c17ec1-f31b-4e35-939f-2b00641f61d5</t>
  </si>
  <si>
    <t>2480_22</t>
  </si>
  <si>
    <t>2480/22</t>
  </si>
  <si>
    <t>Extraordinary Gazette 2480/22 — Government notice</t>
  </si>
  <si>
    <t>m1/raw/2480_22.pdf</t>
  </si>
  <si>
    <t>f4de769d-514f-4e62-bde6-971c74b51271</t>
  </si>
  <si>
    <t>2480_24</t>
  </si>
  <si>
    <t>2480/24</t>
  </si>
  <si>
    <t>Urban Development Authority Act, No. 4 of 1982 — Development plan approval (Gazette 2480/24)</t>
  </si>
  <si>
    <t>m1/raw/2480_24.pdf</t>
  </si>
  <si>
    <t>d5abe218-f822-4f0e-9997-7411c68e540e</t>
  </si>
  <si>
    <t>2480_25</t>
  </si>
  <si>
    <t>2480/25</t>
  </si>
  <si>
    <t>Extraordinary Gazette 2480/25 — Government notice</t>
  </si>
  <si>
    <t>m1/raw/2480_25.pdf</t>
  </si>
  <si>
    <t>3f8c551f-7273-41c8-9262-c530f3d661b3</t>
  </si>
  <si>
    <t>2480_38</t>
  </si>
  <si>
    <t>2480/38</t>
  </si>
  <si>
    <t>Title Registration Act, No. 21 of 1998, Section 14 — Commissioner of Title Settlement's decision under Section 14 (Gazette 2480/38)</t>
  </si>
  <si>
    <t>m1/raw/2480_38.pdf</t>
  </si>
  <si>
    <t>b5ef163b-a835-411a-ac83-ad3d083a5273</t>
  </si>
  <si>
    <t>2480_39</t>
  </si>
  <si>
    <t>2480/39</t>
  </si>
  <si>
    <t>Title Registration Act, No. 21 of 1998, Section 14 — Commissioner of Title Settlement's decision under Section 14 (Gazette 2480/39)</t>
  </si>
  <si>
    <t>m1/raw/2480_39.pdf</t>
  </si>
  <si>
    <t>a1d9da8a-6df0-467b-ac5c-af5cb6a2e329</t>
  </si>
  <si>
    <t>2480_42</t>
  </si>
  <si>
    <t>2480/42</t>
  </si>
  <si>
    <t>Title Registration Act, No. 21 of 1998, Section 14 — Commissioner of Title Settlement's decision under Section 14 (Gazette 2480/42)</t>
  </si>
  <si>
    <t>m1/raw/2480_42.pdf</t>
  </si>
  <si>
    <t>0a7c6ec9-46f1-43e5-9579-3b7c0e1888ff</t>
  </si>
  <si>
    <t>2480_43</t>
  </si>
  <si>
    <t>2480/43</t>
  </si>
  <si>
    <t>Title Registration Act, No. 21 of 1998, Section 14 — Commissioner of Title Settlement's decision under Section 14 (Gazette 2480/43)</t>
  </si>
  <si>
    <t>m1/raw/2480_43.pdf</t>
  </si>
  <si>
    <t>3f37d983-148c-49f7-b0e2-6e90d96ef560</t>
  </si>
  <si>
    <t>2480_46</t>
  </si>
  <si>
    <t>2480/46</t>
  </si>
  <si>
    <t>Extraordinary Gazette 2480/46 — Government notice</t>
  </si>
  <si>
    <t>m1/raw/2480_46.pdf</t>
  </si>
  <si>
    <t>bc1a270f-dd5a-4093-b7f8-6a1b262be3b6</t>
  </si>
  <si>
    <t>2481_02</t>
  </si>
  <si>
    <t>2481/02</t>
  </si>
  <si>
    <t>Extraordinary Gazette 2481/02 — Government notice</t>
  </si>
  <si>
    <t>m1/raw/2481_02.pdf</t>
  </si>
  <si>
    <t>61728488-63ea-419c-ba8d-d3058ad6d675</t>
  </si>
  <si>
    <t>2481_06</t>
  </si>
  <si>
    <t>2481/06</t>
  </si>
  <si>
    <t>United Nations Act, No. 45 of 1968 — Regulation implementing UN obligations (Gazette 2481/06)</t>
  </si>
  <si>
    <t>m1/raw/2481_06.pdf</t>
  </si>
  <si>
    <t>f56d8d98-3043-44e1-8a39-8057ccca4c0d</t>
  </si>
  <si>
    <t>2481_13</t>
  </si>
  <si>
    <t>2481/13</t>
  </si>
  <si>
    <t>Extraordinary Gazette 2481/13 — Government notice</t>
  </si>
  <si>
    <t>m1/raw/2481_13.pdf</t>
  </si>
  <si>
    <t>5bab0da3-638c-4ec2-9cee-e7477ba74414</t>
  </si>
  <si>
    <t>2481_14</t>
  </si>
  <si>
    <t>2481/14</t>
  </si>
  <si>
    <t>Local Authorities Elections Ordinance — Election Commission notice (Gazette 2481/14)</t>
  </si>
  <si>
    <t>m1/raw/2481_14.pdf</t>
  </si>
  <si>
    <t>e903800a-a32e-4817-b1b1-8b4bdf6ced5c</t>
  </si>
  <si>
    <t>2481_16</t>
  </si>
  <si>
    <t>2481/16</t>
  </si>
  <si>
    <t>Land Acquisition Act (Chapter 460), Section 5 — Notice of Intended Acquisition (Gazette 2481/16)</t>
  </si>
  <si>
    <t>m1/raw/2481_16.pdf</t>
  </si>
  <si>
    <t>70936122-ec18-40b4-b51c-15e292856872</t>
  </si>
  <si>
    <t>2481_18</t>
  </si>
  <si>
    <t>2481/18</t>
  </si>
  <si>
    <t>Extraordinary Gazette 2481/18 — Government notice</t>
  </si>
  <si>
    <t>m1/raw/2481_18.pdf</t>
  </si>
  <si>
    <t>bd39359c-7fac-4bd5-8784-fc2fe6d86a1a</t>
  </si>
  <si>
    <t>2481_19</t>
  </si>
  <si>
    <t>2481/19</t>
  </si>
  <si>
    <t>Extraordinary Gazette 2481/19 — Government notice</t>
  </si>
  <si>
    <t>m1/raw/2481_19.pdf</t>
  </si>
  <si>
    <t>e2a8bd21-ed84-4d99-9663-1868a95eb708</t>
  </si>
  <si>
    <t>2481_23</t>
  </si>
  <si>
    <t>2481/23</t>
  </si>
  <si>
    <t>Land Acquisition Act (Chapter 460), Section 5 — Notice of Intended Acquisition (Gazette 2481/23)</t>
  </si>
  <si>
    <t>m1/raw/2481_23.pdf</t>
  </si>
  <si>
    <t>abab4963-425c-483b-83f7-c5bd08de1e69</t>
  </si>
  <si>
    <t>2481_24</t>
  </si>
  <si>
    <t>2481/24</t>
  </si>
  <si>
    <t>Land Acquisition Act (Chapter 460), Section 5 — Notice of Intended Acquisition (Gazette 2481/24)</t>
  </si>
  <si>
    <t>m1/raw/2481_24.pdf</t>
  </si>
  <si>
    <t>a5d15ff0-8124-4ec5-aff1-85e7bbb8ed09</t>
  </si>
  <si>
    <t>2481_25</t>
  </si>
  <si>
    <t>2481/25</t>
  </si>
  <si>
    <t>Customs Ordinance (Chapter 235) — Customs notification (Gazette 2481/25)</t>
  </si>
  <si>
    <t>m1/raw/2481_25.pdf</t>
  </si>
  <si>
    <t>83f58be6-d784-4116-b59a-e9de317672b0</t>
  </si>
  <si>
    <t>2481_27</t>
  </si>
  <si>
    <t>2481/27</t>
  </si>
  <si>
    <t>Extraordinary Gazette 2481/27 — Government notice</t>
  </si>
  <si>
    <t>m1/raw/2481_27.pdf</t>
  </si>
  <si>
    <t>e5f4da9b-a8fe-4720-aa1c-143f277e7160</t>
  </si>
  <si>
    <t>2481_30</t>
  </si>
  <si>
    <t>2481/30</t>
  </si>
  <si>
    <t>Extraordinary Gazette 2481/30 — Government notice</t>
  </si>
  <si>
    <t>m1/raw/2481_30.pdf</t>
  </si>
  <si>
    <t>29b5107d-52d8-42d4-88a3-e509b39ac9de</t>
  </si>
  <si>
    <t>2481_34</t>
  </si>
  <si>
    <t>2481/34</t>
  </si>
  <si>
    <t>Title Registration Act, No. 21 of 1998, Section 14 — Commissioner of Title Settlement's decision under Section 14 (Gazette 2481/34)</t>
  </si>
  <si>
    <t>m1/raw/2481_34.pdf</t>
  </si>
  <si>
    <t>0c971ab5-db0e-47cc-afc6-fe51c7196fd3</t>
  </si>
  <si>
    <t>2481_35</t>
  </si>
  <si>
    <t>2481/35</t>
  </si>
  <si>
    <t>Title Registration Act, No. 21 of 1998, Section 14 — Commissioner of Title Settlement's decision under Section 14 (Gazette 2481/35)</t>
  </si>
  <si>
    <t>m1/raw/2481_35.pdf</t>
  </si>
  <si>
    <t>9e137869-76a2-4311-8243-68be43679e49</t>
  </si>
  <si>
    <t>2481_37</t>
  </si>
  <si>
    <t>2481/37</t>
  </si>
  <si>
    <t>Title Registration Act, No. 21 of 1998, Section 14 — Commissioner of Title Settlement's decision under Section 14 (Gazette 2481/37)</t>
  </si>
  <si>
    <t>m1/raw/2481_37.pdf</t>
  </si>
  <si>
    <t>feea9a56-9afb-4b5c-80df-3046523500ec</t>
  </si>
  <si>
    <t>2481_38</t>
  </si>
  <si>
    <t>2481/38</t>
  </si>
  <si>
    <t>Title Registration Act, No. 21 of 1998, Section 14 — Commissioner of Title Settlement's decision under Section 14 (Gazette 2481/38)</t>
  </si>
  <si>
    <t>m1/raw/2481_38.pdf</t>
  </si>
  <si>
    <t>5d268bd2-c241-4143-b391-7883adc902c3</t>
  </si>
  <si>
    <t>2481_41</t>
  </si>
  <si>
    <t>2481/41</t>
  </si>
  <si>
    <t>Title Registration Act, No. 21 of 1998, Section 14 — Commissioner of Title Settlement's decision under Section 14 (Gazette 2481/41)</t>
  </si>
  <si>
    <t>m1/raw/2481_41.pdf</t>
  </si>
  <si>
    <t>1e0f111c-9d81-46ad-bf7a-5823a604224a</t>
  </si>
  <si>
    <t>2481_51</t>
  </si>
  <si>
    <t>2481/51</t>
  </si>
  <si>
    <t>Title Registration Act, No. 21 of 1998, Section 14 — Commissioner of Title Settlement's decision under Section 14 (Gazette 2481/51)</t>
  </si>
  <si>
    <t>m1/raw/2481_51.pdf</t>
  </si>
  <si>
    <t>af300191-1fdf-4aa5-93d5-cd63ef3e2bcc</t>
  </si>
  <si>
    <t>2481_53</t>
  </si>
  <si>
    <t>2481/53</t>
  </si>
  <si>
    <t>Title Registration Act, No. 21 of 1998, Section 14 — Commissioner of Title Settlement's decision under Section 14 (Gazette 2481/53)</t>
  </si>
  <si>
    <t>m1/raw/2481_53.pdf</t>
  </si>
  <si>
    <t>793921e3-7a9d-4edc-b83a-c5095517cbe4</t>
  </si>
  <si>
    <t>2482_09</t>
  </si>
  <si>
    <t>2482/09</t>
  </si>
  <si>
    <t>Extraordinary Gazette 2482/09 — Government notice</t>
  </si>
  <si>
    <t>m1/raw/2482_09.pdf</t>
  </si>
  <si>
    <t>9cc5a558-f7dc-478c-973a-71a501fb5729</t>
  </si>
  <si>
    <t>2470_44</t>
  </si>
  <si>
    <t>2470/44</t>
  </si>
  <si>
    <t>Title Registration Act, No. 21 of 1998, Section 14 — Commissioner of Title Settlement's decision under Section 14 (Gazette 2470/44)</t>
  </si>
  <si>
    <t>m1/raw/2470_44.pdf</t>
  </si>
  <si>
    <t>9a04286b-a59f-4b5c-8022-f39a6f213fbc</t>
  </si>
  <si>
    <t>2478_01</t>
  </si>
  <si>
    <t>2478/01</t>
  </si>
  <si>
    <t>Customs Ordinance — Customs notice (Gazette 2478/01)</t>
  </si>
  <si>
    <t>Customs notice issued under the Customs Ordinance, affecting duties, exemptions or trade controls.</t>
  </si>
  <si>
    <t>Customs Ordinance</t>
  </si>
  <si>
    <t>m1/raw/2478_01.pdf</t>
  </si>
  <si>
    <t>ac86b6c9-b3ff-4f0a-80ed-d6889ef014c2</t>
  </si>
  <si>
    <t>2478_28</t>
  </si>
  <si>
    <t>2478/28</t>
  </si>
  <si>
    <t>Title Registration Act, No. 21 of 1998, Section 14 — Commissioner of Title Settlement's decision under Section 14 (Gazette 2478/28)</t>
  </si>
  <si>
    <t>m1/raw/2478_28.pdf</t>
  </si>
  <si>
    <t>97d08caf-2054-43ca-8fc8-083e77417dfb</t>
  </si>
  <si>
    <t>2478_29</t>
  </si>
  <si>
    <t>2478/29</t>
  </si>
  <si>
    <t>Title Registration Act, No. 21 of 1998, Section 14 — Commissioner of Title Settlement's decision under Section 14 (Gazette 2478/29)</t>
  </si>
  <si>
    <t>m1/raw/2478_29.pdf</t>
  </si>
  <si>
    <t>6eddf047-0e60-4cbb-a63f-2f32171fd8ee</t>
  </si>
  <si>
    <t>2478_45</t>
  </si>
  <si>
    <t>2478/45</t>
  </si>
  <si>
    <t>Land Acquisition Act (Chapter 460), Section 5 — Notice of Intended Acquisition (Gazette 2478/45)</t>
  </si>
  <si>
    <t>m1/raw/2478_45.pdf</t>
  </si>
  <si>
    <t>91e7e53d-a382-4729-b713-a81abcbd0afe</t>
  </si>
  <si>
    <t>2478_52</t>
  </si>
  <si>
    <t>2478/52</t>
  </si>
  <si>
    <t>Land Acquisition Act (Chapter 460), Section 5 — Notice of Intended Acquisition (Gazette 2478/52)</t>
  </si>
  <si>
    <t>m1/raw/2478_52.pdf</t>
  </si>
  <si>
    <t>dffa944b-9826-4570-ba63-a883296e6620</t>
  </si>
  <si>
    <t>2478_54</t>
  </si>
  <si>
    <t>2478/54</t>
  </si>
  <si>
    <t>Land Acquisition Act (Chapter 460), Section 5 — Notice of Intended Acquisition (Gazette 2478/54)</t>
  </si>
  <si>
    <t>m1/raw/2478_54.pdf</t>
  </si>
  <si>
    <t>cc9f1c60-ed4e-4aa9-b164-89aca8420a48</t>
  </si>
  <si>
    <t>2479_01</t>
  </si>
  <si>
    <t>2479/01</t>
  </si>
  <si>
    <t>Customs Ordinance (Chapter 235) — Customs notification (Gazette 2479/01)</t>
  </si>
  <si>
    <t>m1/raw/2479_01.pdf</t>
  </si>
  <si>
    <t>703e74b1-9886-444a-acb8-e142a457f147</t>
  </si>
  <si>
    <t>2479_16</t>
  </si>
  <si>
    <t>2479/16</t>
  </si>
  <si>
    <t>Title Registration Act, No. 21 of 1998, Section 14 — Commissioner of Title Settlement's decision under Section 14 (Gazette 2479/16)</t>
  </si>
  <si>
    <t>m1/raw/2479_16.pdf</t>
  </si>
  <si>
    <t>a504a924-a982-48de-8ef5-d04bef752f1d</t>
  </si>
  <si>
    <t>2479_54</t>
  </si>
  <si>
    <t>2479/54</t>
  </si>
  <si>
    <t>Extraordinary Gazette 2479/54 — Government notice</t>
  </si>
  <si>
    <t>m1/raw/2479_54.pdf</t>
  </si>
  <si>
    <t>9dd59c85-69ed-415b-a10e-a5b0548515e3</t>
  </si>
  <si>
    <t>2480_01</t>
  </si>
  <si>
    <t>2480/01</t>
  </si>
  <si>
    <t>Customs Ordinance (Chapter 235) — Customs notification (Gazette 2480/01)</t>
  </si>
  <si>
    <t>m1/raw/2480_01.pdf</t>
  </si>
  <si>
    <t>2c2eba4c-ebd0-4f26-abb2-1e1e9ffa4ada</t>
  </si>
  <si>
    <t>2480_06</t>
  </si>
  <si>
    <t>2480/06</t>
  </si>
  <si>
    <t>Industrial Disputes Act (Chapter 131), Section 4(1) — Industrial Award (Gazette 2480/06)</t>
  </si>
  <si>
    <t>m1/raw/2480_06.pdf</t>
  </si>
  <si>
    <t>c0bb0e98-edb3-41b2-a1e1-41051938e668</t>
  </si>
  <si>
    <t>2480_07</t>
  </si>
  <si>
    <t>2480/07</t>
  </si>
  <si>
    <t>Industrial Disputes Act (Chapter 131), Section 4(1) — Industrial Award (Gazette 2480/07)</t>
  </si>
  <si>
    <t>m1/raw/2480_07.pdf</t>
  </si>
  <si>
    <t>81c3581c-9f69-4f24-b380-0e542a342097</t>
  </si>
  <si>
    <t>2480_12</t>
  </si>
  <si>
    <t>2480/12</t>
  </si>
  <si>
    <t>Extraordinary Gazette 2480/12 — Government notice</t>
  </si>
  <si>
    <t>m1/raw/2480_12.pdf</t>
  </si>
  <si>
    <t>35470a76-b232-41cb-8e14-f58a37ec2410</t>
  </si>
  <si>
    <t>2480_14</t>
  </si>
  <si>
    <t>2480/14</t>
  </si>
  <si>
    <t>Land Acquisition Act (Chapter 460), Section 38 — Notice of Intended Acquisition (Gazette 2480/14)</t>
  </si>
  <si>
    <t>Notice under Section 38 of the Land Acquisition Act (Chapter 460) declaring intended acquisition of identified land parcels for a public purpose (e.g. highway, irrigation, public infrastructure). Part III — Lands.</t>
  </si>
  <si>
    <t>m1/raw/2480_14.pdf</t>
  </si>
  <si>
    <t>db9c6272-d552-45b4-84de-71d78244d2aa</t>
  </si>
  <si>
    <t>2480_15</t>
  </si>
  <si>
    <t>2480/15</t>
  </si>
  <si>
    <t>Land Acquisition Act (Chapter 460), Section 5 — Notice of Intended Acquisition (Gazette 2480/15)</t>
  </si>
  <si>
    <t>m1/raw/2480_15.pdf</t>
  </si>
  <si>
    <t>aaf0f021-bed0-43f4-9ef2-8666c6319b7f</t>
  </si>
  <si>
    <t>2481_01</t>
  </si>
  <si>
    <t>2481/01</t>
  </si>
  <si>
    <t>Customs Ordinance (Chapter 235) — Customs notification (Gazette 2481/01)</t>
  </si>
  <si>
    <t>m1/raw/2481_01.pdf</t>
  </si>
  <si>
    <t>c65150d0-c954-4e4c-a259-a7cb78c2d1f7</t>
  </si>
  <si>
    <t>2481_11</t>
  </si>
  <si>
    <t>2481/11</t>
  </si>
  <si>
    <t>Land Acquisition Act (Chapter 460), Section 5 — Notice of Intended Acquisition (Gazette 2481/11)</t>
  </si>
  <si>
    <t>m1/raw/2481_11.pdf</t>
  </si>
  <si>
    <t>132c7c1e-de54-4457-a62f-3d74592efac8</t>
  </si>
  <si>
    <t>2481_43</t>
  </si>
  <si>
    <t>2481/43</t>
  </si>
  <si>
    <t>Title Registration Act, No. 21 of 1998, Section 14 — Commissioner of Title Settlement's decision under Section 14 (Gazette 2481/43)</t>
  </si>
  <si>
    <t>m1/raw/2481_43.pdf</t>
  </si>
  <si>
    <t>6c4ab316-d178-4bd1-ac92-3a5e2b5d131a</t>
  </si>
  <si>
    <t>2481_45</t>
  </si>
  <si>
    <t>2481/45</t>
  </si>
  <si>
    <t>Title Registration Act, No. 21 of 1998, Section 14 — Commissioner of Title Settlement's decision under Section 14 (Gazette 2481/45)</t>
  </si>
  <si>
    <t>m1/raw/2481_45.pdf</t>
  </si>
  <si>
    <t>0542126f-1a52-4e5e-b942-f2d1c74834b9</t>
  </si>
  <si>
    <t>2481_47</t>
  </si>
  <si>
    <t>2481/47</t>
  </si>
  <si>
    <t>Title Registration Act, No. 21 of 1998, Section 12 — preliminary notice calling for claims (Gazette 2481/47)</t>
  </si>
  <si>
    <t>m1/raw/2481_47.pdf</t>
  </si>
  <si>
    <t>7c1085b5-b4a3-4cdb-b88d-b112fb74a1c6</t>
  </si>
  <si>
    <t>2478_20</t>
  </si>
  <si>
    <t>2478/20</t>
  </si>
  <si>
    <t>Title Registration Act, No. 21 of 1998, Section 14 — Commissioner of Title Settlement's decision under Section 14 (Gazette 2478/20)</t>
  </si>
  <si>
    <t>m1/raw/2478_20.pdf</t>
  </si>
  <si>
    <t>[see raw_pdf_path]</t>
  </si>
  <si>
    <t>135c550a-4fae-40c8-98f8-7dd7bbd12c56</t>
  </si>
  <si>
    <t>2478_27</t>
  </si>
  <si>
    <t>2478/27</t>
  </si>
  <si>
    <t>Title Registration Act, No. 21 of 1998, Section 14 — Commissioner of Title Settlement's decision under Section 14 (Gazette 2478/27)</t>
  </si>
  <si>
    <t>m1/raw/2478_27.pdf</t>
  </si>
  <si>
    <t>19e2fff7-02e8-41fa-b5a5-54d15b1e564a</t>
  </si>
  <si>
    <t>2478_51</t>
  </si>
  <si>
    <t>2478/51</t>
  </si>
  <si>
    <t>Provincial Councils Act, No. 42 of 1987 — Provincial appointment / notice (Gazette 2478/51)</t>
  </si>
  <si>
    <t>m1/raw/2478_51.pdf</t>
  </si>
  <si>
    <t>7d7ad975-80f7-4000-a8e4-67c3cc95039e</t>
  </si>
  <si>
    <t>2479_09</t>
  </si>
  <si>
    <t>2479/09</t>
  </si>
  <si>
    <t>Title Registration Act, No. 21 of 1998, Section 14 — Commissioner of Title Settlement's decision under Section 14 (Gazette 2479/09)</t>
  </si>
  <si>
    <t>m1/raw/2479_09.pdf</t>
  </si>
  <si>
    <t>29b18c67-d6b9-46cd-b4c8-94ea847addb0</t>
  </si>
  <si>
    <t>2479_18</t>
  </si>
  <si>
    <t>2479/18</t>
  </si>
  <si>
    <t>Title Registration Act, No. 21 of 1998, Section 14 — Commissioner of Title Settlement's decision under Section 14 (Gazette 2479/18)</t>
  </si>
  <si>
    <t>m1/raw/2479_18.pdf</t>
  </si>
  <si>
    <t>6853cdf5-fdf0-40e7-b20b-015d560afb30</t>
  </si>
  <si>
    <t>2479_45</t>
  </si>
  <si>
    <t>2479/45</t>
  </si>
  <si>
    <t>Title Registration Act, No. 21 of 1998, Section 14 — Commissioner of Title Settlement's decision under Section 14 (Gazette 2479/45)</t>
  </si>
  <si>
    <t>m1/raw/2479_45.pdf</t>
  </si>
  <si>
    <t>9f096c18-9d4e-4537-99b4-53046677aee2</t>
  </si>
  <si>
    <t>2481_36</t>
  </si>
  <si>
    <t>2481/36</t>
  </si>
  <si>
    <t>Title Registration Act, No. 21 of 1998, Section 14 — Commissioner of Title Settlement's decision under Section 14 (Gazette 2481/36)</t>
  </si>
  <si>
    <t>m1/raw/2481_36.pdf</t>
  </si>
  <si>
    <t>4dd86c19-a0e0-4e05-9dec-3540e1f71ea2</t>
  </si>
  <si>
    <t>2481_49</t>
  </si>
  <si>
    <t>2481/49</t>
  </si>
  <si>
    <t>Title Registration Act, No. 21 of 1998, Section 14 — Commissioner of Title Settlement's decision under Section 14 (Gazette 2481/49)</t>
  </si>
  <si>
    <t>m1/raw/2481_49.pdf</t>
  </si>
  <si>
    <t>34391b08-de24-445a-8788-f6db7a270614</t>
  </si>
  <si>
    <t>2478_37</t>
  </si>
  <si>
    <t>2478/37</t>
  </si>
  <si>
    <t>Title Registration Act, No. 21 of 1998, Section 14 — Commissioner of Title Settlement's decision under Section 14 (Gazette 2478/37)</t>
  </si>
  <si>
    <t>m1/raw/2478_37.pdf</t>
  </si>
  <si>
    <t>e9e4b601-d240-4931-8481-77dd555d7052</t>
  </si>
  <si>
    <t>2478_46</t>
  </si>
  <si>
    <t>2478/46</t>
  </si>
  <si>
    <t>Title Registration Act, No. 21 of 1998, Section 14 — Commissioner of Title Settlement's decision under Section 14 (Gazette 2478/46)</t>
  </si>
  <si>
    <t>m1/raw/2478_46.pdf</t>
  </si>
  <si>
    <t>3ab1d291-2c04-4212-bbad-f8e40b6b29e5</t>
  </si>
  <si>
    <t>2479_25</t>
  </si>
  <si>
    <t>2479/25</t>
  </si>
  <si>
    <t>Title Registration Act, No. 21 of 1998, Section 14 — Commissioner of Title Settlement's decision under Section 14 (Gazette 2479/25)</t>
  </si>
  <si>
    <t>m1/raw/2479_25.pdf</t>
  </si>
  <si>
    <t>b820ac71-c95c-48b9-8bad-f5bfd32b53e3</t>
  </si>
  <si>
    <t>2479_31</t>
  </si>
  <si>
    <t>2479/31</t>
  </si>
  <si>
    <t>Title Registration Act, No. 21 of 1998, Section 14 — Commissioner of Title Settlement's decision under Section 14 (Gazette 2479/31)</t>
  </si>
  <si>
    <t>m1/raw/2479_31.pdf</t>
  </si>
  <si>
    <t>74d7b061-a695-4388-9227-9f44727c8c8b</t>
  </si>
  <si>
    <t>2479_35</t>
  </si>
  <si>
    <t>2479/35</t>
  </si>
  <si>
    <t>Title Registration Act, No. 21 of 1998, Section 14 — Commissioner of Title Settlement's decision under Section 14 (Gazette 2479/35)</t>
  </si>
  <si>
    <t>m1/raw/2479_35.pdf</t>
  </si>
  <si>
    <t>79f848ad-37f1-4f9d-9446-3e7ce6764094</t>
  </si>
  <si>
    <t>2480_34</t>
  </si>
  <si>
    <t>2480/34</t>
  </si>
  <si>
    <t>Title Registration Act, No. 21 of 1998, Section 14 — Commissioner of Title Settlement's decision under Section 14 (Gazette 2480/34)</t>
  </si>
  <si>
    <t>m1/raw/2480_34.pdf</t>
  </si>
  <si>
    <t>1bcf191d-52f1-4ed2-b9bb-84d7e8128a65</t>
  </si>
  <si>
    <t>2482_07</t>
  </si>
  <si>
    <t>2482/07</t>
  </si>
  <si>
    <t>Pradeshiya Sabha Act, No. 15 of 1987 — Pradeshiya Sabha road/local notice (Gazette 2482/07)</t>
  </si>
  <si>
    <t>Notice under Section 24 of the Pradeshiya Sabha Act, No. 15 of 1987 declaring roads and footpaths as Pradeshiya Sabha property after public objection period. Part IV(B) — Local Government.</t>
  </si>
  <si>
    <t>Pradeshiya Sabha Act, No. 15 of 1987</t>
  </si>
  <si>
    <t>m1/raw/2482_07.pdf</t>
  </si>
  <si>
    <t>196e6a2a-d9f2-4ef4-8f2b-6754cdd1d332</t>
  </si>
  <si>
    <t>2479_03</t>
  </si>
  <si>
    <t>2479/03</t>
  </si>
  <si>
    <t>Title Registration Act, No. 21 of 1998, Section 14 — Commissioner of Title Settlement's decision under Section 14 (Gazette 2479/03)</t>
  </si>
  <si>
    <t>m1/raw/2479_03.pdf</t>
  </si>
  <si>
    <t>d5ab650c-0358-47da-b2f5-174c0a060198</t>
  </si>
  <si>
    <t>2479_05</t>
  </si>
  <si>
    <t>2479/05</t>
  </si>
  <si>
    <t>Title Registration Act, No. 21 of 1998, Section 14 — Commissioner of Title Settlement's decision under Section 14 (Gazette 2479/05)</t>
  </si>
  <si>
    <t>m1/raw/2479_05.pdf</t>
  </si>
  <si>
    <t>88ca6d68-fe32-4841-9f1f-55f543543d8d</t>
  </si>
  <si>
    <t>2479_50</t>
  </si>
  <si>
    <t>2479/50</t>
  </si>
  <si>
    <t>Title Registration Act, No. 21 of 1998, Section 14 — Commissioner of Title Settlement's decision under Section 14 (Gazette 2479/50)</t>
  </si>
  <si>
    <t>m1/raw/2479_50.pdf</t>
  </si>
  <si>
    <t>26376d6a-264c-435c-a248-432b5640d94d</t>
  </si>
  <si>
    <t>2478_04</t>
  </si>
  <si>
    <t>2478/04</t>
  </si>
  <si>
    <t>Sri Lanka Export Development Act, No. 40 of 1979 — Section 14 tariff/import duty order (Gazette 2478/04)</t>
  </si>
  <si>
    <t>Order under Section 14 of the Sri Lanka Export Development Act, No. 40 of 1979 amending the schedule of import tariff items/HS codes with their cess rates and corresponding remarks. Part I — General.</t>
  </si>
  <si>
    <t>Sri Lanka Export Development Act, No. 40 of 1979</t>
  </si>
  <si>
    <t>m1/raw/2478_04.pdf</t>
  </si>
  <si>
    <t>ae60d972-a646-4170-bae2-a726433480f5</t>
  </si>
  <si>
    <t>2479_12</t>
  </si>
  <si>
    <t>2479/12</t>
  </si>
  <si>
    <t>Title Registration Act, No. 21 of 1998, Section 14 — Commissioner of Title Settlement's decision under Section 14 (Gazette 2479/12)</t>
  </si>
  <si>
    <t>m1/raw/2479_12.pdf</t>
  </si>
  <si>
    <t>2187ad3f-98e9-42d3-a2d4-97548219045b</t>
  </si>
  <si>
    <t>2479_39</t>
  </si>
  <si>
    <t>2479/39</t>
  </si>
  <si>
    <t>Lands notice — Extraordinary Gazette 2479/39 (Part III)</t>
  </si>
  <si>
    <t>m1/raw/2479_39.pdf</t>
  </si>
  <si>
    <t>62ec1dcf-d596-4d0a-ba85-f46fd90d19a6</t>
  </si>
  <si>
    <t>2479_41</t>
  </si>
  <si>
    <t>2479/41</t>
  </si>
  <si>
    <t>Title Registration Act, No. 21 of 1998, Section 14 — Commissioner of Title Settlement's decision under Section 14 (Gazette 2479/41)</t>
  </si>
  <si>
    <t>m1/raw/2479_41.pdf</t>
  </si>
  <si>
    <t>ede9d89a-79d8-4325-858c-c7a16e66b4ff</t>
  </si>
  <si>
    <t>2478_47</t>
  </si>
  <si>
    <t>2478/47</t>
  </si>
  <si>
    <t>Title Registration Act, No. 21 of 1998, Section 14 — Commissioner of Title Settlement's decision under Section 14 (Gazette 2478/47)</t>
  </si>
  <si>
    <t>m1/raw/2478_47.pdf</t>
  </si>
  <si>
    <t>994863e9-014f-4e4a-a39a-46f6fd235ac0</t>
  </si>
  <si>
    <t>2481_48</t>
  </si>
  <si>
    <t>2481/48</t>
  </si>
  <si>
    <t>Title Registration Act, No. 21 of 1998, Section 14 — Commissioner of Title Settlement's decision under Section 14 (Gazette 2481/48)</t>
  </si>
  <si>
    <t>m1/raw/2481_48.pdf</t>
  </si>
  <si>
    <t>90597ba7-5510-4409-9456-72c43fc32aac</t>
  </si>
  <si>
    <t>2478_36</t>
  </si>
  <si>
    <t>2478/36</t>
  </si>
  <si>
    <t>Title Registration Act, No. 21 of 1998, Section 14 — Commissioner of Title Settlement's decision under Section 14 (Gazette 2478/36)</t>
  </si>
  <si>
    <t>m1/raw/2478_36.pdf</t>
  </si>
  <si>
    <t>ff3c19dc-b688-43c0-8dbd-dfc07b5622cb</t>
  </si>
  <si>
    <t>2479_10</t>
  </si>
  <si>
    <t>2479/10</t>
  </si>
  <si>
    <t>Title Registration Act, No. 21 of 1998, Section 14 — Commissioner of Title Settlement's decision under Section 14 (Gazette 2479/10)</t>
  </si>
  <si>
    <t>m1/raw/2479_10.pdf</t>
  </si>
  <si>
    <t>d56c8247-3634-4cd2-b887-ce98b8a7c6e4</t>
  </si>
  <si>
    <t>2479_32</t>
  </si>
  <si>
    <t>2479/32</t>
  </si>
  <si>
    <t>Title Registration Act, No. 21 of 1998, Section 14 — Commissioner of Title Settlement's decision under Section 14 (Gazette 2479/32)</t>
  </si>
  <si>
    <t>m1/raw/2479_32.pdf</t>
  </si>
  <si>
    <t>21d504f8-7775-420c-82da-7637ea2a5fa7</t>
  </si>
  <si>
    <t>2479_48</t>
  </si>
  <si>
    <t>2479/48</t>
  </si>
  <si>
    <t>Title Registration Act, No. 21 of 1998, Section 14 — Commissioner of Title Settlement's decision under Section 14 (Gazette 2479/48)</t>
  </si>
  <si>
    <t>m1/raw/2479_48.pdf</t>
  </si>
  <si>
    <t>d5289984-cc81-4d2d-b60f-a041279b4eea</t>
  </si>
  <si>
    <t>2481_28</t>
  </si>
  <si>
    <t>2481/28</t>
  </si>
  <si>
    <t>Industrial Disputes Act (Chapter 131), Section 4(1) — Industrial Award (Gazette 2481/28)</t>
  </si>
  <si>
    <t>m1/raw/2481_28.pdf</t>
  </si>
  <si>
    <t>dedb04b7-3834-46aa-82e4-3b4ea02d0f51</t>
  </si>
  <si>
    <t>2478_40</t>
  </si>
  <si>
    <t>2478/40</t>
  </si>
  <si>
    <t>Title Registration Act, No. 21 of 1998, Section 14 — Commissioner of Title Settlement's decision under Section 14 (Gazette 2478/40)</t>
  </si>
  <si>
    <t>m1/raw/2478_40.pdf</t>
  </si>
  <si>
    <t>aa973983-744d-4771-8ef1-014fb9563054</t>
  </si>
  <si>
    <t>2479_44</t>
  </si>
  <si>
    <t>2479/44</t>
  </si>
  <si>
    <t>Title Registration Act, No. 21 of 1998, Section 14 — Commissioner of Title Settlement's decision under Section 14 (Gazette 2479/44)</t>
  </si>
  <si>
    <t>m1/raw/2479_44.pdf</t>
  </si>
  <si>
    <t>b8a92ef0-27d9-4fc2-93f5-e71898c759b6</t>
  </si>
  <si>
    <t>2480_28</t>
  </si>
  <si>
    <t>2480/28</t>
  </si>
  <si>
    <t>Title Registration Act, No. 21 of 1998, Section 14 — Commissioner of Title Settlement's decision under Section 14 (Gazette 2480/28)</t>
  </si>
  <si>
    <t>m1/raw/2480_28.pdf</t>
  </si>
  <si>
    <t>8546bee5-d894-48ae-b2e2-7c49c06d9ed2</t>
  </si>
  <si>
    <t>2480_35</t>
  </si>
  <si>
    <t>2480/35</t>
  </si>
  <si>
    <t>Title Registration Act, No. 21 of 1998, Section 14 — Commissioner of Title Settlement's decision under Section 14 (Gazette 2480/35)</t>
  </si>
  <si>
    <t>m1/raw/2480_35.pdf</t>
  </si>
  <si>
    <t>4eb02346-6e1b-4109-b52f-3cfd5f1d6b9b</t>
  </si>
  <si>
    <t>2478_15</t>
  </si>
  <si>
    <t>2478/15</t>
  </si>
  <si>
    <t>Title Registration Act, No. 21 of 1998, Section 14 — Commissioner of Title Settlement's decision under Section 14 (Gazette 2478/15)</t>
  </si>
  <si>
    <t>m1/raw/2478_15.pdf</t>
  </si>
  <si>
    <t>6b0657fc-190d-4f73-8183-28f06a26479c</t>
  </si>
  <si>
    <t>2478_25</t>
  </si>
  <si>
    <t>2478/25</t>
  </si>
  <si>
    <t>Sri Lanka Armed Services Long Service Medal — Award notice (Gazette 2478/25)</t>
  </si>
  <si>
    <t>m1/raw/2478_25.pdf</t>
  </si>
  <si>
    <t>da1828d4-b948-431e-bd73-4b3553e43597</t>
  </si>
  <si>
    <t>2480_48</t>
  </si>
  <si>
    <t>2480/48</t>
  </si>
  <si>
    <t>Companies Act, No. 07 of 2007 — Companies regulations (Gazette 2480/48)</t>
  </si>
  <si>
    <t>Regulations made under the Companies Act, No. 07 of 2007 by the Minister of Trade, Commerce, Food Security and Co-operative Development covering company filings, registers, and procedures. Part I — General.</t>
  </si>
  <si>
    <t>Companies Act, No. 07 of 2007</t>
  </si>
  <si>
    <t>corporate</t>
  </si>
  <si>
    <t>m1/raw/2480_48.pdf</t>
  </si>
  <si>
    <t>f2d2ebd9-c87f-444a-a81f-f8215dde9c86</t>
  </si>
  <si>
    <t>2479_46</t>
  </si>
  <si>
    <t>2479/46</t>
  </si>
  <si>
    <t>Title Registration Act, No. 21 of 1998, Section 14 — Commissioner of Title Settlement's decision under Section 14 (Gazette 2479/46)</t>
  </si>
  <si>
    <t>m1/raw/2479_46.pdf</t>
  </si>
  <si>
    <t>6207d00a-8400-4f0a-93e6-51fb62d5dcc7</t>
  </si>
  <si>
    <t>2481_04</t>
  </si>
  <si>
    <t>2481/04</t>
  </si>
  <si>
    <t>Title Registration Act, No. 21 of 1998, Section 14 — Commissioner of Title Settlement's decision under Section 14 (Gazette 2481/04)</t>
  </si>
  <si>
    <t>m1/raw/2481_04.pdf</t>
  </si>
  <si>
    <t>c5f570e6-ce73-4556-a703-023879bc5e59</t>
  </si>
  <si>
    <t>2481_15</t>
  </si>
  <si>
    <t>2481/15</t>
  </si>
  <si>
    <t>Title Registration Act, No. 21 of 1998, Section 14 — Commissioner of Title Settlement's decision under Section 14 (Gazette 2481/15)</t>
  </si>
  <si>
    <t>m1/raw/2481_15.pdf</t>
  </si>
  <si>
    <t>6e3c1b3e-3fa4-4346-847a-033689e19663</t>
  </si>
  <si>
    <t>2478_10</t>
  </si>
  <si>
    <t>2478/10</t>
  </si>
  <si>
    <t>Title Registration Act, No. 21 of 1998, Section 14 — Commissioner of Title Settlement's decision under Section 14 (Gazette 2478/10)</t>
  </si>
  <si>
    <t>m1/raw/2478_10.pdf</t>
  </si>
  <si>
    <t>04873e63-a4fb-4788-9ae3-ed385efc8724</t>
  </si>
  <si>
    <t>2479_40</t>
  </si>
  <si>
    <t>2479/40</t>
  </si>
  <si>
    <t>Title Registration Act, No. 21 of 1998, Section 14 — Commissioner of Title Settlement's decision under Section 14 (Gazette 2479/40)</t>
  </si>
  <si>
    <t>m1/raw/2479_40.pdf</t>
  </si>
  <si>
    <t>76163500-c2d4-438a-91a2-42dd779f7beb</t>
  </si>
  <si>
    <t>2481_05</t>
  </si>
  <si>
    <t>2481/05</t>
  </si>
  <si>
    <t>Land Acquisition Act (Chapter 460), Section 5 — Notice of Intended Acquisition (Gazette 2481/05)</t>
  </si>
  <si>
    <t>m1/raw/2481_05.pdf</t>
  </si>
  <si>
    <t>574316ae-018e-4eb9-9354-ef0bb09ff7c1</t>
  </si>
  <si>
    <t>2482_02</t>
  </si>
  <si>
    <t>2482/02</t>
  </si>
  <si>
    <t>Title Registration Act, No. 21 of 1998, Section 14 — Commissioner of Title Settlement's decision under Section 14 (Gazette 2482/02)</t>
  </si>
  <si>
    <t>m1/raw/2482_02.pdf</t>
  </si>
  <si>
    <t>947042b9-da13-4ae8-b81f-28a7c4ad6cba</t>
  </si>
  <si>
    <t>2482_03</t>
  </si>
  <si>
    <t>2482/03</t>
  </si>
  <si>
    <t>Provincial Councils Act, No. 42 of 1987 — Provincial appointment / notice (Gazette 2482/03)</t>
  </si>
  <si>
    <t>m1/raw/2482_03.pdf</t>
  </si>
  <si>
    <t>7998699d-a9f2-4710-bf0e-f58de72fa79d</t>
  </si>
  <si>
    <t>2481_03</t>
  </si>
  <si>
    <t>2481/03</t>
  </si>
  <si>
    <t>Veterinary Surgeons and Practitioners Act, No. 46 of 1956 — Notice (Gazette 2481/03)</t>
  </si>
  <si>
    <t>m1/raw/2481_03.pdf</t>
  </si>
  <si>
    <t>dc82bac2-d691-473a-b5b1-56eda973a6ff</t>
  </si>
  <si>
    <t>2478_22</t>
  </si>
  <si>
    <t>2478/22</t>
  </si>
  <si>
    <t>Title Registration Act, No. 21 of 1998, Section 14 — Commissioner of Title Settlement's decision under Section 14 (Gazette 2478/22)</t>
  </si>
  <si>
    <t>m1/raw/2478_22.pdf</t>
  </si>
  <si>
    <t>0ddba781-3027-474b-b998-87c5a83b527a</t>
  </si>
  <si>
    <t>2478_35</t>
  </si>
  <si>
    <t>2478/35</t>
  </si>
  <si>
    <t>Title Registration Act, No. 21 of 1998, Section 14 — Commissioner of Title Settlement's decision under Section 14 (Gazette 2478/35)</t>
  </si>
  <si>
    <t>m1/raw/2478_35.pdf</t>
  </si>
  <si>
    <t>8a21f97d-c11f-40fd-a62a-bb60760d5383</t>
  </si>
  <si>
    <t>2479_17</t>
  </si>
  <si>
    <t>2479/17</t>
  </si>
  <si>
    <t>Title Registration Act, No. 21 of 1998, Section 14 — Commissioner of Title Settlement's decision under Section 14 (Gazette 2479/17)</t>
  </si>
  <si>
    <t>m1/raw/2479_17.pdf</t>
  </si>
  <si>
    <t>32c6f195-a673-49fc-8ebe-60125404de73</t>
  </si>
  <si>
    <t>2481_10</t>
  </si>
  <si>
    <t>2481/10</t>
  </si>
  <si>
    <t>Inland Revenue Act — Tax notice (Gazette 2481/10)</t>
  </si>
  <si>
    <t>Notice under the Inland Revenue Act covering income tax, VAT or related tax administration.</t>
  </si>
  <si>
    <t>Inland Revenue Act, No. 24 of 2017</t>
  </si>
  <si>
    <t>m1/raw/2481_10.pdf</t>
  </si>
  <si>
    <t>f589caa9-1334-4982-a2aa-7095e0639ed2</t>
  </si>
  <si>
    <t>2478_39</t>
  </si>
  <si>
    <t>2478/39</t>
  </si>
  <si>
    <t>Title Registration Act, No. 21 of 1998, Section 14 — Commissioner of Title Settlement's decision under Section 14 (Gazette 2478/39)</t>
  </si>
  <si>
    <t>m1/raw/2478_39.pdf</t>
  </si>
  <si>
    <t>c63cd2fd-0e63-4101-b80a-79b0578b1fbb</t>
  </si>
  <si>
    <t>2479_13</t>
  </si>
  <si>
    <t>2479/13</t>
  </si>
  <si>
    <t>Title Registration Act, No. 21 of 1998, Section 14 — Commissioner of Title Settlement's decision under Section 14 (Gazette 2479/13)</t>
  </si>
  <si>
    <t>m1/raw/2479_13.pdf</t>
  </si>
  <si>
    <t>c11458c9-1a1c-42de-b329-49cb7abea41b</t>
  </si>
  <si>
    <t>2482_06</t>
  </si>
  <si>
    <t>2482/06</t>
  </si>
  <si>
    <t>Extraordinary Gazette 2482/06 — Government notice</t>
  </si>
  <si>
    <t>m1/raw/2482_06.pdf</t>
  </si>
  <si>
    <t>1037325c-f68a-47a3-ad4e-e55585f363c3</t>
  </si>
  <si>
    <t>2479_36</t>
  </si>
  <si>
    <t>2479/36</t>
  </si>
  <si>
    <t>Sri Lanka Electricity (Amendment) Act, No. 36 of 2024 — Transition/restructuring plan (Gazette 2479/36)</t>
  </si>
  <si>
    <t>Plan published under Section 18(2)(a) of the Sri Lanka Electricity (Amendment) Act, No. 36 of 2024 covering the transition, restructuring and reorganisation of the Sri Lanka electricity industry. Part I — General.</t>
  </si>
  <si>
    <t>Sri Lanka Electricity (Amendment) Act, No. 36 of 2024</t>
  </si>
  <si>
    <t>structural_change</t>
  </si>
  <si>
    <t>m1/raw/2479_36.pdf</t>
  </si>
  <si>
    <t>a5602f8a-9c6c-4f70-bea9-0364e0a2184b</t>
  </si>
  <si>
    <t>2482_01</t>
  </si>
  <si>
    <t>2482/01</t>
  </si>
  <si>
    <t>m1/raw/2482_01.pdf</t>
  </si>
  <si>
    <t>c717e4fa-5026-4692-9bd6-6b41d134d884</t>
  </si>
  <si>
    <t>2478_19</t>
  </si>
  <si>
    <t>2478/19</t>
  </si>
  <si>
    <t>m1/raw/2478_19.pdf</t>
  </si>
  <si>
    <t>ee887ae9-a10e-4d4c-bd64-876009aa11f2</t>
  </si>
  <si>
    <t>2479_04</t>
  </si>
  <si>
    <t>2479/04</t>
  </si>
  <si>
    <t>m1/raw/2479_04.pdf</t>
  </si>
  <si>
    <t>b4fb45fd-adad-459d-808c-4ad4e852de17</t>
  </si>
  <si>
    <t>2479_56</t>
  </si>
  <si>
    <t>2479/56</t>
  </si>
  <si>
    <t>m1/raw/2479_56.pdf</t>
  </si>
  <si>
    <t>242e0fcc-20cd-41e2-993d-efd1d8d6c810</t>
  </si>
  <si>
    <t>2480_02</t>
  </si>
  <si>
    <t>2480/02</t>
  </si>
  <si>
    <t>m1/raw/2480_02.pdf</t>
  </si>
  <si>
    <t>9d75b51a-504e-47a7-9b74-14f89f978c22</t>
  </si>
  <si>
    <t>2480_05</t>
  </si>
  <si>
    <t>2480/05</t>
  </si>
  <si>
    <t>m1/raw/2480_05.pdf</t>
  </si>
  <si>
    <t>5604a569-5ce4-4c20-acee-07340d3bf9b8</t>
  </si>
  <si>
    <t>2480_09</t>
  </si>
  <si>
    <t>2480/09</t>
  </si>
  <si>
    <t>m1/raw/2480_09.pdf</t>
  </si>
  <si>
    <t>b975e194-54e6-4520-835d-2807e6d89cf2</t>
  </si>
  <si>
    <t>2480_31</t>
  </si>
  <si>
    <t>2480/31</t>
  </si>
  <si>
    <t>m1/raw/2480_31.pdf</t>
  </si>
  <si>
    <t>5b37884d-7cbd-44e7-9485-1dd53d90f0e8</t>
  </si>
  <si>
    <t>2480_36</t>
  </si>
  <si>
    <t>2480/36</t>
  </si>
  <si>
    <t>m1/raw/2480_36.pdf</t>
  </si>
  <si>
    <t>59a1f97b-874c-4555-b942-4c07a7eddc32</t>
  </si>
  <si>
    <t>2481_09</t>
  </si>
  <si>
    <t>2481/09</t>
  </si>
  <si>
    <t>m1/raw/2481_09.pdf</t>
  </si>
  <si>
    <t>de0eb75d-dbeb-4d80-a3a1-a2b7f8596d35</t>
  </si>
  <si>
    <t>2481_22</t>
  </si>
  <si>
    <t>2481/22</t>
  </si>
  <si>
    <t>m1/raw/2481_22.pdf</t>
  </si>
  <si>
    <t>21a82f91-2575-490c-85da-a8a19eb0eaec</t>
  </si>
  <si>
    <t>2481_26</t>
  </si>
  <si>
    <t>2481/26</t>
  </si>
  <si>
    <t>m1/raw/2481_26.pdf</t>
  </si>
  <si>
    <t>588ee4c5-05f7-4f5a-bd50-89642e7c8c63</t>
  </si>
  <si>
    <t>2481_40</t>
  </si>
  <si>
    <t>2481/40</t>
  </si>
  <si>
    <t>m1/raw/2481_40.pdf</t>
  </si>
  <si>
    <t>89186753-adf9-4916-a501-7a454c80cb54</t>
  </si>
  <si>
    <t>2481_44</t>
  </si>
  <si>
    <t>2481/44</t>
  </si>
  <si>
    <t>m1/raw/2481_44.pdf</t>
  </si>
  <si>
    <t>6fd4a21a-561d-47d8-8e10-dee7d89d699d</t>
  </si>
  <si>
    <t>2478_05</t>
  </si>
  <si>
    <t>2478/05</t>
  </si>
  <si>
    <t>m1/raw/2478_05.pdf</t>
  </si>
  <si>
    <t>58e6a512-7f91-45f9-8c0b-dbc04c2f33c1</t>
  </si>
  <si>
    <t>2478_17</t>
  </si>
  <si>
    <t>2478/17</t>
  </si>
  <si>
    <t>m1/raw/2478_17.pdf</t>
  </si>
  <si>
    <t>d8658a78-bd90-49ae-bcf2-8b96a930f95e</t>
  </si>
  <si>
    <t>2478_18</t>
  </si>
  <si>
    <t>2478/18</t>
  </si>
  <si>
    <t>m1/raw/2478_18.pdf</t>
  </si>
  <si>
    <t>efc27383-615c-46d9-ae7a-3ef47602e9f5</t>
  </si>
  <si>
    <t>2478_33</t>
  </si>
  <si>
    <t>2478/33</t>
  </si>
  <si>
    <t>m1/raw/2478_33.pdf</t>
  </si>
  <si>
    <t>aa998c3b-bb24-4e74-bcec-044b4fc10047</t>
  </si>
  <si>
    <t>2478_53</t>
  </si>
  <si>
    <t>2478/53</t>
  </si>
  <si>
    <t>m1/raw/2478_53.pdf</t>
  </si>
  <si>
    <t>d39366a7-4528-43ac-9da2-d33259738976</t>
  </si>
  <si>
    <t>2479_06</t>
  </si>
  <si>
    <t>2479/06</t>
  </si>
  <si>
    <t>m1/raw/2479_06.pdf</t>
  </si>
  <si>
    <t>a1431145-6e50-4acf-9178-6f87449438bf</t>
  </si>
  <si>
    <t>2479_20</t>
  </si>
  <si>
    <t>2479/20</t>
  </si>
  <si>
    <t>m1/raw/2479_20.pdf</t>
  </si>
  <si>
    <t>f7f410e2-dc16-4ae5-9f5c-745747a4a6f8</t>
  </si>
  <si>
    <t>2479_26</t>
  </si>
  <si>
    <t>2479/26</t>
  </si>
  <si>
    <t>m1/raw/2479_26.pdf</t>
  </si>
  <si>
    <t>3cd56dc2-f4c6-4a58-8378-334d5be6dcd8</t>
  </si>
  <si>
    <t>2479_43</t>
  </si>
  <si>
    <t>2479/43</t>
  </si>
  <si>
    <t>m1/raw/2479_43.pdf</t>
  </si>
  <si>
    <t>99152bbb-d677-44c5-8ce1-50ab436827f5</t>
  </si>
  <si>
    <t>2480_10</t>
  </si>
  <si>
    <t>2480/10</t>
  </si>
  <si>
    <t>m1/raw/2480_10.pdf</t>
  </si>
  <si>
    <t>45de2312-8019-4c28-8d5a-5a03f990507b</t>
  </si>
  <si>
    <t>2480_29</t>
  </si>
  <si>
    <t>2480/29</t>
  </si>
  <si>
    <t>m1/raw/2480_29.pdf</t>
  </si>
  <si>
    <t>794df4ec-c0ac-4d77-80ae-9dea0bbe7c21</t>
  </si>
  <si>
    <t>2480_30</t>
  </si>
  <si>
    <t>2480/30</t>
  </si>
  <si>
    <t>m1/raw/2480_30.pdf</t>
  </si>
  <si>
    <t>f077f8c3-e980-4261-8ae3-c60888b32fb3</t>
  </si>
  <si>
    <t>2480_32</t>
  </si>
  <si>
    <t>2480/32</t>
  </si>
  <si>
    <t>m1/raw/2480_32.pdf</t>
  </si>
  <si>
    <t>b7bf3d44-8b7d-4c7f-9f50-c6d35408e048</t>
  </si>
  <si>
    <t>2480_40</t>
  </si>
  <si>
    <t>2480/40</t>
  </si>
  <si>
    <t>m1/raw/2480_40.pdf</t>
  </si>
  <si>
    <t>7b1563cd-5022-4c22-8327-2fc6a28734cd</t>
  </si>
  <si>
    <t>2480_41</t>
  </si>
  <si>
    <t>2480/41</t>
  </si>
  <si>
    <t>m1/raw/2480_41.pdf</t>
  </si>
  <si>
    <t>501a0b87-9404-44df-af98-bec7cf2c9a21</t>
  </si>
  <si>
    <t>2481_17</t>
  </si>
  <si>
    <t>2481/17</t>
  </si>
  <si>
    <t>m1/raw/2481_17.pdf</t>
  </si>
  <si>
    <t>971da801-d723-4871-8ce5-e1d9b39f7216</t>
  </si>
  <si>
    <t>2481_31</t>
  </si>
  <si>
    <t>2481/31</t>
  </si>
  <si>
    <t>m1/raw/2481_31.pdf</t>
  </si>
  <si>
    <t>3e93d81e-6938-4e6d-8e43-88d4a878b550</t>
  </si>
  <si>
    <t>2481_50</t>
  </si>
  <si>
    <t>2481/50</t>
  </si>
  <si>
    <t>m1/raw/2481_50.pdf</t>
  </si>
  <si>
    <t>02be0969-d2b6-45ea-b408-22620d3b7cca</t>
  </si>
  <si>
    <t>2482_08</t>
  </si>
  <si>
    <t>2482/08</t>
  </si>
  <si>
    <t>m1/raw/2482_08.pdf</t>
  </si>
  <si>
    <t>2f7dd863-4b89-4f3b-9a13-40643b927cfd</t>
  </si>
  <si>
    <t>2478_48</t>
  </si>
  <si>
    <t>2478/48</t>
  </si>
  <si>
    <t>m1/raw/2478_48.pdf</t>
  </si>
  <si>
    <t>2a64961b-0c34-4230-aeb1-5f03c685d0c5</t>
  </si>
  <si>
    <t>2478_49</t>
  </si>
  <si>
    <t>2478/49</t>
  </si>
  <si>
    <t>m1/raw/2478_49.pdf</t>
  </si>
  <si>
    <t>e0a4552c-2e50-4f5b-a240-84e9555a41a3</t>
  </si>
  <si>
    <t>2478_50</t>
  </si>
  <si>
    <t>2478/50</t>
  </si>
  <si>
    <t>m1/raw/2478_50.pdf</t>
  </si>
  <si>
    <t>c6fe3d4b-f21e-4143-b79f-3761c865423a</t>
  </si>
  <si>
    <t>2478_55</t>
  </si>
  <si>
    <t>2478/55</t>
  </si>
  <si>
    <t>m1/raw/2478_55.pdf</t>
  </si>
  <si>
    <t>88c3a3bc-3328-46f5-8410-b099a66b5356</t>
  </si>
  <si>
    <t>2479_02</t>
  </si>
  <si>
    <t>2479/02</t>
  </si>
  <si>
    <t>m1/raw/2479_02.pdf</t>
  </si>
  <si>
    <t>5bd71fc8-ef40-4130-896e-9543551bccf6</t>
  </si>
  <si>
    <t>2479_07</t>
  </si>
  <si>
    <t>2479/07</t>
  </si>
  <si>
    <t>m1/raw/2479_07.pdf</t>
  </si>
  <si>
    <t>2026-05-18T12:48:38Z</t>
  </si>
  <si>
    <t>33ebf2fe-fece-4376-b91e-793d14d39e82</t>
  </si>
  <si>
    <t>2479_14</t>
  </si>
  <si>
    <t>2479/14</t>
  </si>
  <si>
    <t>m1/raw/2479_14.pdf</t>
  </si>
  <si>
    <t>7dad33e2-4466-4624-add0-e6e8b70e9bcb</t>
  </si>
  <si>
    <t>2479_21</t>
  </si>
  <si>
    <t>2479/21</t>
  </si>
  <si>
    <t>m1/raw/2479_21.pdf</t>
  </si>
  <si>
    <t>09d507cd-a85a-4907-923d-b780d4fff528</t>
  </si>
  <si>
    <t>2479_28</t>
  </si>
  <si>
    <t>2479/28</t>
  </si>
  <si>
    <t>m1/raw/2479_28.pdf</t>
  </si>
  <si>
    <t>568122bf-cdc4-4186-834f-27c6fb8be3cf</t>
  </si>
  <si>
    <t>2479_29</t>
  </si>
  <si>
    <t>2479/29</t>
  </si>
  <si>
    <t>m1/raw/2479_29.pdf</t>
  </si>
  <si>
    <t>beb0f5ad-2902-47e2-9cac-4c2cebe295df</t>
  </si>
  <si>
    <t>2479_51</t>
  </si>
  <si>
    <t>2479/51</t>
  </si>
  <si>
    <t>m1/raw/2479_51.pdf</t>
  </si>
  <si>
    <t>21c62ea7-780e-4405-82d7-f357f26f2e6f</t>
  </si>
  <si>
    <t>2480_04</t>
  </si>
  <si>
    <t>2480/04</t>
  </si>
  <si>
    <t>m1/raw/2480_04.pdf</t>
  </si>
  <si>
    <t>b1121d7c-12f5-4173-a2c4-4d33c868c44b</t>
  </si>
  <si>
    <t>2480_21</t>
  </si>
  <si>
    <t>2480/21</t>
  </si>
  <si>
    <t>m1/raw/2480_21.pdf</t>
  </si>
  <si>
    <t>11c17a1d-37ed-4d53-8962-ebd79f53203c</t>
  </si>
  <si>
    <t>2481_33</t>
  </si>
  <si>
    <t>2481/33</t>
  </si>
  <si>
    <t>m1/raw/2481_33.pdf</t>
  </si>
  <si>
    <t>a43f6f7d-6b56-4406-bbd4-ad4caa58825b</t>
  </si>
  <si>
    <t>2481_54</t>
  </si>
  <si>
    <t>2481/54</t>
  </si>
  <si>
    <t>m1/raw/2481_54.pdf</t>
  </si>
  <si>
    <t>436f2b3f-99f6-4fe9-85e6-9f6cb719673d</t>
  </si>
  <si>
    <t>2478_11</t>
  </si>
  <si>
    <t>2478/11</t>
  </si>
  <si>
    <t>m1/raw/2478_11.pdf</t>
  </si>
  <si>
    <t>3292e8fa-d70a-4ab7-852c-1e2a19b8dae3</t>
  </si>
  <si>
    <t>2478_13</t>
  </si>
  <si>
    <t>2478/13</t>
  </si>
  <si>
    <t>m1/raw/2478_13.pdf</t>
  </si>
  <si>
    <t>Customs Ordinance — Customs notice (Gazette 2482/01)</t>
  </si>
  <si>
    <t>Land Acquisition Act (Chapter 460), Section 5 — Notice of Intended Acquisition (Gazette 2478/19)</t>
  </si>
  <si>
    <t>Title Registration Act, No. 21 of 1998, Section 14 — Commissioner of Title Settlement's decision under Section 14 (Gazette 2479/04)</t>
  </si>
  <si>
    <t>Extraordinary Gazette 2479/56 — Government notice</t>
  </si>
  <si>
    <t>Extraordinary Gazette 2480/02 — Government notice</t>
  </si>
  <si>
    <t>Industrial Disputes Act (Chapter 131), Section 4(1) — Industrial Award (Gazette 2480/05)</t>
  </si>
  <si>
    <t>Industrial Disputes Act (Chapter 131), Section 4(1) — Industrial Award (Gazette 2480/09)</t>
  </si>
  <si>
    <t>Title Registration Act, No. 21 of 1998, Section 14 — Commissioner of Title Settlement's decision under Section 14 (Gazette 2480/31)</t>
  </si>
  <si>
    <t>Title Registration Act, No. 21 of 1998, Section 14 — Commissioner of Title Settlement's decision under Section 14 (Gazette 2480/36)</t>
  </si>
  <si>
    <t>Extraordinary Gazette 2481/09 — Government notice</t>
  </si>
  <si>
    <t>Value Added Tax Act, No. 14 of 2002 — VAT notice (Gazette 2481/22)</t>
  </si>
  <si>
    <t>Land Acquisition Act (Chapter 460), Section 5 — Notice of Intended Acquisition (Gazette 2481/26)</t>
  </si>
  <si>
    <t>Title Registration Act, No. 21 of 1998, Section 14 — Commissioner of Title Settlement's decision under Section 14 (Gazette 2481/40)</t>
  </si>
  <si>
    <t>Title Registration Act, No. 21 of 1998, Section 14 — Commissioner of Title Settlement's decision under Section 14 (Gazette 2481/44)</t>
  </si>
  <si>
    <t>Extraordinary Gazette 2478/05 — Government notice</t>
  </si>
  <si>
    <t>Extraordinary Gazette 2478/17 — Government notice</t>
  </si>
  <si>
    <t>Land Acquisition Act (Chapter 460), Section 5 — Notice of Intended Acquisition (Gazette 2478/18)</t>
  </si>
  <si>
    <t>Title Registration Act, No. 21 of 1998, Section 14 — Commissioner of Title Settlement's decision under Section 14 (Gazette 2478/33)</t>
  </si>
  <si>
    <t>Land Acquisition Act (Chapter 460), Section 5 — Notice of Intended Acquisition (Gazette 2478/53)</t>
  </si>
  <si>
    <t>Title Registration Act, No. 21 of 1998, Section 12 — preliminary notice calling for claims (Gazette 2479/06)</t>
  </si>
  <si>
    <t>Title Registration Act, No. 21 of 1998, Section 14 — Commissioner of Title Settlement's decision under Section 14 (Gazette 2479/20)</t>
  </si>
  <si>
    <t>Title Registration Act, No. 21 of 1998, Section 14 — Commissioner of Title Settlement's decision under Section 14 (Gazette 2479/26)</t>
  </si>
  <si>
    <t>Title Registration Act, No. 21 of 1998, Section 14 — Commissioner of Title Settlement's decision under Section 14 (Gazette 2479/43)</t>
  </si>
  <si>
    <t>Land Acquisition Act (Chapter 460), Section 5 — Notice of Intended Acquisition (Gazette 2480/10)</t>
  </si>
  <si>
    <t>Title Registration Act, No. 21 of 1998, Section 14 — Commissioner of Title Settlement's decision under Section 14 (Gazette 2480/29)</t>
  </si>
  <si>
    <t>Title Registration Act, No. 21 of 1998, Section 14 — Commissioner of Title Settlement's decision under Section 14 (Gazette 2480/30)</t>
  </si>
  <si>
    <t>Title Registration Act, No. 21 of 1998, Section 14 — Commissioner of Title Settlement's decision under Section 14 (Gazette 2480/32)</t>
  </si>
  <si>
    <t>Title Registration Act, No. 21 of 1998, Section 14 — Commissioner of Title Settlement's decision under Section 14 (Gazette 2480/40)</t>
  </si>
  <si>
    <t>Title Registration Act, No. 21 of 1998, Section 14 — Commissioner of Title Settlement's decision under Section 14 (Gazette 2480/41)</t>
  </si>
  <si>
    <t>Inland Revenue Act — Tax notice (Gazette 2481/17)</t>
  </si>
  <si>
    <t>Title Registration Act, No. 21 of 1998, Section 12 — preliminary notice calling for claims (Gazette 2481/31)</t>
  </si>
  <si>
    <t>Title Registration Act, No. 21 of 1998, Section 14 — Commissioner of Title Settlement's decision under Section 14 (Gazette 2481/50)</t>
  </si>
  <si>
    <t>Extraordinary Gazette 2482/08 — Government notice</t>
  </si>
  <si>
    <t>Title Registration Act, No. 21 of 1998, Section 12 — preliminary notice calling for claims (Gazette 2478/48)</t>
  </si>
  <si>
    <t>Extraordinary Gazette 2478/49 — Government notice</t>
  </si>
  <si>
    <t>Extraordinary Gazette 2478/50 — Government notice</t>
  </si>
  <si>
    <t>Land Acquisition Act (Chapter 460), Section 5 — Notice of Intended Acquisition (Gazette 2478/55)</t>
  </si>
  <si>
    <t>Title Registration Act, No. 21 of 1998, Section 14 — Commissioner of Title Settlement's decision under Section 14 (Gazette 2479/02)</t>
  </si>
  <si>
    <t>Title Registration Act, No. 21 of 1998, Section 14 — Commissioner of Title Settlement's decision under Section 14 (Gazette 2479/07)</t>
  </si>
  <si>
    <t>Title Registration Act, No. 21 of 1998, Section 14 — Commissioner of Title Settlement's decision under Section 14 (Gazette 2479/14)</t>
  </si>
  <si>
    <t>Extraordinary Gazette 2479/21 — Government notice</t>
  </si>
  <si>
    <t>Title Registration Act, No. 21 of 1998, Section 14 — Commissioner of Title Settlement's decision under Section 14 (Gazette 2479/28)</t>
  </si>
  <si>
    <t>Title Registration Act, No. 21 of 1998, Section 14 — Commissioner of Title Settlement's decision under Section 14 (Gazette 2479/29)</t>
  </si>
  <si>
    <t>Title Registration Act, No. 21 of 1998, Section 12 — preliminary notice calling for claims (Gazette 2479/51)</t>
  </si>
  <si>
    <t>Industrial Disputes Act (Chapter 131), Section 4(1) — Industrial Award (Gazette 2480/04)</t>
  </si>
  <si>
    <t>Title Registration Act, No. 21 of 1998, Section 14 — Commissioner of Title Settlement's decision under Section 14 (Gazette 2480/21)</t>
  </si>
  <si>
    <t>Title Registration Act, No. 21 of 1998, Section 14 — Commissioner of Title Settlement's decision under Section 14 (Gazette 2481/33)</t>
  </si>
  <si>
    <t>Title Registration Act, No. 21 of 1998, Section 14 — Commissioner of Title Settlement's decision under Section 14 (Gazette 2481/54)</t>
  </si>
  <si>
    <t>Title Registration Act, No. 21 of 1998, Section 14 — Commissioner of Title Settlement's decision under Section 14 (Gazette 2478/11)</t>
  </si>
  <si>
    <t>Title Registration Act, No. 21 of 1998, Section 14 — Commissioner of Title Settlement's decision under Section 14 (Gazette 2478/13)</t>
  </si>
  <si>
    <t>a0caf04e-5b68-4edf-8911-f490e40028fc</t>
  </si>
  <si>
    <t>2483_41</t>
  </si>
  <si>
    <t>2483/41</t>
  </si>
  <si>
    <t>Customs Ordinance (Chapter 235) — Customs notification (Gazette 2483/41)</t>
  </si>
  <si>
    <t>m1/raw/2483_41.pdf</t>
  </si>
  <si>
    <t>e699bff5-d16e-48cf-8eeb-75d912772cf5</t>
  </si>
  <si>
    <t>2483_79</t>
  </si>
  <si>
    <t>2483/79</t>
  </si>
  <si>
    <t>Customs Ordinance (Chapter 235) — Customs notification (Gazette 2483/79)</t>
  </si>
  <si>
    <t>m1/raw/2483_79.pdf</t>
  </si>
  <si>
    <t>b1f41575-8784-46a6-903d-9e4bb247968a</t>
  </si>
  <si>
    <t>2483_70</t>
  </si>
  <si>
    <t>2483/70</t>
  </si>
  <si>
    <t>Customs Ordinance (Chapter 235) — Customs notification (Gazette 2483/70)</t>
  </si>
  <si>
    <t>m1/raw/2483_70.pdf</t>
  </si>
  <si>
    <t>023e0ccf-8f8c-475c-a084-a5e959f9cef6</t>
  </si>
  <si>
    <t>2483_44</t>
  </si>
  <si>
    <t>2483/44</t>
  </si>
  <si>
    <t>Customs Ordinance (Chapter 235) — Customs notification (Gazette 2483/44)</t>
  </si>
  <si>
    <t>m1/raw/2483_44.pdf</t>
  </si>
  <si>
    <t>c1b58670-57dd-457d-a78c-327dbb78d9ee</t>
  </si>
  <si>
    <t>2483_56</t>
  </si>
  <si>
    <t>2483/56</t>
  </si>
  <si>
    <t>Customs Ordinance (Chapter 235) — Customs notification (Gazette 2483/56)</t>
  </si>
  <si>
    <t>m1/raw/2483_56.pdf</t>
  </si>
  <si>
    <t>a5c8e405-0542-4d2c-8a2c-7917c8a64000</t>
  </si>
  <si>
    <t>2484_15</t>
  </si>
  <si>
    <t>2484/15</t>
  </si>
  <si>
    <t>Title Registration Act, No. 21 of 1998, Section 14 — Commissioner of Title Settlement's decision under Section 14 (Gazette 2484/15)</t>
  </si>
  <si>
    <t>m1/raw/2484_15.pdf</t>
  </si>
  <si>
    <t>7cf782dd-9833-4880-a642-3123e381af87</t>
  </si>
  <si>
    <t>2483_64</t>
  </si>
  <si>
    <t>2483/64</t>
  </si>
  <si>
    <t>Customs Ordinance (Chapter 235) — Customs notification (Gazette 2483/64)</t>
  </si>
  <si>
    <t>m1/raw/2483_64.pdf</t>
  </si>
  <si>
    <t>a8ff40ac-60d2-43a3-98e1-8faf007b5b49</t>
  </si>
  <si>
    <t>2483_53</t>
  </si>
  <si>
    <t>2483/53</t>
  </si>
  <si>
    <t>Customs Ordinance (Chapter 235) — Customs notification (Gazette 2483/53)</t>
  </si>
  <si>
    <t>m1/raw/2483_53.pdf</t>
  </si>
  <si>
    <t>bc9e5c52-5622-46ee-88c2-b1ea82f34ce2</t>
  </si>
  <si>
    <t>2483_59</t>
  </si>
  <si>
    <t>2483/59</t>
  </si>
  <si>
    <t>Customs Ordinance (Chapter 235) — Customs notification (Gazette 2483/59)</t>
  </si>
  <si>
    <t>m1/raw/2483_59.pdf</t>
  </si>
  <si>
    <t>3851d0b0-5239-4013-8d7e-e26507e91926</t>
  </si>
  <si>
    <t>2483_49</t>
  </si>
  <si>
    <t>2483/49</t>
  </si>
  <si>
    <t>Customs Ordinance (Chapter 235) — Customs notification (Gazette 2483/49)</t>
  </si>
  <si>
    <t>m1/raw/2483_49.pdf</t>
  </si>
  <si>
    <t>28561fd5-c452-4a45-acc4-ce8f27a59566</t>
  </si>
  <si>
    <t>2483_55</t>
  </si>
  <si>
    <t>2483/55</t>
  </si>
  <si>
    <t>Customs Ordinance (Chapter 235) — Customs notification (Gazette 2483/55)</t>
  </si>
  <si>
    <t>m1/raw/2483_55.pdf</t>
  </si>
  <si>
    <t>1b1ee2ed-711d-4d7e-b07b-099f94b5dc5d</t>
  </si>
  <si>
    <t>2483_84</t>
  </si>
  <si>
    <t>2483/84</t>
  </si>
  <si>
    <t>Customs Ordinance (Chapter 235) — Customs notification (Gazette 2483/84)</t>
  </si>
  <si>
    <t>m1/raw/2483_84.pdf</t>
  </si>
  <si>
    <t>1df03122-50d0-409d-a7f2-c0a253d343fb</t>
  </si>
  <si>
    <t>2483_60</t>
  </si>
  <si>
    <t>2483/60</t>
  </si>
  <si>
    <t>Customs Ordinance (Chapter 235) — Customs notification (Gazette 2483/60)</t>
  </si>
  <si>
    <t>m1/raw/2483_60.pdf</t>
  </si>
  <si>
    <t>23874685-9c1a-4566-a382-07c7af286561</t>
  </si>
  <si>
    <t>2483_31</t>
  </si>
  <si>
    <t>2483/31</t>
  </si>
  <si>
    <t>Customs Ordinance (Chapter 235) — Customs notification (Gazette 2483/31)</t>
  </si>
  <si>
    <t>m1/raw/2483_31.pdf</t>
  </si>
  <si>
    <t>305a8eaa-1ebf-4e8f-8e30-9e9149b469d1</t>
  </si>
  <si>
    <t>2483_32</t>
  </si>
  <si>
    <t>2483/32</t>
  </si>
  <si>
    <t>Customs Ordinance (Chapter 235) — Customs notification (Gazette 2483/32)</t>
  </si>
  <si>
    <t>m1/raw/2483_32.pdf</t>
  </si>
  <si>
    <t>a40822cb-df1b-4564-b369-818f3c8899ae</t>
  </si>
  <si>
    <t>2483_22</t>
  </si>
  <si>
    <t>2483/22</t>
  </si>
  <si>
    <t>Customs Ordinance (Chapter 235) — Customs notification (Gazette 2483/22)</t>
  </si>
  <si>
    <t>m1/raw/2483_22.pdf</t>
  </si>
  <si>
    <t>3b6ad6c4-0bfe-4be7-ae0e-692e14e1782b</t>
  </si>
  <si>
    <t>2483_47</t>
  </si>
  <si>
    <t>2483/47</t>
  </si>
  <si>
    <t>Customs Ordinance (Chapter 235) — Customs notification (Gazette 2483/47)</t>
  </si>
  <si>
    <t>m1/raw/2483_47.pdf</t>
  </si>
  <si>
    <t>83c4f17a-4697-4f36-95a1-3c81177358f0</t>
  </si>
  <si>
    <t>2483_50</t>
  </si>
  <si>
    <t>2483/50</t>
  </si>
  <si>
    <t>Customs Ordinance (Chapter 235) — Customs notification (Gazette 2483/50)</t>
  </si>
  <si>
    <t>m1/raw/2483_50.pdf</t>
  </si>
  <si>
    <t>723333e6-39ac-48f5-b090-a10ea13b16d5</t>
  </si>
  <si>
    <t>2483_25</t>
  </si>
  <si>
    <t>2483/25</t>
  </si>
  <si>
    <t>Customs Ordinance (Chapter 235) — Customs notification (Gazette 2483/25)</t>
  </si>
  <si>
    <t>m1/raw/2483_25.pdf</t>
  </si>
  <si>
    <t>04200d41-c641-41c4-8693-04ebe902b95e</t>
  </si>
  <si>
    <t>2483_61</t>
  </si>
  <si>
    <t>2483/61</t>
  </si>
  <si>
    <t>Customs Ordinance (Chapter 235) — Customs notification (Gazette 2483/61)</t>
  </si>
  <si>
    <t>m1/raw/2483_61.pdf</t>
  </si>
  <si>
    <t>94f6ba35-d137-49a5-bcd2-b943a2429c90</t>
  </si>
  <si>
    <t>2483_24</t>
  </si>
  <si>
    <t>2483/24</t>
  </si>
  <si>
    <t>Customs Ordinance (Chapter 235) — Customs notification (Gazette 2483/24)</t>
  </si>
  <si>
    <t>m1/raw/2483_24.pdf</t>
  </si>
  <si>
    <t>8d9e6346-4ef6-4737-8627-b4687ffaa3c2</t>
  </si>
  <si>
    <t>2484_30</t>
  </si>
  <si>
    <t>2484/30</t>
  </si>
  <si>
    <t>Title Registration Act, No. 21 of 1998, Section 14 — Commissioner of Title Settlement's decision under Section 14 (Gazette 2484/30)</t>
  </si>
  <si>
    <t>m1/raw/2484_30.pdf</t>
  </si>
  <si>
    <t>ddbe4a25-3e91-4113-bc63-c1b8384cd5af</t>
  </si>
  <si>
    <t>2485_22</t>
  </si>
  <si>
    <t>2485/22</t>
  </si>
  <si>
    <t>Title Registration Act, No. 21 of 1998, Section 14 — Commissioner of Title Settlement's decision under Section 14 (Gazette 2485/22)</t>
  </si>
  <si>
    <t>m1/raw/2485_22.pdf</t>
  </si>
  <si>
    <t>0c42a1d7-45a5-4068-9a6e-44a82c11580b</t>
  </si>
  <si>
    <t>2484_20</t>
  </si>
  <si>
    <t>2484/20</t>
  </si>
  <si>
    <t>Title Registration Act, No. 21 of 1998, Section 14 — Commissioner of Title Settlement's decision under Section 14 (Gazette 2484/20)</t>
  </si>
  <si>
    <t>m1/raw/2484_20.pdf</t>
  </si>
  <si>
    <t>8e5cba84-525f-4a81-8419-49aa40d4a174</t>
  </si>
  <si>
    <t>2484_28</t>
  </si>
  <si>
    <t>2484/28</t>
  </si>
  <si>
    <t>Title Registration Act, No. 21 of 1998, Section 14 — Commissioner of Title Settlement's decision under Section 14 (Gazette 2484/28)</t>
  </si>
  <si>
    <t>m1/raw/2484_28.pdf</t>
  </si>
  <si>
    <t>bdf0d273-d624-499a-9ea2-14f4a3c412dc</t>
  </si>
  <si>
    <t>2485_44</t>
  </si>
  <si>
    <t>2485/44</t>
  </si>
  <si>
    <t>Title Registration Act, No. 21 of 1998, Section 14 — Commissioner of Title Settlement's decision under Section 14 (Gazette 2485/44)</t>
  </si>
  <si>
    <t>m1/raw/2485_44.pdf</t>
  </si>
  <si>
    <t>431799ff-7769-4ec2-9d3c-bc84aea9dd40</t>
  </si>
  <si>
    <t>2485_47</t>
  </si>
  <si>
    <t>2485/47</t>
  </si>
  <si>
    <t>Title Registration Act, No. 21 of 1998, Section 14 — Commissioner of Title Settlement's decision under Section 14 (Gazette 2485/47)</t>
  </si>
  <si>
    <t>m1/raw/2485_47.pdf</t>
  </si>
  <si>
    <t>998b48a2-10d4-49ab-8bd1-cd089b02201c</t>
  </si>
  <si>
    <t>2485_48</t>
  </si>
  <si>
    <t>2485/48</t>
  </si>
  <si>
    <t>Title Registration Act, No. 21 of 1998, Section 14 — Commissioner of Title Settlement's decision under Section 14 (Gazette 2485/48)</t>
  </si>
  <si>
    <t>m1/raw/2485_48.pdf</t>
  </si>
  <si>
    <t>4fcdc635-5187-4b17-8ec7-62ce6534e40d</t>
  </si>
  <si>
    <t>2484_03</t>
  </si>
  <si>
    <t>2484/03</t>
  </si>
  <si>
    <t>Extraordinary Gazette 2484/03 — Government notice</t>
  </si>
  <si>
    <t>m1/raw/2484_03.pdf</t>
  </si>
  <si>
    <t>27859215-c70d-48b8-bc47-163737a44e7d</t>
  </si>
  <si>
    <t>2482_42</t>
  </si>
  <si>
    <t>2482/42</t>
  </si>
  <si>
    <t>Title Registration Act, No. 21 of 1998, Section 14 — Commissioner of Title Settlement's decision under Section 14 (Gazette 2482/42)</t>
  </si>
  <si>
    <t>m1/raw/2482_42.pdf</t>
  </si>
  <si>
    <t>11c7b12b-0e8a-4c5b-86eb-b9322cda899e</t>
  </si>
  <si>
    <t>2482_37</t>
  </si>
  <si>
    <t>2482/37</t>
  </si>
  <si>
    <t>Title Registration Act, No. 21 of 1998, Section 14 — Commissioner of Title Settlement's decision under Section 14 (Gazette 2482/37)</t>
  </si>
  <si>
    <t>m1/raw/2482_37.pdf</t>
  </si>
  <si>
    <t>fd4e5cdb-8668-4381-b3a5-3af554a32951</t>
  </si>
  <si>
    <t>2486_06</t>
  </si>
  <si>
    <t>2486/06</t>
  </si>
  <si>
    <t>Sri Lanka Armed Services Long Service Medal — Award notice (Gazette 2486/06)</t>
  </si>
  <si>
    <t>m1/raw/2486_06.pdf</t>
  </si>
  <si>
    <t>449b09e9-636f-4629-a65b-b7c920526aba</t>
  </si>
  <si>
    <t>2485_03</t>
  </si>
  <si>
    <t>2485/03</t>
  </si>
  <si>
    <t>Title Registration Act, No. 21 of 1998, Section 14 — Commissioner of Title Settlement's decision under Section 14 (Gazette 2485/03)</t>
  </si>
  <si>
    <t>m1/raw/2485_03.pdf</t>
  </si>
  <si>
    <t>71923909-08ed-4150-af92-0d169e421822</t>
  </si>
  <si>
    <t>2484_31</t>
  </si>
  <si>
    <t>2484/31</t>
  </si>
  <si>
    <t>Title Registration Act, No. 21 of 1998, Section 14 — Commissioner of Title Settlement's decision under Section 14 (Gazette 2484/31)</t>
  </si>
  <si>
    <t>m1/raw/2484_31.pdf</t>
  </si>
  <si>
    <t>26a4a6aa-a6a5-4b05-b8a9-d1afc4603bfc</t>
  </si>
  <si>
    <t>2486_17</t>
  </si>
  <si>
    <t>2486/17</t>
  </si>
  <si>
    <t>Land Acquisition Act (Chapter 460), Section 5 — Notice of Intended Acquisition (Gazette 2486/17)</t>
  </si>
  <si>
    <t>m1/raw/2486_17.pdf</t>
  </si>
  <si>
    <t>dabe87f3-b554-4484-a1a0-50717aec2af4</t>
  </si>
  <si>
    <t>2484_23</t>
  </si>
  <si>
    <t>2484/23</t>
  </si>
  <si>
    <t>Title Registration Act, No. 21 of 1998, Section 14 — Commissioner of Title Settlement's decision under Section 14 (Gazette 2484/23)</t>
  </si>
  <si>
    <t>m1/raw/2484_23.pdf</t>
  </si>
  <si>
    <t>15cebe6f-e569-451a-9a03-f87812c95da0</t>
  </si>
  <si>
    <t>2486_03</t>
  </si>
  <si>
    <t>2486/03</t>
  </si>
  <si>
    <t>Extraordinary Gazette 2486/03 — Government notice</t>
  </si>
  <si>
    <t>m1/raw/2486_03.pdf</t>
  </si>
  <si>
    <t>14bcc7ca-0cc7-4a68-b0e5-87fed11f32bd</t>
  </si>
  <si>
    <t>2484_50</t>
  </si>
  <si>
    <t>2484/50</t>
  </si>
  <si>
    <t>Title Registration Act, No. 21 of 1998, Section 14 — Commissioner of Title Settlement's decision under Section 14 (Gazette 2484/50)</t>
  </si>
  <si>
    <t>m1/raw/2484_50.pdf</t>
  </si>
  <si>
    <t>960a1b5d-af5a-4336-abbe-45d0113e8e0f</t>
  </si>
  <si>
    <t>2485_51</t>
  </si>
  <si>
    <t>2485/51</t>
  </si>
  <si>
    <t>Title Registration Act, No. 21 of 1998, Section 14 — Commissioner of Title Settlement's decision under Section 14 (Gazette 2485/51)</t>
  </si>
  <si>
    <t>m1/raw/2485_51.pdf</t>
  </si>
  <si>
    <t>ea82017e-8cb6-43fc-a066-92761f2bab55</t>
  </si>
  <si>
    <t>2485_29</t>
  </si>
  <si>
    <t>2485/29</t>
  </si>
  <si>
    <t>Title Registration Act, No. 21 of 1998, Section 14 — Commissioner of Title Settlement's decision under Section 14 (Gazette 2485/29)</t>
  </si>
  <si>
    <t>m1/raw/2485_29.pdf</t>
  </si>
  <si>
    <t>bd0d18e6-aab2-4926-980a-71a4fad7e0f4</t>
  </si>
  <si>
    <t>2485_16</t>
  </si>
  <si>
    <t>2485/16</t>
  </si>
  <si>
    <t>Title Registration Act, No. 21 of 1998, Section 14 — Commissioner of Title Settlement's decision under Section 14 (Gazette 2485/16)</t>
  </si>
  <si>
    <t>m1/raw/2485_16.pdf</t>
  </si>
  <si>
    <t>7b649e83-ea4c-41be-8c9d-192ae1b2e1be</t>
  </si>
  <si>
    <t>2486_05</t>
  </si>
  <si>
    <t>2486/05</t>
  </si>
  <si>
    <t>Extraordinary Gazette 2486/05 — Government notice</t>
  </si>
  <si>
    <t>m1/raw/2486_05.pdf</t>
  </si>
  <si>
    <t>3d7bf385-abb4-49d6-a27c-2ad410fff131</t>
  </si>
  <si>
    <t>2482_18</t>
  </si>
  <si>
    <t>2482/18</t>
  </si>
  <si>
    <t>Lands notice — Extraordinary Gazette 2482/18 (Part III)</t>
  </si>
  <si>
    <t>m1/raw/2482_18.pdf</t>
  </si>
  <si>
    <t>bd8014d7-12eb-4f16-9119-2651d7c1a807</t>
  </si>
  <si>
    <t>2482_11</t>
  </si>
  <si>
    <t>2482/11</t>
  </si>
  <si>
    <t>Industrial Disputes Act (Chapter 131), Section 4(1) — Industrial Award (Gazette 2482/11)</t>
  </si>
  <si>
    <t>m1/raw/2482_11.pdf</t>
  </si>
  <si>
    <t>7ac83f91-4f10-4fe9-b756-0f46d653452c</t>
  </si>
  <si>
    <t>2484_07</t>
  </si>
  <si>
    <t>2484/07</t>
  </si>
  <si>
    <t>Title Registration Act, No. 21 of 1998, Section 14 — Commissioner of Title Settlement's decision under Section 14 (Gazette 2484/07)</t>
  </si>
  <si>
    <t>m1/raw/2484_07.pdf</t>
  </si>
  <si>
    <t>c1555a83-2bb6-4507-aa5b-e008f45048d3</t>
  </si>
  <si>
    <t>2483_69</t>
  </si>
  <si>
    <t>2483/69</t>
  </si>
  <si>
    <t>Customs Ordinance — Customs notice (Gazette 2483/69)</t>
  </si>
  <si>
    <t>m1/raw/2483_69.pdf</t>
  </si>
  <si>
    <t>00c67cf9-5de4-4ddf-9514-009915dd9df2</t>
  </si>
  <si>
    <t>2483_80</t>
  </si>
  <si>
    <t>2483/80</t>
  </si>
  <si>
    <t>Customs Ordinance (Chapter 235) — Customs notification (Gazette 2483/80)</t>
  </si>
  <si>
    <t>m1/raw/2483_80.pdf</t>
  </si>
  <si>
    <t>33177b11-1f51-4dc3-baa4-2b5400a74014</t>
  </si>
  <si>
    <t>2483_81</t>
  </si>
  <si>
    <t>2483/81</t>
  </si>
  <si>
    <t>Extraordinary Gazette 2483/81 — Government notice</t>
  </si>
  <si>
    <t>m1/raw/2483_81.pdf</t>
  </si>
  <si>
    <t>3a5ede46-8993-496d-978c-46883a9e9ba4</t>
  </si>
  <si>
    <t>2486_07</t>
  </si>
  <si>
    <t>2486/07</t>
  </si>
  <si>
    <t>Extraordinary Gazette 2486/07 — Government notice</t>
  </si>
  <si>
    <t>m1/raw/2486_07.pdf</t>
  </si>
  <si>
    <t>f85f8121-a625-431b-b4f0-fe855b65cbec</t>
  </si>
  <si>
    <t>2483_85</t>
  </si>
  <si>
    <t>2483/85</t>
  </si>
  <si>
    <t>Customs Ordinance (Chapter 235) — Customs notification (Gazette 2483/85)</t>
  </si>
  <si>
    <t>m1/raw/2483_85.pdf</t>
  </si>
  <si>
    <t>b4ae2353-7443-4018-bff4-e63154f92a7c</t>
  </si>
  <si>
    <t>2483_52</t>
  </si>
  <si>
    <t>2483/52</t>
  </si>
  <si>
    <t>Customs Ordinance (Chapter 235) — Customs notification (Gazette 2483/52)</t>
  </si>
  <si>
    <t>m1/raw/2483_52.pdf</t>
  </si>
  <si>
    <t>575333f1-e2b8-4919-844d-bfc724050483</t>
  </si>
  <si>
    <t>2483_42</t>
  </si>
  <si>
    <t>2483/42</t>
  </si>
  <si>
    <t>Extraordinary Gazette 2483/42 — Government notice</t>
  </si>
  <si>
    <t>m1/raw/2483_42.pdf</t>
  </si>
  <si>
    <t>232b514a-c490-47c3-8c9c-616fc607197b</t>
  </si>
  <si>
    <t>2483_48</t>
  </si>
  <si>
    <t>2483/48</t>
  </si>
  <si>
    <t>Customs Ordinance (Chapter 235) — Customs notification (Gazette 2483/48)</t>
  </si>
  <si>
    <t>m1/raw/2483_48.pdf</t>
  </si>
  <si>
    <t>bb072660-2b8d-4ebd-b650-5e3892d8048a</t>
  </si>
  <si>
    <t>2483_43</t>
  </si>
  <si>
    <t>2483/43</t>
  </si>
  <si>
    <t>Customs Ordinance (Chapter 235) — Customs notification (Gazette 2483/43)</t>
  </si>
  <si>
    <t>m1/raw/2483_43.pdf</t>
  </si>
  <si>
    <t>95c9c58a-6200-4262-bf32-92d6bb5cfe7e</t>
  </si>
  <si>
    <t>2483_57</t>
  </si>
  <si>
    <t>2483/57</t>
  </si>
  <si>
    <t>Customs Ordinance (Chapter 235) — Customs notification (Gazette 2483/57)</t>
  </si>
  <si>
    <t>m1/raw/2483_57.pdf</t>
  </si>
  <si>
    <t>46789c01-03de-482e-88fe-238a4559f458</t>
  </si>
  <si>
    <t>2483_68</t>
  </si>
  <si>
    <t>2483/68</t>
  </si>
  <si>
    <t>Customs Ordinance — Customs notice (Gazette 2483/68)</t>
  </si>
  <si>
    <t>m1/raw/2483_68.pdf</t>
  </si>
  <si>
    <t>fe7c15eb-a2dc-443f-a8b2-792291c71181</t>
  </si>
  <si>
    <t>2483_20</t>
  </si>
  <si>
    <t>2483/20</t>
  </si>
  <si>
    <t>Extraordinary Gazette 2483/20 — Government notice</t>
  </si>
  <si>
    <t>m1/raw/2483_20.pdf</t>
  </si>
  <si>
    <t>151811c2-962b-4770-966a-6cac2d682275</t>
  </si>
  <si>
    <t>2483_82</t>
  </si>
  <si>
    <t>2483/82</t>
  </si>
  <si>
    <t>Customs Ordinance — Customs notice (Gazette 2483/82)</t>
  </si>
  <si>
    <t>m1/raw/2483_82.pdf</t>
  </si>
  <si>
    <t>b459237f-9e18-45fa-bd4e-40a2634417b9</t>
  </si>
  <si>
    <t>2483_26</t>
  </si>
  <si>
    <t>2483/26</t>
  </si>
  <si>
    <t>Extraordinary Gazette 2483/26 — Government notice</t>
  </si>
  <si>
    <t>m1/raw/2483_26.pdf</t>
  </si>
  <si>
    <t>f2fdf9fe-b6f5-44e9-8629-12296229c146</t>
  </si>
  <si>
    <t>2483_28</t>
  </si>
  <si>
    <t>2483/28</t>
  </si>
  <si>
    <t>Extraordinary Gazette 2483/28 — Government notice</t>
  </si>
  <si>
    <t>m1/raw/2483_28.pdf</t>
  </si>
  <si>
    <t>0f59dd19-7ed0-4bf7-855d-fd8709d35cf8</t>
  </si>
  <si>
    <t>2484_49</t>
  </si>
  <si>
    <t>2484/49</t>
  </si>
  <si>
    <t>Title Registration Act, No. 21 of 1998, Section 14 — Commissioner of Title Settlement's decision under Section 14 (Gazette 2484/49)</t>
  </si>
  <si>
    <t>m1/raw/2484_49.pdf</t>
  </si>
  <si>
    <t>d49ee5e4-f632-45cc-a2f3-19628488ecd9</t>
  </si>
  <si>
    <t>2483_23</t>
  </si>
  <si>
    <t>2483/23</t>
  </si>
  <si>
    <t>Extraordinary Gazette 2483/23 — Government notice</t>
  </si>
  <si>
    <t>m1/raw/2483_23.pdf</t>
  </si>
  <si>
    <t>585961b7-a2b9-4e7b-b215-4201180a8f97</t>
  </si>
  <si>
    <t>2483_54</t>
  </si>
  <si>
    <t>2483/54</t>
  </si>
  <si>
    <t>Customs Ordinance (Chapter 235) — Customs notification (Gazette 2483/54)</t>
  </si>
  <si>
    <t>m1/raw/2483_54.pdf</t>
  </si>
  <si>
    <t>f880933b-8932-46c4-a057-143205232ec1</t>
  </si>
  <si>
    <t>2483_46</t>
  </si>
  <si>
    <t>2483/46</t>
  </si>
  <si>
    <t>Customs Ordinance (Chapter 235) — Customs notification (Gazette 2483/46)</t>
  </si>
  <si>
    <t>m1/raw/2483_46.pdf</t>
  </si>
  <si>
    <t>4dc83714-e54a-4b84-b2a9-a6ec402c7296</t>
  </si>
  <si>
    <t>2483_27</t>
  </si>
  <si>
    <t>2483/27</t>
  </si>
  <si>
    <t>Extraordinary Gazette 2483/27 — Government notice</t>
  </si>
  <si>
    <t>m1/raw/2483_27.pdf</t>
  </si>
  <si>
    <t>f060b1f7-9d41-4d4b-b9f7-0a073c0676ef</t>
  </si>
  <si>
    <t>2483_33</t>
  </si>
  <si>
    <t>2483/33</t>
  </si>
  <si>
    <t>Customs Ordinance — Customs notice (Gazette 2483/33)</t>
  </si>
  <si>
    <t>m1/raw/2483_33.pdf</t>
  </si>
  <si>
    <t>967a2c5e-4724-4c44-b190-7bc5f5292202</t>
  </si>
  <si>
    <t>2483_35</t>
  </si>
  <si>
    <t>2483/35</t>
  </si>
  <si>
    <t>Customs Ordinance — Customs notice (Gazette 2483/35)</t>
  </si>
  <si>
    <t>m1/raw/2483_35.pdf</t>
  </si>
  <si>
    <t>327cd7aa-c807-4d7e-b386-e28c80fb7f72</t>
  </si>
  <si>
    <t>2483_76</t>
  </si>
  <si>
    <t>2483/76</t>
  </si>
  <si>
    <t>Customs Ordinance — Customs notice (Gazette 2483/76)</t>
  </si>
  <si>
    <t>m1/raw/2483_76.pdf</t>
  </si>
  <si>
    <t>e49a404b-10e9-43eb-8310-9e1ab3de3a82</t>
  </si>
  <si>
    <t>2483_45</t>
  </si>
  <si>
    <t>2483/45</t>
  </si>
  <si>
    <t>Customs Ordinance (Chapter 235) — Customs notification (Gazette 2483/45)</t>
  </si>
  <si>
    <t>m1/raw/2483_45.pdf</t>
  </si>
  <si>
    <t>91f742ae-34a3-4d5a-86a0-eeeb018d447c</t>
  </si>
  <si>
    <t>2483_21</t>
  </si>
  <si>
    <t>2483/21</t>
  </si>
  <si>
    <t>Customs Ordinance (Chapter 235) — Customs notification (Gazette 2483/21)</t>
  </si>
  <si>
    <t>m1/raw/2483_21.pdf</t>
  </si>
  <si>
    <t>537c3a21-3723-465c-951e-17b51da86ce4</t>
  </si>
  <si>
    <t>2483_17</t>
  </si>
  <si>
    <t>2483/17</t>
  </si>
  <si>
    <t>Customs Ordinance (Chapter 235) — Customs notification (Gazette 2483/17)</t>
  </si>
  <si>
    <t>m1/raw/2483_17.pdf</t>
  </si>
  <si>
    <t>da5a0946-79fa-4b08-a992-720dcb7f483e</t>
  </si>
  <si>
    <t>2483_83</t>
  </si>
  <si>
    <t>2483/83</t>
  </si>
  <si>
    <t>Customs Ordinance — Customs notice (Gazette 2483/83)</t>
  </si>
  <si>
    <t>m1/raw/2483_83.pdf</t>
  </si>
  <si>
    <t>a1aa98a8-c9aa-430a-ac6b-c375d7aa2cb4</t>
  </si>
  <si>
    <t>2483_19</t>
  </si>
  <si>
    <t>2483/19</t>
  </si>
  <si>
    <t>Customs Ordinance (Chapter 235) — Customs notification (Gazette 2483/19)</t>
  </si>
  <si>
    <t>m1/raw/2483_19.pdf</t>
  </si>
  <si>
    <t>cfbe4c5c-4818-4721-bbce-fdfd5d27b10d</t>
  </si>
  <si>
    <t>2483_36</t>
  </si>
  <si>
    <t>2483/36</t>
  </si>
  <si>
    <t>Customs Ordinance — Customs notice (Gazette 2483/36)</t>
  </si>
  <si>
    <t>m1/raw/2483_36.pdf</t>
  </si>
  <si>
    <t>7def02b6-7261-4511-94be-d2cca41cb19d</t>
  </si>
  <si>
    <t>2483_30</t>
  </si>
  <si>
    <t>2483/30</t>
  </si>
  <si>
    <t>Customs Ordinance (Chapter 235) — Customs notification (Gazette 2483/30)</t>
  </si>
  <si>
    <t>m1/raw/2483_30.pdf</t>
  </si>
  <si>
    <t>31573df9-76ac-44fe-9b58-ba40140bc022</t>
  </si>
  <si>
    <t>2483_18</t>
  </si>
  <si>
    <t>2483/18</t>
  </si>
  <si>
    <t>Customs Ordinance (Chapter 235) — Customs notification (Gazette 2483/18)</t>
  </si>
  <si>
    <t>m1/raw/2483_18.pdf</t>
  </si>
  <si>
    <t>23a9d354-fd7b-4bce-9349-ca2c2b9373bc</t>
  </si>
  <si>
    <t>2483_62</t>
  </si>
  <si>
    <t>2483/62</t>
  </si>
  <si>
    <t>Customs Ordinance — Customs notice (Gazette 2483/62)</t>
  </si>
  <si>
    <t>m1/raw/2483_62.pdf</t>
  </si>
  <si>
    <t>d81ffd23-9858-4be2-8475-e9400618cbf6</t>
  </si>
  <si>
    <t>2483_77</t>
  </si>
  <si>
    <t>2483/77</t>
  </si>
  <si>
    <t>Customs Ordinance — Customs notice (Gazette 2483/77)</t>
  </si>
  <si>
    <t>m1/raw/2483_77.pdf</t>
  </si>
  <si>
    <t>9b2cbf6c-d16c-4449-a7b0-2e008a53ab96</t>
  </si>
  <si>
    <t>2483_29</t>
  </si>
  <si>
    <t>2483/29</t>
  </si>
  <si>
    <t>Customs Ordinance (Chapter 235) — Customs notification (Gazette 2483/29)</t>
  </si>
  <si>
    <t>m1/raw/2483_29.pdf</t>
  </si>
  <si>
    <t>d088ff40-455f-4ef2-95a6-92ff8528e65e</t>
  </si>
  <si>
    <t>2483_65</t>
  </si>
  <si>
    <t>2483/65</t>
  </si>
  <si>
    <t>Extraordinary Gazette 2483/65 — Government notice</t>
  </si>
  <si>
    <t>m1/raw/2483_65.pdf</t>
  </si>
  <si>
    <t>55f27192-985b-4b65-97e0-092933e49048</t>
  </si>
  <si>
    <t>2483_66</t>
  </si>
  <si>
    <t>2483/66</t>
  </si>
  <si>
    <t>Extraordinary Gazette 2483/66 — Government notice</t>
  </si>
  <si>
    <t>m1/raw/2483_66.pdf</t>
  </si>
  <si>
    <t>13733381-f56f-4d93-a6ad-25378db61d5d</t>
  </si>
  <si>
    <t>2484_22</t>
  </si>
  <si>
    <t>2484/22</t>
  </si>
  <si>
    <t>Title Registration Act, No. 21 of 1998, Section 14 — Commissioner of Title Settlement's decision under Section 14 (Gazette 2484/22)</t>
  </si>
  <si>
    <t>m1/raw/2484_22.pdf</t>
  </si>
  <si>
    <t>ade1c3a5-4ad4-4433-9bdb-f24c70f3a40e</t>
  </si>
  <si>
    <t>2482_26</t>
  </si>
  <si>
    <t>2482/26</t>
  </si>
  <si>
    <t>Title Registration Act, No. 21 of 1998, Section 14 — Commissioner of Title Settlement's decision under Section 14 (Gazette 2482/26)</t>
  </si>
  <si>
    <t>m1/raw/2482_26.pdf</t>
  </si>
  <si>
    <t>42db93a9-2d5c-40c9-bdb1-d25ad0b0e9a3</t>
  </si>
  <si>
    <t>2485_58</t>
  </si>
  <si>
    <t>2485/58</t>
  </si>
  <si>
    <t>Land Acquisition Act (Chapter 460), Section 5 — Notice of Intended Acquisition (Gazette 2485/58)</t>
  </si>
  <si>
    <t>m1/raw/2485_58.pdf</t>
  </si>
  <si>
    <t>5ab7b487-d177-4ca9-9e4b-dff7487d4da8</t>
  </si>
  <si>
    <t>2483_58</t>
  </si>
  <si>
    <t>2483/58</t>
  </si>
  <si>
    <t>Customs Ordinance (Chapter 235) — Customs notification (Gazette 2483/58)</t>
  </si>
  <si>
    <t>m1/raw/2483_58.pdf</t>
  </si>
  <si>
    <t>80f8e027-f74a-4ef7-b225-9a4b00cf303a</t>
  </si>
  <si>
    <t>2483_38</t>
  </si>
  <si>
    <t>2483/38</t>
  </si>
  <si>
    <t>Customs Ordinance (Chapter 235) — Customs notification (Gazette 2483/38)</t>
  </si>
  <si>
    <t>m1/raw/2483_38.pdf</t>
  </si>
  <si>
    <t>8b018f22-284a-492c-b764-39840f30bdec</t>
  </si>
  <si>
    <t>2483_40</t>
  </si>
  <si>
    <t>2483/40</t>
  </si>
  <si>
    <t>Customs Ordinance (Chapter 235) — Customs notification (Gazette 2483/40)</t>
  </si>
  <si>
    <t>m1/raw/2483_40.pdf</t>
  </si>
  <si>
    <t>785d888e-f24f-491b-8437-955786693b13</t>
  </si>
  <si>
    <t>2483_34</t>
  </si>
  <si>
    <t>2483/34</t>
  </si>
  <si>
    <t>Customs Ordinance (Chapter 235) — Customs notification (Gazette 2483/34)</t>
  </si>
  <si>
    <t>m1/raw/2483_34.pdf</t>
  </si>
  <si>
    <t>603a4fc3-a150-49f9-8702-308c8f113a82</t>
  </si>
  <si>
    <t>2483_39</t>
  </si>
  <si>
    <t>2483/39</t>
  </si>
  <si>
    <t>Customs Ordinance (Chapter 235) — Customs notification (Gazette 2483/39)</t>
  </si>
  <si>
    <t>m1/raw/2483_39.pdf</t>
  </si>
  <si>
    <t>55669ce5-0ed8-4f75-aca8-aac5c7d57daf</t>
  </si>
  <si>
    <t>2483_73</t>
  </si>
  <si>
    <t>2483/73</t>
  </si>
  <si>
    <t>Customs Ordinance (Chapter 235) — Customs notification (Gazette 2483/73)</t>
  </si>
  <si>
    <t>m1/raw/2483_73.pdf</t>
  </si>
  <si>
    <t>7a0a401e-7aa3-46e2-a80f-22f77352ae3f</t>
  </si>
  <si>
    <t>2483_74</t>
  </si>
  <si>
    <t>2483/74</t>
  </si>
  <si>
    <t>Customs Ordinance (Chapter 235) — Customs notification (Gazette 2483/74)</t>
  </si>
  <si>
    <t>m1/raw/2483_74.pdf</t>
  </si>
  <si>
    <t>64cc15df-c0db-4bac-9865-278e8c7c0aba</t>
  </si>
  <si>
    <t>2483_63</t>
  </si>
  <si>
    <t>2483/63</t>
  </si>
  <si>
    <t>Customs Ordinance (Chapter 235) — Customs notification (Gazette 2483/63)</t>
  </si>
  <si>
    <t>m1/raw/2483_63.pdf</t>
  </si>
  <si>
    <t>02955dcc-e2a8-4c48-b175-b3d830526558</t>
  </si>
  <si>
    <t>2483_72</t>
  </si>
  <si>
    <t>2483/72</t>
  </si>
  <si>
    <t>Customs Ordinance (Chapter 235) — Customs notification (Gazette 2483/72)</t>
  </si>
  <si>
    <t>m1/raw/2483_72.pdf</t>
  </si>
  <si>
    <t>548a6a3d-ea28-4527-85bd-6cf88e850fa9</t>
  </si>
  <si>
    <t>2483_78</t>
  </si>
  <si>
    <t>2483/78</t>
  </si>
  <si>
    <t>Customs Ordinance (Chapter 235) — Customs notification (Gazette 2483/78)</t>
  </si>
  <si>
    <t>m1/raw/2483_78.pdf</t>
  </si>
  <si>
    <t>1aef524e-2adc-4d99-9d6f-d9109a0e7bdd</t>
  </si>
  <si>
    <t>2483_37</t>
  </si>
  <si>
    <t>2483/37</t>
  </si>
  <si>
    <t>Customs Ordinance (Chapter 235) — Customs notification (Gazette 2483/37)</t>
  </si>
  <si>
    <t>m1/raw/2483_37.pdf</t>
  </si>
  <si>
    <t>63d11d68-003e-4cd3-be3b-18f883ea4573</t>
  </si>
  <si>
    <t>2484_05</t>
  </si>
  <si>
    <t>2484/05</t>
  </si>
  <si>
    <t>Extraordinary Gazette 2484/05 — Government notice</t>
  </si>
  <si>
    <t>m1/raw/2484_05.pdf</t>
  </si>
  <si>
    <t>31f71a69-7714-4ca6-ba98-326c62762dfd</t>
  </si>
  <si>
    <t>2486_04</t>
  </si>
  <si>
    <t>2486/04</t>
  </si>
  <si>
    <t>Extraordinary Gazette 2486/04 — Government notice</t>
  </si>
  <si>
    <t>m1/raw/2486_04.pdf</t>
  </si>
  <si>
    <t>69ce4989-a88d-4bb5-9b61-3a4353337dd5</t>
  </si>
  <si>
    <t>2486_19</t>
  </si>
  <si>
    <t>2486/19</t>
  </si>
  <si>
    <t>Lands notice — Extraordinary Gazette 2486/19 (Part III)</t>
  </si>
  <si>
    <t>m1/raw/2486_19.pdf</t>
  </si>
  <si>
    <t>f803c949-e0fb-4e9a-a7e2-eae123771939</t>
  </si>
  <si>
    <t>2485_13</t>
  </si>
  <si>
    <t>2485/13</t>
  </si>
  <si>
    <t>Extraordinary Gazette 2485/13 — Government notice</t>
  </si>
  <si>
    <t>m1/raw/2485_13.pdf</t>
  </si>
  <si>
    <t>1d910818-2272-4628-9586-fccd554d9306</t>
  </si>
  <si>
    <t>2485_62</t>
  </si>
  <si>
    <t>2485/62</t>
  </si>
  <si>
    <t>Elections notice (Gazette 2485/62)</t>
  </si>
  <si>
    <t>m1/raw/2485_62.pdf</t>
  </si>
  <si>
    <t>50d6774d-db15-495c-8674-401754592793</t>
  </si>
  <si>
    <t>2483_05</t>
  </si>
  <si>
    <t>2483/05</t>
  </si>
  <si>
    <t>Extraordinary Gazette 2483/05 — Government notice</t>
  </si>
  <si>
    <t>m1/raw/2483_05.pdf</t>
  </si>
  <si>
    <t>afac2343-6edf-4b7f-b85c-bc8663649b01</t>
  </si>
  <si>
    <t>2483_04</t>
  </si>
  <si>
    <t>2483/04</t>
  </si>
  <si>
    <t>Extraordinary Gazette 2483/04 — Government notice</t>
  </si>
  <si>
    <t>m1/raw/2483_04.pdf</t>
  </si>
  <si>
    <t>992f59bc-c611-4373-81aa-6ff1ed4cc86a</t>
  </si>
  <si>
    <t>2483_16</t>
  </si>
  <si>
    <t>2483/16</t>
  </si>
  <si>
    <t>Local Authorities Elections Ordinance — Election Commission notice (Gazette 2483/16)</t>
  </si>
  <si>
    <t>m1/raw/2483_16.pdf</t>
  </si>
  <si>
    <t>a5226693-9567-40e6-bc1d-c6599b4556aa</t>
  </si>
  <si>
    <t>2486_14</t>
  </si>
  <si>
    <t>2486/14</t>
  </si>
  <si>
    <t>Extraordinary Gazette 2486/14 — Government notice</t>
  </si>
  <si>
    <t>m1/raw/2486_14.pdf</t>
  </si>
  <si>
    <t>72e60f14-2499-468a-8ec5-7400c5112643</t>
  </si>
  <si>
    <t>2484_04</t>
  </si>
  <si>
    <t>2484/04</t>
  </si>
  <si>
    <t>Extraordinary Gazette 2484/04 — Government notice</t>
  </si>
  <si>
    <t>m1/raw/2484_04.pdf</t>
  </si>
  <si>
    <t>64f7b2b5-149e-4c8b-85b4-011d31b6bda2</t>
  </si>
  <si>
    <t>2483_13</t>
  </si>
  <si>
    <t>2483/13</t>
  </si>
  <si>
    <t>Extraordinary Gazette 2483/13 — Government notice</t>
  </si>
  <si>
    <t>m1/raw/2483_13.pdf</t>
  </si>
  <si>
    <t>176ee10d-5701-4640-aa7f-e0cc78776023</t>
  </si>
  <si>
    <t>2485_53</t>
  </si>
  <si>
    <t>2485/53</t>
  </si>
  <si>
    <t>National Consumer Price Index (NCPI) — Monthly publication (Gazette 2485/53)</t>
  </si>
  <si>
    <t>m1/raw/2485_53.pdf</t>
  </si>
  <si>
    <t>4b06564a-0282-4c4c-868e-e36aa06e72f5</t>
  </si>
  <si>
    <t>2486_12</t>
  </si>
  <si>
    <t>2486/12</t>
  </si>
  <si>
    <t>Extraordinary Gazette 2486/12 — Government notice</t>
  </si>
  <si>
    <t>m1/raw/2486_12.pdf</t>
  </si>
  <si>
    <t>c06faa7a-a260-4eeb-a6e9-0e8e7b0ae009</t>
  </si>
  <si>
    <t>2485_60</t>
  </si>
  <si>
    <t>2485/60</t>
  </si>
  <si>
    <t>Local Authorities Elections Ordinance — Election Commission notice (Gazette 2485/60)</t>
  </si>
  <si>
    <t>m1/raw/2485_60.pdf</t>
  </si>
  <si>
    <t>7dc467a3-37c8-4720-b294-060c63a26f66</t>
  </si>
  <si>
    <t>2486_15</t>
  </si>
  <si>
    <t>2486/15</t>
  </si>
  <si>
    <t>Local Authorities Elections Ordinance — Election Commission notice (Gazette 2486/15)</t>
  </si>
  <si>
    <t>m1/raw/2486_15.pdf</t>
  </si>
  <si>
    <t>b18c8db6-d570-4944-a578-1895b72bba59</t>
  </si>
  <si>
    <t>2483_03</t>
  </si>
  <si>
    <t>2483/03</t>
  </si>
  <si>
    <t>Extraordinary Gazette 2483/03 — Government notice</t>
  </si>
  <si>
    <t>m1/raw/2483_03.pdf</t>
  </si>
  <si>
    <t>ac57d1fd-e9f8-4888-b655-de839d64e306</t>
  </si>
  <si>
    <t>2485_14</t>
  </si>
  <si>
    <t>2485/14</t>
  </si>
  <si>
    <t>Extraordinary Gazette 2485/14 — Government notice</t>
  </si>
  <si>
    <t>m1/raw/2485_14.pdf</t>
  </si>
  <si>
    <t>33a0f481-4dfa-4440-9f34-ccfff3b01900</t>
  </si>
  <si>
    <t>2483_06</t>
  </si>
  <si>
    <t>2483/06</t>
  </si>
  <si>
    <t>Extraordinary Gazette 2483/06 — Government notice</t>
  </si>
  <si>
    <t>m1/raw/2483_06.pdf</t>
  </si>
  <si>
    <t>908152fb-3b14-44c4-9872-22b5cb6c4343</t>
  </si>
  <si>
    <t>2484_06</t>
  </si>
  <si>
    <t>2484/06</t>
  </si>
  <si>
    <t>Land Acquisition Act (Chapter 460), Section 33 — Notice of Intended Acquisition (Gazette 2484/06)</t>
  </si>
  <si>
    <t>Notice under Section 33 of the Land Acquisition Act (Chapter 460) declaring intended acquisition of identified land parcels for a public purpose (e.g. highway, irrigation, public infrastructure). Part III — Lands.</t>
  </si>
  <si>
    <t>m1/raw/2484_06.pdf</t>
  </si>
  <si>
    <t>ad4cbfa8-de8d-435e-bcdf-b753e3e4f0c2</t>
  </si>
  <si>
    <t>2486_09</t>
  </si>
  <si>
    <t>2486/09</t>
  </si>
  <si>
    <t>Extraordinary Gazette 2486/09 — Government notice</t>
  </si>
  <si>
    <t>m1/raw/2486_09.pdf</t>
  </si>
  <si>
    <t>0cd79022-1cbe-482d-bbdc-e726245386a3</t>
  </si>
  <si>
    <t>2482_33</t>
  </si>
  <si>
    <t>2482/33</t>
  </si>
  <si>
    <t>Title Registration Act, No. 21 of 1998, Section 14 — Commissioner of Title Settlement's decision under Section 14 (Gazette 2482/33)</t>
  </si>
  <si>
    <t>m1/raw/2482_33.pdf</t>
  </si>
  <si>
    <t>9cb389db-5f8b-4da7-86ad-a2f50df0f9a5</t>
  </si>
  <si>
    <t>2486_16</t>
  </si>
  <si>
    <t>2486/16</t>
  </si>
  <si>
    <t>Extraordinary Gazette 2486/16 — Government notice</t>
  </si>
  <si>
    <t>m1/raw/2486_16.pdf</t>
  </si>
  <si>
    <t>0abf4db7-32be-4617-b557-df19ccca7137</t>
  </si>
  <si>
    <t>2485_26</t>
  </si>
  <si>
    <t>2485/26</t>
  </si>
  <si>
    <t>Title Registration Act, No. 21 of 1998, Section 14 — Commissioner of Title Settlement's decision under Section 14 (Gazette 2485/26)</t>
  </si>
  <si>
    <t>m1/raw/2485_26.pdf</t>
  </si>
  <si>
    <t>8d4fd02a-eb91-4d55-8204-00315ff56114</t>
  </si>
  <si>
    <t>2484_41</t>
  </si>
  <si>
    <t>2484/41</t>
  </si>
  <si>
    <t>Extraordinary Gazette 2484/41 — Government notice</t>
  </si>
  <si>
    <t>m1/raw/2484_41.pdf</t>
  </si>
  <si>
    <t>b8c0f4ae-10a1-4793-ba78-30e3b402f51b</t>
  </si>
  <si>
    <t>2483_07</t>
  </si>
  <si>
    <t>2483/07</t>
  </si>
  <si>
    <t>Title Registration Act, No. 21 of 1998, Section 14 — Commissioner of Title Settlement's decision under Section 14 (Gazette 2483/07)</t>
  </si>
  <si>
    <t>m1/raw/2483_07.pdf</t>
  </si>
  <si>
    <t>e3955f95-8b60-4ebf-81a2-c47485002a3b</t>
  </si>
  <si>
    <t>2483_12</t>
  </si>
  <si>
    <t>2483/12</t>
  </si>
  <si>
    <t>Extraordinary Gazette 2483/12 — Government notice</t>
  </si>
  <si>
    <t>m1/raw/2483_12.pdf</t>
  </si>
  <si>
    <t>550c1521-3949-4748-8331-45e106db89d1</t>
  </si>
  <si>
    <t>2483_15</t>
  </si>
  <si>
    <t>2483/15</t>
  </si>
  <si>
    <t>Local Authorities Elections Ordinance — Election Commission notice (Gazette 2483/15)</t>
  </si>
  <si>
    <t>m1/raw/2483_15.pdf</t>
  </si>
  <si>
    <t>0fab550f-c52a-4f01-9a4a-1848581b3cd5</t>
  </si>
  <si>
    <t>2483_14</t>
  </si>
  <si>
    <t>2483/14</t>
  </si>
  <si>
    <t>Extraordinary Gazette 2483/14 — Government notice</t>
  </si>
  <si>
    <t>m1/raw/2483_14.pdf</t>
  </si>
  <si>
    <t>90fd5944-28e4-4199-81c1-e23febbfee95</t>
  </si>
  <si>
    <t>2486_13</t>
  </si>
  <si>
    <t>2486/13</t>
  </si>
  <si>
    <t>Extraordinary Gazette 2486/13 — Government notice</t>
  </si>
  <si>
    <t>m1/raw/2486_13.pdf</t>
  </si>
  <si>
    <t>d9bd2f4d-36d9-4f40-9bb5-37a2c00a27dc</t>
  </si>
  <si>
    <t>2486_10</t>
  </si>
  <si>
    <t>2486/10</t>
  </si>
  <si>
    <t>Town and Country Planning Ordinance — Development plan / Sacred Area declaration (Gazette 2486/10)</t>
  </si>
  <si>
    <t>m1/raw/2486_10.pdf</t>
  </si>
  <si>
    <t>d331eb4b-c90e-4e20-b0d8-c0ed57a00dd1</t>
  </si>
  <si>
    <t>2486_02</t>
  </si>
  <si>
    <t>2486/02</t>
  </si>
  <si>
    <t>Extraordinary Gazette 2486/02 — Government notice</t>
  </si>
  <si>
    <t>m1/raw/2486_02.pdf</t>
  </si>
  <si>
    <t>87022421-c884-404e-bdf7-84accf36c339</t>
  </si>
  <si>
    <t>2483_02</t>
  </si>
  <si>
    <t>2483/02</t>
  </si>
  <si>
    <t>Extraordinary Gazette 2483/02 — Government notice</t>
  </si>
  <si>
    <t>m1/raw/2483_02.pdf</t>
  </si>
  <si>
    <t>1a934ca5-1a65-41ea-b1cb-6263a5bda562</t>
  </si>
  <si>
    <t>2482_12</t>
  </si>
  <si>
    <t>2482/12</t>
  </si>
  <si>
    <t>Extraordinary Gazette 2482/12 — Government notice</t>
  </si>
  <si>
    <t>m1/raw/2482_12.pdf</t>
  </si>
  <si>
    <t>af0bb10a-8cf1-49f1-ac55-14cd3a4c3f98</t>
  </si>
  <si>
    <t>2484_02</t>
  </si>
  <si>
    <t>2484/02</t>
  </si>
  <si>
    <t>Extraordinary Gazette 2484/02 — Government notice</t>
  </si>
  <si>
    <t>m1/raw/2484_02.pdf</t>
  </si>
  <si>
    <t>37ed997d-31b5-4794-b64e-3ad5d3cb6eb3</t>
  </si>
  <si>
    <t>2485_15</t>
  </si>
  <si>
    <t>2485/15</t>
  </si>
  <si>
    <t>Extraordinary Gazette 2485/15 — Government notice</t>
  </si>
  <si>
    <t>m1/raw/2485_15.pdf</t>
  </si>
  <si>
    <t>797293ca-1ee5-402c-9b93-2fa4fe34f222</t>
  </si>
  <si>
    <t>2485_57</t>
  </si>
  <si>
    <t>2485/57</t>
  </si>
  <si>
    <t>Local Authorities Elections Ordinance — Election Commission notice (Gazette 2485/57)</t>
  </si>
  <si>
    <t>m1/raw/2485_57.pdf</t>
  </si>
  <si>
    <t>0e43703e-7111-4b37-af67-ead3944aed42</t>
  </si>
  <si>
    <t>2484_25</t>
  </si>
  <si>
    <t>2484/25</t>
  </si>
  <si>
    <t>Title Registration Act, No. 21 of 1998, Section 14 — Commissioner of Title Settlement's decision under Section 14 (Gazette 2484/25)</t>
  </si>
  <si>
    <t>m1/raw/2484_25.pdf</t>
  </si>
  <si>
    <t>acf39f4b-ba4e-445f-8393-e4c5b1f32e59</t>
  </si>
  <si>
    <t>2484_36</t>
  </si>
  <si>
    <t>2484/36</t>
  </si>
  <si>
    <t>Title Registration Act, No. 21 of 1998, Section 14 — Commissioner of Title Settlement's decision under Section 14 (Gazette 2484/36)</t>
  </si>
  <si>
    <t>m1/raw/2484_36.pdf</t>
  </si>
  <si>
    <t>10f55a52-ff66-4b38-8dc2-3696fe449ff1</t>
  </si>
  <si>
    <t>2482_29</t>
  </si>
  <si>
    <t>2482/29</t>
  </si>
  <si>
    <t>Title Registration Act, No. 21 of 1998, Section 14 — Commissioner of Title Settlement's decision under Section 14 (Gazette 2482/29)</t>
  </si>
  <si>
    <t>m1/raw/2482_29.pdf</t>
  </si>
  <si>
    <t>d129b403-b2f7-40e4-8989-416d4091d0c6</t>
  </si>
  <si>
    <t>2485_36</t>
  </si>
  <si>
    <t>2485/36</t>
  </si>
  <si>
    <t>Extraordinary Gazette 2485/36 — Government notice</t>
  </si>
  <si>
    <t>m1/raw/2485_36.pdf</t>
  </si>
  <si>
    <t>2dca657e-496b-4218-a830-3905da5fca20</t>
  </si>
  <si>
    <t>2485_01</t>
  </si>
  <si>
    <t>2485/01</t>
  </si>
  <si>
    <t>Customs Ordinance (Chapter 235) — Customs notification (Gazette 2485/01)</t>
  </si>
  <si>
    <t>m1/raw/2485_01.pdf</t>
  </si>
  <si>
    <t>414b87a0-89d6-4517-91f5-c7226794787b</t>
  </si>
  <si>
    <t>2486_01</t>
  </si>
  <si>
    <t>2486/01</t>
  </si>
  <si>
    <t>Extraordinary Gazette 2486/01 — Government notice</t>
  </si>
  <si>
    <t>m1/raw/2486_01.pdf</t>
  </si>
  <si>
    <t>6eebe931-b18c-45c4-a8d5-95ad077d7afe</t>
  </si>
  <si>
    <t>2484_08</t>
  </si>
  <si>
    <t>2484/08</t>
  </si>
  <si>
    <t>Extraordinary Gazette 2484/08 — Government notice</t>
  </si>
  <si>
    <t>m1/raw/2484_08.pdf</t>
  </si>
  <si>
    <t>6824ed08-7aef-477c-99d2-47b7e07cba6d</t>
  </si>
  <si>
    <t>2485_61</t>
  </si>
  <si>
    <t>2485/61</t>
  </si>
  <si>
    <t>Land Acquisition Act (Chapter 460), Section 5 — Notice of Intended Acquisition (Gazette 2485/61)</t>
  </si>
  <si>
    <t>m1/raw/2485_61.pdf</t>
  </si>
  <si>
    <t>cb8f11df-d138-41dd-ae6c-222d04f23c1a</t>
  </si>
  <si>
    <t>2483_01</t>
  </si>
  <si>
    <t>2483/01</t>
  </si>
  <si>
    <t>Customs Ordinance — Customs notice (Gazette 2483/01)</t>
  </si>
  <si>
    <t>m1/raw/2483_01.pdf</t>
  </si>
  <si>
    <t>64ab7693-3992-45fe-a81b-6b2193db8e19</t>
  </si>
  <si>
    <t>2484_01</t>
  </si>
  <si>
    <t>2484/01</t>
  </si>
  <si>
    <t>Customs Ordinance — Customs notice (Gazette 2484/01)</t>
  </si>
  <si>
    <t>m1/raw/2484_01.pdf</t>
  </si>
  <si>
    <t>b7bb3147-c990-447f-bdef-1f18da426413</t>
  </si>
  <si>
    <t>2485_38</t>
  </si>
  <si>
    <t>2485/38</t>
  </si>
  <si>
    <t>Extraordinary Gazette 2485/38 — Government notice</t>
  </si>
  <si>
    <t>m1/raw/2485_38.pdf</t>
  </si>
  <si>
    <t>5c577a7d-a547-4bb2-94a7-e00cb427aa6e</t>
  </si>
  <si>
    <t>2483_67</t>
  </si>
  <si>
    <t>2483/67</t>
  </si>
  <si>
    <t>Customs Ordinance — Customs notice (Gazette 2483/67)</t>
  </si>
  <si>
    <t>m1/raw/2483_67.pdf</t>
  </si>
  <si>
    <t>e0ac6c60-cd89-4427-9d8b-9e143024d40a</t>
  </si>
  <si>
    <t>2483_71</t>
  </si>
  <si>
    <t>2483/71</t>
  </si>
  <si>
    <t>Customs Ordinance — Customs notice (Gazette 2483/71)</t>
  </si>
  <si>
    <t>m1/raw/2483_71.pdf</t>
  </si>
  <si>
    <t>cd92e590-4d69-4abd-817a-411ca8233443</t>
  </si>
  <si>
    <t>2482_10</t>
  </si>
  <si>
    <t>2482/10</t>
  </si>
  <si>
    <t>Industrial Disputes Act (Chapter 131), Section 4(1) — Industrial Award (Gazette 2482/10)</t>
  </si>
  <si>
    <t>m1/raw/2482_10.pdf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</si>
</sst>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h:mm"/>
  </numFmts>
  <fonts count="7" x14ac:knownFonts="1">
    <font>
      <sz val="11"/>
      <color theme="1"/>
      <name val="Aptos Narrow"/>
      <family val="2"/>
      <scheme val="minor"/>
    </font>
    <font>
      <b/>
      <sz val="11"/>
      <color theme="1"/>
      <name val="Aptos Narrow"/>
      <family val="2"/>
      <scheme val="minor"/>
    </font>
    <font>
      <b/>
      <sz val="14"/>
      <color rgb="FFFFFFFF"/>
      <name val="Arial"/>
      <family val="2"/>
    </font>
    <font>
      <b/>
      <sz val="12"/>
      <color rgb="FFFFFFFF"/>
      <name val="Arial"/>
      <family val="2"/>
    </font>
    <font>
      <b/>
      <sz val="11"/>
      <color rgb="FFFFFFFF"/>
      <name val="Arial"/>
      <family val="2"/>
    </font>
    <font>
      <sz val="10"/>
      <color theme="1"/>
      <name val="Arial"/>
      <family val="2"/>
    </font>
    <font>
      <b/>
      <sz val="10"/>
      <color theme="1"/>
      <name val="Arial"/>
      <family val="2"/>
    </font>
  </fonts>
  <fills count="7">
    <fill>
      <patternFill patternType="none"/>
    </fill>
    <fill>
      <patternFill patternType="gray125"/>
    </fill>
    <fill>
      <patternFill patternType="solid">
        <fgColor rgb="FF1F4E78"/>
        <bgColor indexed="64"/>
      </patternFill>
    </fill>
    <fill>
      <patternFill patternType="solid">
        <fgColor rgb="FF548235"/>
        <bgColor indexed="64"/>
      </patternFill>
    </fill>
    <fill>
      <patternFill patternType="solid">
        <fgColor rgb="FF2E75B6"/>
        <bgColor indexed="64"/>
      </patternFill>
    </fill>
    <fill>
      <patternFill patternType="solid">
        <fgColor theme="3" tint="0.89999084444715716"/>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22" fontId="0" fillId="0" borderId="0" xfId="0" applyNumberFormat="1"/>
    <xf numFmtId="0" fontId="2" fillId="2" borderId="0" xfId="0" applyFont="1" applyFill="1" applyAlignment="1">
      <alignment horizontal="center"/>
    </xf>
    <xf numFmtId="0" fontId="6" fillId="0" borderId="0" xfId="0" applyFont="1"/>
    <xf numFmtId="165" fontId="5" fillId="0" borderId="0" xfId="0" applyNumberFormat="1" applyFont="1"/>
    <xf numFmtId="0" fontId="6" fillId="0" borderId="0" xfId="0" applyFont="1" applyAlignment="1">
      <alignment horizontal="right"/>
    </xf>
    <xf numFmtId="0" fontId="6" fillId="0" borderId="0" xfId="0" applyFont="1" applyAlignment="1">
      <alignment horizontal="center"/>
    </xf>
    <xf numFmtId="0" fontId="3" fillId="3" borderId="0" xfId="0" applyFont="1" applyFill="1"/>
    <xf numFmtId="0" fontId="4" fillId="4" borderId="0" xfId="0" applyFont="1" applyFill="1" applyAlignment="1">
      <alignment horizontal="center"/>
    </xf>
    <xf numFmtId="0" fontId="1"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0" fillId="5" borderId="0" xfId="0" applyFill="1" applyAlignment="1">
      <alignment horizontal="center"/>
    </xf>
    <xf numFmtId="0" fontId="0" fillId="0" borderId="0" xfId="0" applyNumberFormat="1"/>
    <xf numFmtId="0" fontId="0" fillId="6" borderId="0" xfId="0" applyFill="1" applyAlignment="1">
      <alignment horizontal="center"/>
    </xf>
  </cellXfs>
  <cellStyles count="1">
    <cellStyle name="Normal" xfId="0" builtinId="0"/>
  </cellStyles>
  <dxfs count="40">
    <dxf>
      <numFmt numFmtId="27" formatCode="mm/dd/yyyy\ h:mm"/>
      <fill>
        <patternFill patternType="none">
          <fgColor indexed="64"/>
          <bgColor auto="1"/>
        </patternFill>
      </fill>
    </dxf>
    <dxf>
      <numFmt numFmtId="27" formatCode="mm/dd/yyyy\ h:mm"/>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27" formatCode="mm/dd/yyyy\ h:mm"/>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19" formatCode="mm/dd/yyyy"/>
      <fill>
        <patternFill patternType="none">
          <fgColor indexed="64"/>
          <bgColor auto="1"/>
        </patternFill>
      </fill>
    </dxf>
    <dxf>
      <numFmt numFmtId="19" formatCode="mm/dd/yyyy"/>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552508-DAF1-4411-A022-30160813961E}" name="m1_regulations_v6" displayName="m1_regulations_v6" ref="A1:AM801" totalsRowShown="0" dataDxfId="39">
  <autoFilter ref="A1:AM801" xr:uid="{7B552508-DAF1-4411-A022-30160813961E}"/>
  <sortState xmlns:xlrd2="http://schemas.microsoft.com/office/spreadsheetml/2017/richdata2" ref="A2:AM607">
    <sortCondition ref="B1:B607"/>
  </sortState>
  <tableColumns count="39">
    <tableColumn id="1" xr3:uid="{C8EE9A89-712B-441A-B024-9351AC3C01BD}" name="regulation_id" dataDxfId="38"/>
    <tableColumn id="2" xr3:uid="{06E6494E-89F6-43E1-B22F-2055D7688CE5}" name="regulation_short_code" dataDxfId="37"/>
    <tableColumn id="3" xr3:uid="{A9F5264F-6455-41C5-A839-ED4E72B3E136}" name="document_type" dataDxfId="36"/>
    <tableColumn id="4" xr3:uid="{9AC53756-A466-4E1E-9377-C3B3FDF689D2}" name="document_number" dataDxfId="35"/>
    <tableColumn id="5" xr3:uid="{94AEB2A8-D3D0-41FF-91CA-5F7E0BEEC6AB}" name="title_en" dataDxfId="34"/>
    <tableColumn id="6" xr3:uid="{D82B58E3-257C-4D30-AF6E-48DF2B2C5AD6}" name="title_si" dataDxfId="33"/>
    <tableColumn id="7" xr3:uid="{7ED4E9F2-011A-4707-A7D5-9CC6A4C61CB6}" name="title_ta" dataDxfId="32"/>
    <tableColumn id="8" xr3:uid="{EFD061EC-469C-4ED0-B135-6BA94AAB0073}" name="summary_en" dataDxfId="31"/>
    <tableColumn id="9" xr3:uid="{B411DF37-6D69-4531-83D9-A80815ECDDDE}" name="summary_si" dataDxfId="30"/>
    <tableColumn id="10" xr3:uid="{6C5BE6BB-6126-4226-96C2-34BB4D2E3A71}" name="summary_ta" dataDxfId="29"/>
    <tableColumn id="11" xr3:uid="{825716EB-D450-45EA-9439-EA491B1E6013}" name="principal_act_amended" dataDxfId="28"/>
    <tableColumn id="12" xr3:uid="{188E4A53-6C9D-4B3B-992B-255F7127B9EC}" name="cabinet_approval_date" dataDxfId="27"/>
    <tableColumn id="13" xr3:uid="{A8183957-29C3-47ED-ABE1-AFF14EBDA5E7}" name="bill_published_date" dataDxfId="26"/>
    <tableColumn id="14" xr3:uid="{BF6A7B66-FA7B-4AA8-9EDC-1DA62800B742}" name="gazette_published_date" dataDxfId="25"/>
    <tableColumn id="15" xr3:uid="{0C629256-3DD4-42F7-830C-AF4C3D9ED01C}" name="effective_date" dataDxfId="24"/>
    <tableColumn id="16" xr3:uid="{3A63C3F3-871C-4D7F-9DB8-F7E13A264FAC}" name="domain_code" dataDxfId="23"/>
    <tableColumn id="17" xr3:uid="{213DFDFC-47EE-4B7F-A35A-061855AEB391}" name="change_category" dataDxfId="22"/>
    <tableColumn id="18" xr3:uid="{E78D273A-B5B8-4C1D-80A0-6F2EC7EB6DDE}" name="severity_level" dataDxfId="21"/>
    <tableColumn id="19" xr3:uid="{8D0F1807-AB2F-4CE1-A198-5425E05E58B2}" name="is_sme_relevant" dataDxfId="20"/>
    <tableColumn id="20" xr3:uid="{C20ACA3C-688C-45FE-B8E8-EDAAED92C72D}" name="penalty_range_lkr" dataDxfId="19"/>
    <tableColumn id="21" xr3:uid="{22BF6C1E-E578-4CA7-9F2D-955EE9C2A75F}" name="real_world_example_en" dataDxfId="18"/>
    <tableColumn id="22" xr3:uid="{53A1A7F7-9FCB-4946-9B71-B4EB4140D583}" name="real_world_example_si" dataDxfId="17"/>
    <tableColumn id="23" xr3:uid="{2A617098-92A0-42E5-9AE8-D701ECA10550}" name="real_world_example_ta" dataDxfId="16"/>
    <tableColumn id="24" xr3:uid="{7633533C-06C4-415A-AA22-28DB758D78D3}" name="source_url" dataDxfId="15"/>
    <tableColumn id="25" xr3:uid="{B52A4044-B497-4EF6-9D9F-DA00C1F73A62}" name="expert_verified" dataDxfId="14"/>
    <tableColumn id="26" xr3:uid="{12AFF280-BB44-4CC3-BD39-B552B6A1D16C}" name="expert_verified_by" dataDxfId="13"/>
    <tableColumn id="27" xr3:uid="{34560837-201E-4A89-8B9D-AFE94728AEF0}" name="expert_verified_at" dataDxfId="12"/>
    <tableColumn id="28" xr3:uid="{198D00BC-1B37-44AE-8B23-E8DE62B7BD89}" name="sme_relevance_confidence" dataDxfId="11"/>
    <tableColumn id="29" xr3:uid="{CE51D3C7-D8B9-4DAA-904D-492496147F66}" name="is_active" dataDxfId="10"/>
    <tableColumn id="30" xr3:uid="{A75B6738-C0E9-46EB-AE9E-DCD9CA2640D7}" name="status" dataDxfId="9"/>
    <tableColumn id="31" xr3:uid="{5A871E7A-7340-4E97-AC09-D92B410935DA}" name="raw_pdf_path" dataDxfId="8"/>
    <tableColumn id="32" xr3:uid="{ED78E70E-56CB-4C17-978C-23C431D7BB87}" name="gazette_number" dataDxfId="7"/>
    <tableColumn id="33" xr3:uid="{81BBE38B-0295-4189-81E5-CE3ED51C7D43}" name="raw_text" dataDxfId="6"/>
    <tableColumn id="34" xr3:uid="{A4B82E8D-C5CC-4474-9103-E629FAB9889C}" name="extraction_method" dataDxfId="5"/>
    <tableColumn id="35" xr3:uid="{55FEF850-9F5A-4A4E-AF7C-1233D75F4FFA}" name="extracted_at" dataDxfId="4"/>
    <tableColumn id="36" xr3:uid="{CFB16056-DDB9-40FD-9FCC-2CAEA05E390F}" name="cleaned_text" dataDxfId="3"/>
    <tableColumn id="37" xr3:uid="{DB590DBA-83A5-4563-867D-790BCB5E23A3}" name="amendment_type" dataDxfId="2"/>
    <tableColumn id="38" xr3:uid="{B1349D20-3BC4-4999-825B-8EDEC7713EFA}" name="created_at" dataDxfId="1"/>
    <tableColumn id="39" xr3:uid="{907C89C9-75D0-45BC-A89E-A2A61AA1A168}" name="updated_a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BE7CD8-BCD9-4CA5-85F4-17D9D9DF8EC2}">
  <we:reference id="WA200009404" version="1.0.0.8" store="Omex" storeType="OMEX"/>
  <we:alternateReferences>
    <we:reference id="WA200009404" version="1.0.0.8" store="WA200009404" storeType="OMEX"/>
  </we:alternateReferences>
  <we:properties>
    <we:property name="claude.fileId" value="&quot;83e5c11d-e2ae-487e-92c0-2c0974e1809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201C-4BAD-4CD1-A42C-B47FB79C0ADD}">
  <dimension ref="A1:E115"/>
  <sheetViews>
    <sheetView tabSelected="1" topLeftCell="A29" workbookViewId="0">
      <selection activeCell="D11" sqref="D11"/>
    </sheetView>
  </sheetViews>
  <sheetFormatPr defaultRowHeight="14.4" x14ac:dyDescent="0.3"/>
  <cols>
    <col min="1" max="1" width="37" customWidth="1"/>
    <col min="2" max="2" width="16.6640625" customWidth="1"/>
    <col min="3" max="4" width="24.109375" customWidth="1"/>
    <col min="5" max="5" width="20.33203125" customWidth="1"/>
  </cols>
  <sheetData>
    <row r="1" spans="1:5" ht="17.399999999999999" x14ac:dyDescent="0.3">
      <c r="A1" s="3" t="s">
        <v>3034</v>
      </c>
    </row>
    <row r="2" spans="1:5" x14ac:dyDescent="0.3">
      <c r="A2" s="4" t="s">
        <v>3052</v>
      </c>
      <c r="B2" s="5">
        <f ca="1">NOW()</f>
        <v>46160.91155960648</v>
      </c>
      <c r="D2" s="6" t="s">
        <v>3053</v>
      </c>
      <c r="E2" s="7">
        <f>ROWS(m1_regulations_v6[regulation_id])</f>
        <v>800</v>
      </c>
    </row>
    <row r="4" spans="1:5" ht="15.6" x14ac:dyDescent="0.3">
      <c r="A4" s="8" t="s">
        <v>3035</v>
      </c>
    </row>
    <row r="5" spans="1:5" x14ac:dyDescent="0.3">
      <c r="A5" s="9" t="s">
        <v>3036</v>
      </c>
      <c r="B5" s="9" t="s">
        <v>3037</v>
      </c>
    </row>
    <row r="6" spans="1:5" x14ac:dyDescent="0.3">
      <c r="A6" t="s">
        <v>3038</v>
      </c>
      <c r="B6" s="10">
        <f>COUNTA(m1_regulations_v6[regulation_id])</f>
        <v>800</v>
      </c>
    </row>
    <row r="7" spans="1:5" x14ac:dyDescent="0.3">
      <c r="A7" t="s">
        <v>3039</v>
      </c>
      <c r="B7" s="10">
        <f>COUNTIF(m1_regulations_v6[is_active],TRUE)</f>
        <v>800</v>
      </c>
    </row>
    <row r="8" spans="1:5" x14ac:dyDescent="0.3">
      <c r="A8" t="s">
        <v>3040</v>
      </c>
      <c r="B8" s="10">
        <f>COUNTIF(m1_regulations_v6[is_active],FALSE)</f>
        <v>0</v>
      </c>
    </row>
    <row r="9" spans="1:5" x14ac:dyDescent="0.3">
      <c r="A9" t="s">
        <v>3041</v>
      </c>
      <c r="B9" s="10">
        <f>COUNTIF(m1_regulations_v6[is_sme_relevant],TRUE)</f>
        <v>240</v>
      </c>
    </row>
    <row r="10" spans="1:5" x14ac:dyDescent="0.3">
      <c r="A10" t="s">
        <v>3042</v>
      </c>
      <c r="B10" s="10">
        <f>COUNTIF(m1_regulations_v6[is_sme_relevant],FALSE)</f>
        <v>560</v>
      </c>
    </row>
    <row r="12" spans="1:5" ht="15.6" x14ac:dyDescent="0.3">
      <c r="A12" s="8" t="s">
        <v>3043</v>
      </c>
    </row>
    <row r="13" spans="1:5" x14ac:dyDescent="0.3">
      <c r="A13" s="9" t="s">
        <v>3044</v>
      </c>
      <c r="B13" s="9" t="s">
        <v>3037</v>
      </c>
    </row>
    <row r="14" spans="1:5" x14ac:dyDescent="0.3">
      <c r="A14" t="s">
        <v>3045</v>
      </c>
      <c r="B14" s="10">
        <f>COUNTIFS(m1_regulations_v6[is_active],TRUE,m1_regulations_v6[is_sme_relevant],TRUE)</f>
        <v>240</v>
      </c>
    </row>
    <row r="15" spans="1:5" x14ac:dyDescent="0.3">
      <c r="A15" t="s">
        <v>3046</v>
      </c>
      <c r="B15" s="10">
        <f>COUNTIFS(m1_regulations_v6[is_active],TRUE,m1_regulations_v6[is_sme_relevant],FALSE)</f>
        <v>560</v>
      </c>
    </row>
    <row r="16" spans="1:5" x14ac:dyDescent="0.3">
      <c r="A16" t="s">
        <v>3047</v>
      </c>
      <c r="B16" s="10">
        <f>COUNTIFS(m1_regulations_v6[is_active],FALSE,m1_regulations_v6[is_sme_relevant],TRUE)</f>
        <v>0</v>
      </c>
    </row>
    <row r="17" spans="1:5" x14ac:dyDescent="0.3">
      <c r="A17" t="s">
        <v>3048</v>
      </c>
      <c r="B17" s="10">
        <f>COUNTIFS(m1_regulations_v6[is_active],FALSE,m1_regulations_v6[is_sme_relevant],FALSE)</f>
        <v>0</v>
      </c>
    </row>
    <row r="19" spans="1:5" ht="15.6" x14ac:dyDescent="0.3">
      <c r="A19" s="8" t="s">
        <v>3054</v>
      </c>
    </row>
    <row r="20" spans="1:5" x14ac:dyDescent="0.3">
      <c r="A20" s="9" t="s">
        <v>3049</v>
      </c>
      <c r="B20" s="9" t="s">
        <v>3050</v>
      </c>
      <c r="C20" s="9" t="s">
        <v>3045</v>
      </c>
      <c r="D20" s="9" t="s">
        <v>3046</v>
      </c>
      <c r="E20" s="9" t="s">
        <v>3051</v>
      </c>
    </row>
    <row r="21" spans="1:5" x14ac:dyDescent="0.3">
      <c r="A21" t="str" cm="1">
        <f t="array" ref="A21:A44">_xlfn._xlws.SORT(_xlfn.UNIQUE(_xlfn._xlws.FILTER(m1_regulations_v6[domain_code],m1_regulations_v6[domain_code]&lt;&gt;"")))</f>
        <v>aviation</v>
      </c>
      <c r="B21" s="11">
        <f>IF(A21="","",COUNTIF(m1_regulations_v6[domain_code],A21))</f>
        <v>3</v>
      </c>
      <c r="C21" s="13">
        <f>IF(A21="","",COUNTIFS(m1_regulations_v6[domain_code],A21,m1_regulations_v6[is_active],TRUE,m1_regulations_v6[is_sme_relevant],TRUE))</f>
        <v>2</v>
      </c>
      <c r="D21" s="11">
        <f>IF(A21="","",COUNTIFS(m1_regulations_v6[domain_code],A21,m1_regulations_v6[is_active],TRUE,m1_regulations_v6[is_sme_relevant],FALSE))</f>
        <v>1</v>
      </c>
      <c r="E21" s="12">
        <f>IFERROR(IF(A21="","",COUNTIFS(m1_regulations_v6[domain_code],A21,m1_regulations_v6[is_sme_relevant],TRUE)/COUNTIF(m1_regulations_v6[domain_code],A21)),"")</f>
        <v>0.66666666666666663</v>
      </c>
    </row>
    <row r="22" spans="1:5" x14ac:dyDescent="0.3">
      <c r="A22" t="str">
        <v>cooperative_societies</v>
      </c>
      <c r="B22" s="11">
        <f>IF(A22="","",COUNTIF(m1_regulations_v6[domain_code],A22))</f>
        <v>4</v>
      </c>
      <c r="C22" s="13">
        <f>IF(A22="","",COUNTIFS(m1_regulations_v6[domain_code],A22,m1_regulations_v6[is_active],TRUE,m1_regulations_v6[is_sme_relevant],TRUE))</f>
        <v>4</v>
      </c>
      <c r="D22" s="11">
        <f>IF(A22="","",COUNTIFS(m1_regulations_v6[domain_code],A22,m1_regulations_v6[is_active],TRUE,m1_regulations_v6[is_sme_relevant],FALSE))</f>
        <v>0</v>
      </c>
      <c r="E22" s="12">
        <f>IFERROR(IF(A22="","",COUNTIFS(m1_regulations_v6[domain_code],A22,m1_regulations_v6[is_sme_relevant],TRUE)/COUNTIF(m1_regulations_v6[domain_code],A22)),"")</f>
        <v>1</v>
      </c>
    </row>
    <row r="23" spans="1:5" x14ac:dyDescent="0.3">
      <c r="A23" t="str">
        <v>corporate</v>
      </c>
      <c r="B23" s="11">
        <f>IF(A23="","",COUNTIF(m1_regulations_v6[domain_code],A23))</f>
        <v>1</v>
      </c>
      <c r="C23" s="13">
        <f>IF(A23="","",COUNTIFS(m1_regulations_v6[domain_code],A23,m1_regulations_v6[is_active],TRUE,m1_regulations_v6[is_sme_relevant],TRUE))</f>
        <v>1</v>
      </c>
      <c r="D23" s="11">
        <f>IF(A23="","",COUNTIFS(m1_regulations_v6[domain_code],A23,m1_regulations_v6[is_active],TRUE,m1_regulations_v6[is_sme_relevant],FALSE))</f>
        <v>0</v>
      </c>
      <c r="E23" s="12">
        <f>IFERROR(IF(A23="","",COUNTIFS(m1_regulations_v6[domain_code],A23,m1_regulations_v6[is_sme_relevant],TRUE)/COUNTIF(m1_regulations_v6[domain_code],A23)),"")</f>
        <v>1</v>
      </c>
    </row>
    <row r="24" spans="1:5" x14ac:dyDescent="0.3">
      <c r="A24" t="str">
        <v>customs</v>
      </c>
      <c r="B24" s="11">
        <f>IF(A24="","",COUNTIF(m1_regulations_v6[domain_code],A24))</f>
        <v>71</v>
      </c>
      <c r="C24" s="15">
        <f>IF(A24="","",COUNTIFS(m1_regulations_v6[domain_code],A24,m1_regulations_v6[is_active],TRUE,m1_regulations_v6[is_sme_relevant],TRUE))</f>
        <v>71</v>
      </c>
      <c r="D24" s="11">
        <f>IF(A24="","",COUNTIFS(m1_regulations_v6[domain_code],A24,m1_regulations_v6[is_active],TRUE,m1_regulations_v6[is_sme_relevant],FALSE))</f>
        <v>0</v>
      </c>
      <c r="E24" s="12">
        <f>IFERROR(IF(A24="","",COUNTIFS(m1_regulations_v6[domain_code],A24,m1_regulations_v6[is_sme_relevant],TRUE)/COUNTIF(m1_regulations_v6[domain_code],A24)),"")</f>
        <v>1</v>
      </c>
    </row>
    <row r="25" spans="1:5" x14ac:dyDescent="0.3">
      <c r="A25" t="str">
        <v>defence</v>
      </c>
      <c r="B25" s="11">
        <f>IF(A25="","",COUNTIF(m1_regulations_v6[domain_code],A25))</f>
        <v>7</v>
      </c>
      <c r="C25" s="13">
        <f>IF(A25="","",COUNTIFS(m1_regulations_v6[domain_code],A25,m1_regulations_v6[is_active],TRUE,m1_regulations_v6[is_sme_relevant],TRUE))</f>
        <v>0</v>
      </c>
      <c r="D25" s="11">
        <f>IF(A25="","",COUNTIFS(m1_regulations_v6[domain_code],A25,m1_regulations_v6[is_active],TRUE,m1_regulations_v6[is_sme_relevant],FALSE))</f>
        <v>7</v>
      </c>
      <c r="E25" s="12">
        <f>IFERROR(IF(A25="","",COUNTIFS(m1_regulations_v6[domain_code],A25,m1_regulations_v6[is_sme_relevant],TRUE)/COUNTIF(m1_regulations_v6[domain_code],A25)),"")</f>
        <v>0</v>
      </c>
    </row>
    <row r="26" spans="1:5" x14ac:dyDescent="0.3">
      <c r="A26" t="str">
        <v>elections</v>
      </c>
      <c r="B26" s="11">
        <f>IF(A26="","",COUNTIF(m1_regulations_v6[domain_code],A26))</f>
        <v>21</v>
      </c>
      <c r="C26" s="13">
        <f>IF(A26="","",COUNTIFS(m1_regulations_v6[domain_code],A26,m1_regulations_v6[is_active],TRUE,m1_regulations_v6[is_sme_relevant],TRUE))</f>
        <v>0</v>
      </c>
      <c r="D26" s="11">
        <f>IF(A26="","",COUNTIFS(m1_regulations_v6[domain_code],A26,m1_regulations_v6[is_active],TRUE,m1_regulations_v6[is_sme_relevant],FALSE))</f>
        <v>21</v>
      </c>
      <c r="E26" s="12">
        <f>IFERROR(IF(A26="","",COUNTIFS(m1_regulations_v6[domain_code],A26,m1_regulations_v6[is_sme_relevant],TRUE)/COUNTIF(m1_regulations_v6[domain_code],A26)),"")</f>
        <v>0</v>
      </c>
    </row>
    <row r="27" spans="1:5" x14ac:dyDescent="0.3">
      <c r="A27" t="str">
        <v>energy</v>
      </c>
      <c r="B27" s="11">
        <f>IF(A27="","",COUNTIF(m1_regulations_v6[domain_code],A27))</f>
        <v>8</v>
      </c>
      <c r="C27" s="13">
        <f>IF(A27="","",COUNTIFS(m1_regulations_v6[domain_code],A27,m1_regulations_v6[is_active],TRUE,m1_regulations_v6[is_sme_relevant],TRUE))</f>
        <v>8</v>
      </c>
      <c r="D27" s="11">
        <f>IF(A27="","",COUNTIFS(m1_regulations_v6[domain_code],A27,m1_regulations_v6[is_active],TRUE,m1_regulations_v6[is_sme_relevant],FALSE))</f>
        <v>0</v>
      </c>
      <c r="E27" s="12">
        <f>IFERROR(IF(A27="","",COUNTIFS(m1_regulations_v6[domain_code],A27,m1_regulations_v6[is_sme_relevant],TRUE)/COUNTIF(m1_regulations_v6[domain_code],A27)),"")</f>
        <v>1</v>
      </c>
    </row>
    <row r="28" spans="1:5" x14ac:dyDescent="0.3">
      <c r="A28" t="str">
        <v>environment</v>
      </c>
      <c r="B28" s="11">
        <f>IF(A28="","",COUNTIF(m1_regulations_v6[domain_code],A28))</f>
        <v>5</v>
      </c>
      <c r="C28" s="13">
        <f>IF(A28="","",COUNTIFS(m1_regulations_v6[domain_code],A28,m1_regulations_v6[is_active],TRUE,m1_regulations_v6[is_sme_relevant],TRUE))</f>
        <v>5</v>
      </c>
      <c r="D28" s="11">
        <f>IF(A28="","",COUNTIFS(m1_regulations_v6[domain_code],A28,m1_regulations_v6[is_active],TRUE,m1_regulations_v6[is_sme_relevant],FALSE))</f>
        <v>0</v>
      </c>
      <c r="E28" s="12">
        <f>IFERROR(IF(A28="","",COUNTIFS(m1_regulations_v6[domain_code],A28,m1_regulations_v6[is_sme_relevant],TRUE)/COUNTIF(m1_regulations_v6[domain_code],A28)),"")</f>
        <v>1</v>
      </c>
    </row>
    <row r="29" spans="1:5" x14ac:dyDescent="0.3">
      <c r="A29" t="str">
        <v>finance</v>
      </c>
      <c r="B29" s="11">
        <f>IF(A29="","",COUNTIF(m1_regulations_v6[domain_code],A29))</f>
        <v>10</v>
      </c>
      <c r="C29" s="15">
        <f>IF(A29="","",COUNTIFS(m1_regulations_v6[domain_code],A29,m1_regulations_v6[is_active],TRUE,m1_regulations_v6[is_sme_relevant],TRUE))</f>
        <v>10</v>
      </c>
      <c r="D29" s="11">
        <f>IF(A29="","",COUNTIFS(m1_regulations_v6[domain_code],A29,m1_regulations_v6[is_active],TRUE,m1_regulations_v6[is_sme_relevant],FALSE))</f>
        <v>0</v>
      </c>
      <c r="E29" s="12">
        <f>IFERROR(IF(A29="","",COUNTIFS(m1_regulations_v6[domain_code],A29,m1_regulations_v6[is_sme_relevant],TRUE)/COUNTIF(m1_regulations_v6[domain_code],A29)),"")</f>
        <v>1</v>
      </c>
    </row>
    <row r="30" spans="1:5" x14ac:dyDescent="0.3">
      <c r="A30" t="str">
        <v>general</v>
      </c>
      <c r="B30" s="11">
        <f>IF(A30="","",COUNTIF(m1_regulations_v6[domain_code],A30))</f>
        <v>106</v>
      </c>
      <c r="C30" s="13">
        <f>IF(A30="","",COUNTIFS(m1_regulations_v6[domain_code],A30,m1_regulations_v6[is_active],TRUE,m1_regulations_v6[is_sme_relevant],TRUE))</f>
        <v>3</v>
      </c>
      <c r="D30" s="11">
        <f>IF(A30="","",COUNTIFS(m1_regulations_v6[domain_code],A30,m1_regulations_v6[is_active],TRUE,m1_regulations_v6[is_sme_relevant],FALSE))</f>
        <v>103</v>
      </c>
      <c r="E30" s="12">
        <f>IFERROR(IF(A30="","",COUNTIFS(m1_regulations_v6[domain_code],A30,m1_regulations_v6[is_sme_relevant],TRUE)/COUNTIF(m1_regulations_v6[domain_code],A30)),"")</f>
        <v>2.8301886792452831E-2</v>
      </c>
    </row>
    <row r="31" spans="1:5" x14ac:dyDescent="0.3">
      <c r="A31" t="str">
        <v>industry</v>
      </c>
      <c r="B31" s="11">
        <f>IF(A31="","",COUNTIF(m1_regulations_v6[domain_code],A31))</f>
        <v>3</v>
      </c>
      <c r="C31" s="13">
        <f>IF(A31="","",COUNTIFS(m1_regulations_v6[domain_code],A31,m1_regulations_v6[is_active],TRUE,m1_regulations_v6[is_sme_relevant],TRUE))</f>
        <v>3</v>
      </c>
      <c r="D31" s="11">
        <f>IF(A31="","",COUNTIFS(m1_regulations_v6[domain_code],A31,m1_regulations_v6[is_active],TRUE,m1_regulations_v6[is_sme_relevant],FALSE))</f>
        <v>0</v>
      </c>
      <c r="E31" s="12">
        <f>IFERROR(IF(A31="","",COUNTIFS(m1_regulations_v6[domain_code],A31,m1_regulations_v6[is_sme_relevant],TRUE)/COUNTIF(m1_regulations_v6[domain_code],A31)),"")</f>
        <v>1</v>
      </c>
    </row>
    <row r="32" spans="1:5" x14ac:dyDescent="0.3">
      <c r="A32" t="str">
        <v>justice</v>
      </c>
      <c r="B32" s="11">
        <f>IF(A32="","",COUNTIF(m1_regulations_v6[domain_code],A32))</f>
        <v>3</v>
      </c>
      <c r="C32" s="13">
        <f>IF(A32="","",COUNTIFS(m1_regulations_v6[domain_code],A32,m1_regulations_v6[is_active],TRUE,m1_regulations_v6[is_sme_relevant],TRUE))</f>
        <v>2</v>
      </c>
      <c r="D32" s="11">
        <f>IF(A32="","",COUNTIFS(m1_regulations_v6[domain_code],A32,m1_regulations_v6[is_active],TRUE,m1_regulations_v6[is_sme_relevant],FALSE))</f>
        <v>1</v>
      </c>
      <c r="E32" s="12">
        <f>IFERROR(IF(A32="","",COUNTIFS(m1_regulations_v6[domain_code],A32,m1_regulations_v6[is_sme_relevant],TRUE)/COUNTIF(m1_regulations_v6[domain_code],A32)),"")</f>
        <v>0.66666666666666663</v>
      </c>
    </row>
    <row r="33" spans="1:5" x14ac:dyDescent="0.3">
      <c r="A33" t="str">
        <v>labour</v>
      </c>
      <c r="B33" s="11">
        <f>IF(A33="","",COUNTIF(m1_regulations_v6[domain_code],A33))</f>
        <v>18</v>
      </c>
      <c r="C33" s="15">
        <f>IF(A33="","",COUNTIFS(m1_regulations_v6[domain_code],A33,m1_regulations_v6[is_active],TRUE,m1_regulations_v6[is_sme_relevant],TRUE))</f>
        <v>18</v>
      </c>
      <c r="D33" s="11">
        <f>IF(A33="","",COUNTIFS(m1_regulations_v6[domain_code],A33,m1_regulations_v6[is_active],TRUE,m1_regulations_v6[is_sme_relevant],FALSE))</f>
        <v>0</v>
      </c>
      <c r="E33" s="12">
        <f>IFERROR(IF(A33="","",COUNTIFS(m1_regulations_v6[domain_code],A33,m1_regulations_v6[is_sme_relevant],TRUE)/COUNTIF(m1_regulations_v6[domain_code],A33)),"")</f>
        <v>1</v>
      </c>
    </row>
    <row r="34" spans="1:5" x14ac:dyDescent="0.3">
      <c r="A34" t="str">
        <v>lands</v>
      </c>
      <c r="B34" s="11">
        <f>IF(A34="","",COUNTIF(m1_regulations_v6[domain_code],A34))</f>
        <v>449</v>
      </c>
      <c r="C34" s="15">
        <f>IF(A34="","",COUNTIFS(m1_regulations_v6[domain_code],A34,m1_regulations_v6[is_active],TRUE,m1_regulations_v6[is_sme_relevant],TRUE))</f>
        <v>90</v>
      </c>
      <c r="D34" s="11">
        <f>IF(A34="","",COUNTIFS(m1_regulations_v6[domain_code],A34,m1_regulations_v6[is_active],TRUE,m1_regulations_v6[is_sme_relevant],FALSE))</f>
        <v>359</v>
      </c>
      <c r="E34" s="12">
        <f>IFERROR(IF(A34="","",COUNTIFS(m1_regulations_v6[domain_code],A34,m1_regulations_v6[is_sme_relevant],TRUE)/COUNTIF(m1_regulations_v6[domain_code],A34)),"")</f>
        <v>0.20044543429844097</v>
      </c>
    </row>
    <row r="35" spans="1:5" x14ac:dyDescent="0.3">
      <c r="A35" t="str">
        <v>local_government</v>
      </c>
      <c r="B35" s="11">
        <f>IF(A35="","",COUNTIF(m1_regulations_v6[domain_code],A35))</f>
        <v>19</v>
      </c>
      <c r="C35" s="13">
        <f>IF(A35="","",COUNTIFS(m1_regulations_v6[domain_code],A35,m1_regulations_v6[is_active],TRUE,m1_regulations_v6[is_sme_relevant],TRUE))</f>
        <v>6</v>
      </c>
      <c r="D35" s="11">
        <f>IF(A35="","",COUNTIFS(m1_regulations_v6[domain_code],A35,m1_regulations_v6[is_active],TRUE,m1_regulations_v6[is_sme_relevant],FALSE))</f>
        <v>13</v>
      </c>
      <c r="E35" s="12">
        <f>IFERROR(IF(A35="","",COUNTIFS(m1_regulations_v6[domain_code],A35,m1_regulations_v6[is_sme_relevant],TRUE)/COUNTIF(m1_regulations_v6[domain_code],A35)),"")</f>
        <v>0.31578947368421051</v>
      </c>
    </row>
    <row r="36" spans="1:5" x14ac:dyDescent="0.3">
      <c r="A36" t="str">
        <v>ports_transport</v>
      </c>
      <c r="B36" s="11">
        <f>IF(A36="","",COUNTIF(m1_regulations_v6[domain_code],A36))</f>
        <v>3</v>
      </c>
      <c r="C36" s="13">
        <f>IF(A36="","",COUNTIFS(m1_regulations_v6[domain_code],A36,m1_regulations_v6[is_active],TRUE,m1_regulations_v6[is_sme_relevant],TRUE))</f>
        <v>3</v>
      </c>
      <c r="D36" s="11">
        <f>IF(A36="","",COUNTIFS(m1_regulations_v6[domain_code],A36,m1_regulations_v6[is_active],TRUE,m1_regulations_v6[is_sme_relevant],FALSE))</f>
        <v>0</v>
      </c>
      <c r="E36" s="12">
        <f>IFERROR(IF(A36="","",COUNTIFS(m1_regulations_v6[domain_code],A36,m1_regulations_v6[is_sme_relevant],TRUE)/COUNTIF(m1_regulations_v6[domain_code],A36)),"")</f>
        <v>1</v>
      </c>
    </row>
    <row r="37" spans="1:5" x14ac:dyDescent="0.3">
      <c r="A37" t="str">
        <v>provincial_councils</v>
      </c>
      <c r="B37" s="11">
        <f>IF(A37="","",COUNTIF(m1_regulations_v6[domain_code],A37))</f>
        <v>45</v>
      </c>
      <c r="C37" s="13">
        <f>IF(A37="","",COUNTIFS(m1_regulations_v6[domain_code],A37,m1_regulations_v6[is_active],TRUE,m1_regulations_v6[is_sme_relevant],TRUE))</f>
        <v>0</v>
      </c>
      <c r="D37" s="11">
        <f>IF(A37="","",COUNTIFS(m1_regulations_v6[domain_code],A37,m1_regulations_v6[is_active],TRUE,m1_regulations_v6[is_sme_relevant],FALSE))</f>
        <v>45</v>
      </c>
      <c r="E37" s="12">
        <f>IFERROR(IF(A37="","",COUNTIFS(m1_regulations_v6[domain_code],A37,m1_regulations_v6[is_sme_relevant],TRUE)/COUNTIF(m1_regulations_v6[domain_code],A37)),"")</f>
        <v>0</v>
      </c>
    </row>
    <row r="38" spans="1:5" x14ac:dyDescent="0.3">
      <c r="A38" t="str">
        <v>public_security</v>
      </c>
      <c r="B38" s="11">
        <f>IF(A38="","",COUNTIF(m1_regulations_v6[domain_code],A38))</f>
        <v>6</v>
      </c>
      <c r="C38" s="13">
        <f>IF(A38="","",COUNTIFS(m1_regulations_v6[domain_code],A38,m1_regulations_v6[is_active],TRUE,m1_regulations_v6[is_sme_relevant],TRUE))</f>
        <v>3</v>
      </c>
      <c r="D38" s="11">
        <f>IF(A38="","",COUNTIFS(m1_regulations_v6[domain_code],A38,m1_regulations_v6[is_active],TRUE,m1_regulations_v6[is_sme_relevant],FALSE))</f>
        <v>3</v>
      </c>
      <c r="E38" s="12">
        <f>IFERROR(IF(A38="","",COUNTIFS(m1_regulations_v6[domain_code],A38,m1_regulations_v6[is_sme_relevant],TRUE)/COUNTIF(m1_regulations_v6[domain_code],A38)),"")</f>
        <v>0.5</v>
      </c>
    </row>
    <row r="39" spans="1:5" x14ac:dyDescent="0.3">
      <c r="A39" t="str">
        <v>standards</v>
      </c>
      <c r="B39" s="11">
        <f>IF(A39="","",COUNTIF(m1_regulations_v6[domain_code],A39))</f>
        <v>7</v>
      </c>
      <c r="C39" s="13">
        <f>IF(A39="","",COUNTIFS(m1_regulations_v6[domain_code],A39,m1_regulations_v6[is_active],TRUE,m1_regulations_v6[is_sme_relevant],TRUE))</f>
        <v>7</v>
      </c>
      <c r="D39" s="11">
        <f>IF(A39="","",COUNTIFS(m1_regulations_v6[domain_code],A39,m1_regulations_v6[is_active],TRUE,m1_regulations_v6[is_sme_relevant],FALSE))</f>
        <v>0</v>
      </c>
      <c r="E39" s="12">
        <f>IFERROR(IF(A39="","",COUNTIFS(m1_regulations_v6[domain_code],A39,m1_regulations_v6[is_sme_relevant],TRUE)/COUNTIF(m1_regulations_v6[domain_code],A39)),"")</f>
        <v>1</v>
      </c>
    </row>
    <row r="40" spans="1:5" x14ac:dyDescent="0.3">
      <c r="A40" t="str">
        <v>technology</v>
      </c>
      <c r="B40" s="11">
        <f>IF(A40="","",COUNTIF(m1_regulations_v6[domain_code],A40))</f>
        <v>1</v>
      </c>
      <c r="C40" s="13">
        <f>IF(A40="","",COUNTIFS(m1_regulations_v6[domain_code],A40,m1_regulations_v6[is_active],TRUE,m1_regulations_v6[is_sme_relevant],TRUE))</f>
        <v>1</v>
      </c>
      <c r="D40" s="11">
        <f>IF(A40="","",COUNTIFS(m1_regulations_v6[domain_code],A40,m1_regulations_v6[is_active],TRUE,m1_regulations_v6[is_sme_relevant],FALSE))</f>
        <v>0</v>
      </c>
      <c r="E40" s="12">
        <f>IFERROR(IF(A40="","",COUNTIFS(m1_regulations_v6[domain_code],A40,m1_regulations_v6[is_sme_relevant],TRUE)/COUNTIF(m1_regulations_v6[domain_code],A40)),"")</f>
        <v>1</v>
      </c>
    </row>
    <row r="41" spans="1:5" x14ac:dyDescent="0.3">
      <c r="A41" t="str">
        <v>tourism</v>
      </c>
      <c r="B41" s="11">
        <f>IF(A41="","",COUNTIF(m1_regulations_v6[domain_code],A41))</f>
        <v>1</v>
      </c>
      <c r="C41" s="13">
        <f>IF(A41="","",COUNTIFS(m1_regulations_v6[domain_code],A41,m1_regulations_v6[is_active],TRUE,m1_regulations_v6[is_sme_relevant],TRUE))</f>
        <v>1</v>
      </c>
      <c r="D41" s="11">
        <f>IF(A41="","",COUNTIFS(m1_regulations_v6[domain_code],A41,m1_regulations_v6[is_active],TRUE,m1_regulations_v6[is_sme_relevant],FALSE))</f>
        <v>0</v>
      </c>
      <c r="E41" s="12">
        <f>IFERROR(IF(A41="","",COUNTIFS(m1_regulations_v6[domain_code],A41,m1_regulations_v6[is_sme_relevant],TRUE)/COUNTIF(m1_regulations_v6[domain_code],A41)),"")</f>
        <v>1</v>
      </c>
    </row>
    <row r="42" spans="1:5" x14ac:dyDescent="0.3">
      <c r="A42" t="str">
        <v>transport</v>
      </c>
      <c r="B42" s="11">
        <f>IF(A42="","",COUNTIF(m1_regulations_v6[domain_code],A42))</f>
        <v>1</v>
      </c>
      <c r="C42" s="13">
        <f>IF(A42="","",COUNTIFS(m1_regulations_v6[domain_code],A42,m1_regulations_v6[is_active],TRUE,m1_regulations_v6[is_sme_relevant],TRUE))</f>
        <v>1</v>
      </c>
      <c r="D42" s="11">
        <f>IF(A42="","",COUNTIFS(m1_regulations_v6[domain_code],A42,m1_regulations_v6[is_active],TRUE,m1_regulations_v6[is_sme_relevant],FALSE))</f>
        <v>0</v>
      </c>
      <c r="E42" s="12">
        <f>IFERROR(IF(A42="","",COUNTIFS(m1_regulations_v6[domain_code],A42,m1_regulations_v6[is_sme_relevant],TRUE)/COUNTIF(m1_regulations_v6[domain_code],A42)),"")</f>
        <v>1</v>
      </c>
    </row>
    <row r="43" spans="1:5" x14ac:dyDescent="0.3">
      <c r="A43" t="str">
        <v>utilities</v>
      </c>
      <c r="B43" s="11">
        <f>IF(A43="","",COUNTIF(m1_regulations_v6[domain_code],A43))</f>
        <v>1</v>
      </c>
      <c r="C43" s="13">
        <f>IF(A43="","",COUNTIFS(m1_regulations_v6[domain_code],A43,m1_regulations_v6[is_active],TRUE,m1_regulations_v6[is_sme_relevant],TRUE))</f>
        <v>1</v>
      </c>
      <c r="D43" s="11">
        <f>IF(A43="","",COUNTIFS(m1_regulations_v6[domain_code],A43,m1_regulations_v6[is_active],TRUE,m1_regulations_v6[is_sme_relevant],FALSE))</f>
        <v>0</v>
      </c>
      <c r="E43" s="12">
        <f>IFERROR(IF(A43="","",COUNTIFS(m1_regulations_v6[domain_code],A43,m1_regulations_v6[is_sme_relevant],TRUE)/COUNTIF(m1_regulations_v6[domain_code],A43)),"")</f>
        <v>1</v>
      </c>
    </row>
    <row r="44" spans="1:5" x14ac:dyDescent="0.3">
      <c r="A44" t="str">
        <v>welfare</v>
      </c>
      <c r="B44" s="11">
        <f>IF(A44="","",COUNTIF(m1_regulations_v6[domain_code],A44))</f>
        <v>7</v>
      </c>
      <c r="C44" s="11">
        <f>IF(A44="","",COUNTIFS(m1_regulations_v6[domain_code],A44,m1_regulations_v6[is_active],TRUE,m1_regulations_v6[is_sme_relevant],TRUE))</f>
        <v>0</v>
      </c>
      <c r="D44" s="11">
        <f>IF(A44="","",COUNTIFS(m1_regulations_v6[domain_code],A44,m1_regulations_v6[is_active],TRUE,m1_regulations_v6[is_sme_relevant],FALSE))</f>
        <v>7</v>
      </c>
      <c r="E44" s="12">
        <f>IFERROR(IF(A44="","",COUNTIFS(m1_regulations_v6[domain_code],A44,m1_regulations_v6[is_sme_relevant],TRUE)/COUNTIF(m1_regulations_v6[domain_code],A44)),"")</f>
        <v>0</v>
      </c>
    </row>
    <row r="45" spans="1:5" x14ac:dyDescent="0.3">
      <c r="B45" s="11" t="str">
        <f>IF(A45="","",COUNTIF(m1_regulations_v6[domain_code],A45))</f>
        <v/>
      </c>
      <c r="C45" s="11" t="str">
        <f>IF(A45="","",COUNTIFS(m1_regulations_v6[domain_code],A45,m1_regulations_v6[is_active],TRUE,m1_regulations_v6[is_sme_relevant],TRUE))</f>
        <v/>
      </c>
      <c r="D45" s="11" t="str">
        <f>IF(A45="","",COUNTIFS(m1_regulations_v6[domain_code],A45,m1_regulations_v6[is_active],TRUE,m1_regulations_v6[is_sme_relevant],FALSE))</f>
        <v/>
      </c>
      <c r="E45" s="12" t="str">
        <f>IFERROR(IF(A45="","",COUNTIFS(m1_regulations_v6[domain_code],A45,m1_regulations_v6[is_sme_relevant],TRUE)/COUNTIF(m1_regulations_v6[domain_code],A45)),"")</f>
        <v/>
      </c>
    </row>
    <row r="46" spans="1:5" x14ac:dyDescent="0.3">
      <c r="B46" s="11" t="str">
        <f>IF(A46="","",COUNTIF(m1_regulations_v6[domain_code],A46))</f>
        <v/>
      </c>
      <c r="C46" s="11" t="str">
        <f>IF(A46="","",COUNTIFS(m1_regulations_v6[domain_code],A46,m1_regulations_v6[is_active],TRUE,m1_regulations_v6[is_sme_relevant],TRUE))</f>
        <v/>
      </c>
      <c r="D46" s="11" t="str">
        <f>IF(A46="","",COUNTIFS(m1_regulations_v6[domain_code],A46,m1_regulations_v6[is_active],TRUE,m1_regulations_v6[is_sme_relevant],FALSE))</f>
        <v/>
      </c>
      <c r="E46" s="12" t="str">
        <f>IFERROR(IF(A46="","",COUNTIFS(m1_regulations_v6[domain_code],A46,m1_regulations_v6[is_sme_relevant],TRUE)/COUNTIF(m1_regulations_v6[domain_code],A46)),"")</f>
        <v/>
      </c>
    </row>
    <row r="47" spans="1:5" x14ac:dyDescent="0.3">
      <c r="B47" s="11" t="str">
        <f>IF(A47="","",COUNTIF(m1_regulations_v6[domain_code],A47))</f>
        <v/>
      </c>
      <c r="C47" s="11" t="str">
        <f>IF(A47="","",COUNTIFS(m1_regulations_v6[domain_code],A47,m1_regulations_v6[is_active],TRUE,m1_regulations_v6[is_sme_relevant],TRUE))</f>
        <v/>
      </c>
      <c r="D47" s="11" t="str">
        <f>IF(A47="","",COUNTIFS(m1_regulations_v6[domain_code],A47,m1_regulations_v6[is_active],TRUE,m1_regulations_v6[is_sme_relevant],FALSE))</f>
        <v/>
      </c>
      <c r="E47" s="12" t="str">
        <f>IFERROR(IF(A47="","",COUNTIFS(m1_regulations_v6[domain_code],A47,m1_regulations_v6[is_sme_relevant],TRUE)/COUNTIF(m1_regulations_v6[domain_code],A47)),"")</f>
        <v/>
      </c>
    </row>
    <row r="48" spans="1:5" x14ac:dyDescent="0.3">
      <c r="B48" s="11" t="str">
        <f>IF(A48="","",COUNTIF(m1_regulations_v6[domain_code],A48))</f>
        <v/>
      </c>
      <c r="C48" s="11" t="str">
        <f>IF(A48="","",COUNTIFS(m1_regulations_v6[domain_code],A48,m1_regulations_v6[is_active],TRUE,m1_regulations_v6[is_sme_relevant],TRUE))</f>
        <v/>
      </c>
      <c r="D48" s="11" t="str">
        <f>IF(A48="","",COUNTIFS(m1_regulations_v6[domain_code],A48,m1_regulations_v6[is_active],TRUE,m1_regulations_v6[is_sme_relevant],FALSE))</f>
        <v/>
      </c>
      <c r="E48" s="12" t="str">
        <f>IFERROR(IF(A48="","",COUNTIFS(m1_regulations_v6[domain_code],A48,m1_regulations_v6[is_sme_relevant],TRUE)/COUNTIF(m1_regulations_v6[domain_code],A48)),"")</f>
        <v/>
      </c>
    </row>
    <row r="49" spans="1:5" x14ac:dyDescent="0.3">
      <c r="B49" s="11" t="str">
        <f>IF(A49="","",COUNTIF(m1_regulations_v6[domain_code],A49))</f>
        <v/>
      </c>
      <c r="C49" s="11" t="str">
        <f>IF(A49="","",COUNTIFS(m1_regulations_v6[domain_code],A49,m1_regulations_v6[is_active],TRUE,m1_regulations_v6[is_sme_relevant],TRUE))</f>
        <v/>
      </c>
      <c r="D49" s="11" t="str">
        <f>IF(A49="","",COUNTIFS(m1_regulations_v6[domain_code],A49,m1_regulations_v6[is_active],TRUE,m1_regulations_v6[is_sme_relevant],FALSE))</f>
        <v/>
      </c>
      <c r="E49" s="12" t="str">
        <f>IFERROR(IF(A49="","",COUNTIFS(m1_regulations_v6[domain_code],A49,m1_regulations_v6[is_sme_relevant],TRUE)/COUNTIF(m1_regulations_v6[domain_code],A49)),"")</f>
        <v/>
      </c>
    </row>
    <row r="50" spans="1:5" x14ac:dyDescent="0.3">
      <c r="B50" s="11" t="str">
        <f>IF(A50="","",COUNTIF(m1_regulations_v6[domain_code],A50))</f>
        <v/>
      </c>
      <c r="C50" s="11" t="str">
        <f>IF(A50="","",COUNTIFS(m1_regulations_v6[domain_code],A50,m1_regulations_v6[is_active],TRUE,m1_regulations_v6[is_sme_relevant],TRUE))</f>
        <v/>
      </c>
      <c r="D50" s="11" t="str">
        <f>IF(A50="","",COUNTIFS(m1_regulations_v6[domain_code],A50,m1_regulations_v6[is_active],TRUE,m1_regulations_v6[is_sme_relevant],FALSE))</f>
        <v/>
      </c>
      <c r="E50" s="12" t="str">
        <f>IFERROR(IF(A50="","",COUNTIFS(m1_regulations_v6[domain_code],A50,m1_regulations_v6[is_sme_relevant],TRUE)/COUNTIF(m1_regulations_v6[domain_code],A50)),"")</f>
        <v/>
      </c>
    </row>
    <row r="53" spans="1:5" ht="15.6" x14ac:dyDescent="0.3">
      <c r="A53" s="8" t="s">
        <v>3055</v>
      </c>
    </row>
    <row r="54" spans="1:5" x14ac:dyDescent="0.3">
      <c r="A54" s="9" t="s">
        <v>3056</v>
      </c>
      <c r="B54" s="9" t="s">
        <v>3050</v>
      </c>
      <c r="C54" s="9" t="s">
        <v>3057</v>
      </c>
      <c r="D54" s="9" t="s">
        <v>3058</v>
      </c>
      <c r="E54" s="9" t="s">
        <v>3059</v>
      </c>
    </row>
    <row r="55" spans="1:5" x14ac:dyDescent="0.3">
      <c r="A55" cm="1">
        <f t="array" ref="A55:A59">_xlfn._xlws.SORT(_xlfn.UNIQUE(_xlfn._xlws.FILTER(m1_regulations_v6[severity_level],m1_regulations_v6[severity_level]&lt;&gt;"")))</f>
        <v>1</v>
      </c>
      <c r="B55" s="11">
        <f>IF(A55="","",COUNTIF(m1_regulations_v6[severity_level],A55))</f>
        <v>84</v>
      </c>
      <c r="C55" s="11">
        <f>IF(A55="","",COUNTIFS(m1_regulations_v6[severity_level],A55,m1_regulations_v6[is_active],TRUE))</f>
        <v>84</v>
      </c>
      <c r="D55" s="11">
        <f>IF(A55="","",COUNTIFS(m1_regulations_v6[severity_level],A55,m1_regulations_v6[is_sme_relevant],TRUE))</f>
        <v>0</v>
      </c>
      <c r="E55" s="12">
        <f>IFERROR(IF(A55="","",COUNTIF(m1_regulations_v6[severity_level],A55)/ROWS(m1_regulations_v6[severity_level])),"")</f>
        <v>0.105</v>
      </c>
    </row>
    <row r="56" spans="1:5" x14ac:dyDescent="0.3">
      <c r="A56">
        <v>2</v>
      </c>
      <c r="B56" s="11">
        <f>IF(A56="","",COUNTIF(m1_regulations_v6[severity_level],A56))</f>
        <v>498</v>
      </c>
      <c r="C56" s="11">
        <f>IF(A56="","",COUNTIFS(m1_regulations_v6[severity_level],A56,m1_regulations_v6[is_active],TRUE))</f>
        <v>498</v>
      </c>
      <c r="D56" s="11">
        <f>IF(A56="","",COUNTIFS(m1_regulations_v6[severity_level],A56,m1_regulations_v6[is_sme_relevant],TRUE))</f>
        <v>27</v>
      </c>
      <c r="E56" s="12">
        <f>IFERROR(IF(A56="","",COUNTIF(m1_regulations_v6[severity_level],A56)/ROWS(m1_regulations_v6[severity_level])),"")</f>
        <v>0.62250000000000005</v>
      </c>
    </row>
    <row r="57" spans="1:5" x14ac:dyDescent="0.3">
      <c r="A57">
        <v>3</v>
      </c>
      <c r="B57" s="11">
        <f>IF(A57="","",COUNTIF(m1_regulations_v6[severity_level],A57))</f>
        <v>123</v>
      </c>
      <c r="C57" s="11">
        <f>IF(A57="","",COUNTIFS(m1_regulations_v6[severity_level],A57,m1_regulations_v6[is_active],TRUE))</f>
        <v>123</v>
      </c>
      <c r="D57" s="11">
        <f>IF(A57="","",COUNTIFS(m1_regulations_v6[severity_level],A57,m1_regulations_v6[is_sme_relevant],TRUE))</f>
        <v>118</v>
      </c>
      <c r="E57" s="12">
        <f>IFERROR(IF(A57="","",COUNTIF(m1_regulations_v6[severity_level],A57)/ROWS(m1_regulations_v6[severity_level])),"")</f>
        <v>0.15375</v>
      </c>
    </row>
    <row r="58" spans="1:5" x14ac:dyDescent="0.3">
      <c r="A58">
        <v>4</v>
      </c>
      <c r="B58" s="11">
        <f>IF(A58="","",COUNTIF(m1_regulations_v6[severity_level],A58))</f>
        <v>88</v>
      </c>
      <c r="C58" s="11">
        <f>IF(A58="","",COUNTIFS(m1_regulations_v6[severity_level],A58,m1_regulations_v6[is_active],TRUE))</f>
        <v>88</v>
      </c>
      <c r="D58" s="11">
        <f>IF(A58="","",COUNTIFS(m1_regulations_v6[severity_level],A58,m1_regulations_v6[is_sme_relevant],TRUE))</f>
        <v>88</v>
      </c>
      <c r="E58" s="12">
        <f>IFERROR(IF(A58="","",COUNTIF(m1_regulations_v6[severity_level],A58)/ROWS(m1_regulations_v6[severity_level])),"")</f>
        <v>0.11</v>
      </c>
    </row>
    <row r="59" spans="1:5" x14ac:dyDescent="0.3">
      <c r="A59">
        <v>5</v>
      </c>
      <c r="B59" s="11">
        <f>IF(A59="","",COUNTIF(m1_regulations_v6[severity_level],A59))</f>
        <v>7</v>
      </c>
      <c r="C59" s="11">
        <f>IF(A59="","",COUNTIFS(m1_regulations_v6[severity_level],A59,m1_regulations_v6[is_active],TRUE))</f>
        <v>7</v>
      </c>
      <c r="D59" s="11">
        <f>IF(A59="","",COUNTIFS(m1_regulations_v6[severity_level],A59,m1_regulations_v6[is_sme_relevant],TRUE))</f>
        <v>7</v>
      </c>
      <c r="E59" s="12">
        <f>IFERROR(IF(A59="","",COUNTIF(m1_regulations_v6[severity_level],A59)/ROWS(m1_regulations_v6[severity_level])),"")</f>
        <v>8.7500000000000008E-3</v>
      </c>
    </row>
    <row r="60" spans="1:5" x14ac:dyDescent="0.3">
      <c r="B60" s="11" t="str">
        <f>IF(A60="","",COUNTIF(m1_regulations_v6[severity_level],A60))</f>
        <v/>
      </c>
      <c r="C60" s="11" t="str">
        <f>IF(A60="","",COUNTIFS(m1_regulations_v6[severity_level],A60,m1_regulations_v6[is_active],TRUE))</f>
        <v/>
      </c>
      <c r="D60" s="11" t="str">
        <f>IF(A60="","",COUNTIFS(m1_regulations_v6[severity_level],A60,m1_regulations_v6[is_sme_relevant],TRUE))</f>
        <v/>
      </c>
      <c r="E60" s="12" t="str">
        <f>IFERROR(IF(A60="","",COUNTIF(m1_regulations_v6[severity_level],A60)/ROWS(m1_regulations_v6[severity_level])),"")</f>
        <v/>
      </c>
    </row>
    <row r="61" spans="1:5" x14ac:dyDescent="0.3">
      <c r="B61" s="11" t="str">
        <f>IF(A61="","",COUNTIF(m1_regulations_v6[severity_level],A61))</f>
        <v/>
      </c>
      <c r="C61" s="11" t="str">
        <f>IF(A61="","",COUNTIFS(m1_regulations_v6[severity_level],A61,m1_regulations_v6[is_active],TRUE))</f>
        <v/>
      </c>
      <c r="D61" s="11" t="str">
        <f>IF(A61="","",COUNTIFS(m1_regulations_v6[severity_level],A61,m1_regulations_v6[is_sme_relevant],TRUE))</f>
        <v/>
      </c>
      <c r="E61" s="12" t="str">
        <f>IFERROR(IF(A61="","",COUNTIF(m1_regulations_v6[severity_level],A61)/ROWS(m1_regulations_v6[severity_level])),"")</f>
        <v/>
      </c>
    </row>
    <row r="62" spans="1:5" x14ac:dyDescent="0.3">
      <c r="B62" s="11" t="str">
        <f>IF(A62="","",COUNTIF(m1_regulations_v6[severity_level],A62))</f>
        <v/>
      </c>
      <c r="C62" s="11" t="str">
        <f>IF(A62="","",COUNTIFS(m1_regulations_v6[severity_level],A62,m1_regulations_v6[is_active],TRUE))</f>
        <v/>
      </c>
      <c r="D62" s="11" t="str">
        <f>IF(A62="","",COUNTIFS(m1_regulations_v6[severity_level],A62,m1_regulations_v6[is_sme_relevant],TRUE))</f>
        <v/>
      </c>
      <c r="E62" s="12" t="str">
        <f>IFERROR(IF(A62="","",COUNTIF(m1_regulations_v6[severity_level],A62)/ROWS(m1_regulations_v6[severity_level])),"")</f>
        <v/>
      </c>
    </row>
    <row r="63" spans="1:5" x14ac:dyDescent="0.3">
      <c r="B63" s="11" t="str">
        <f>IF(A63="","",COUNTIF(m1_regulations_v6[severity_level],A63))</f>
        <v/>
      </c>
      <c r="C63" s="11" t="str">
        <f>IF(A63="","",COUNTIFS(m1_regulations_v6[severity_level],A63,m1_regulations_v6[is_active],TRUE))</f>
        <v/>
      </c>
      <c r="D63" s="11" t="str">
        <f>IF(A63="","",COUNTIFS(m1_regulations_v6[severity_level],A63,m1_regulations_v6[is_sme_relevant],TRUE))</f>
        <v/>
      </c>
      <c r="E63" s="12" t="str">
        <f>IFERROR(IF(A63="","",COUNTIF(m1_regulations_v6[severity_level],A63)/ROWS(m1_regulations_v6[severity_level])),"")</f>
        <v/>
      </c>
    </row>
    <row r="64" spans="1:5" x14ac:dyDescent="0.3">
      <c r="B64" s="11" t="str">
        <f>IF(A64="","",COUNTIF(m1_regulations_v6[severity_level],A64))</f>
        <v/>
      </c>
      <c r="C64" s="11" t="str">
        <f>IF(A64="","",COUNTIFS(m1_regulations_v6[severity_level],A64,m1_regulations_v6[is_active],TRUE))</f>
        <v/>
      </c>
      <c r="D64" s="11" t="str">
        <f>IF(A64="","",COUNTIFS(m1_regulations_v6[severity_level],A64,m1_regulations_v6[is_sme_relevant],TRUE))</f>
        <v/>
      </c>
      <c r="E64" s="12" t="str">
        <f>IFERROR(IF(A64="","",COUNTIF(m1_regulations_v6[severity_level],A64)/ROWS(m1_regulations_v6[severity_level])),"")</f>
        <v/>
      </c>
    </row>
    <row r="67" spans="1:5" ht="15.6" x14ac:dyDescent="0.3">
      <c r="A67" s="8" t="s">
        <v>3060</v>
      </c>
    </row>
    <row r="68" spans="1:5" x14ac:dyDescent="0.3">
      <c r="A68" s="9" t="s">
        <v>3061</v>
      </c>
      <c r="B68" s="9" t="s">
        <v>3050</v>
      </c>
      <c r="C68" s="9" t="s">
        <v>3057</v>
      </c>
      <c r="D68" s="9" t="s">
        <v>3058</v>
      </c>
      <c r="E68" s="9" t="s">
        <v>3059</v>
      </c>
    </row>
    <row r="69" spans="1:5" x14ac:dyDescent="0.3">
      <c r="A69" t="str" cm="1">
        <f t="array" ref="A69:A75">_xlfn._xlws.SORT(_xlfn.UNIQUE(_xlfn._xlws.FILTER(m1_regulations_v6[change_category],m1_regulations_v6[change_category]&lt;&gt;"")))</f>
        <v>deadline_change</v>
      </c>
      <c r="B69" s="11">
        <f>IF(A69="","",COUNTIF(m1_regulations_v6[change_category],A69))</f>
        <v>1</v>
      </c>
      <c r="C69" s="11">
        <f>IF(A69="","",COUNTIFS(m1_regulations_v6[change_category],A69,m1_regulations_v6[is_active],TRUE))</f>
        <v>1</v>
      </c>
      <c r="D69" s="11">
        <f>IF(A69="","",COUNTIFS(m1_regulations_v6[change_category],A69,m1_regulations_v6[is_sme_relevant],TRUE))</f>
        <v>0</v>
      </c>
      <c r="E69" s="12">
        <f>IFERROR(IF(A69="","",COUNTIF(m1_regulations_v6[change_category],A69)/ROWS(m1_regulations_v6[change_category])),"")</f>
        <v>1.25E-3</v>
      </c>
    </row>
    <row r="70" spans="1:5" x14ac:dyDescent="0.3">
      <c r="A70" t="str">
        <v>new_obligation</v>
      </c>
      <c r="B70" s="11">
        <f>IF(A70="","",COUNTIF(m1_regulations_v6[change_category],A70))</f>
        <v>15</v>
      </c>
      <c r="C70" s="11">
        <f>IF(A70="","",COUNTIFS(m1_regulations_v6[change_category],A70,m1_regulations_v6[is_active],TRUE))</f>
        <v>15</v>
      </c>
      <c r="D70" s="11">
        <f>IF(A70="","",COUNTIFS(m1_regulations_v6[change_category],A70,m1_regulations_v6[is_sme_relevant],TRUE))</f>
        <v>11</v>
      </c>
      <c r="E70" s="12">
        <f>IFERROR(IF(A70="","",COUNTIF(m1_regulations_v6[change_category],A70)/ROWS(m1_regulations_v6[change_category])),"")</f>
        <v>1.8749999999999999E-2</v>
      </c>
    </row>
    <row r="71" spans="1:5" x14ac:dyDescent="0.3">
      <c r="A71" t="str">
        <v>other</v>
      </c>
      <c r="B71" s="11">
        <f>IF(A71="","",COUNTIF(m1_regulations_v6[change_category],A71))</f>
        <v>100</v>
      </c>
      <c r="C71" s="11">
        <f>IF(A71="","",COUNTIFS(m1_regulations_v6[change_category],A71,m1_regulations_v6[is_active],TRUE))</f>
        <v>100</v>
      </c>
      <c r="D71" s="11">
        <f>IF(A71="","",COUNTIFS(m1_regulations_v6[change_category],A71,m1_regulations_v6[is_sme_relevant],TRUE))</f>
        <v>8</v>
      </c>
      <c r="E71" s="12">
        <f>IFERROR(IF(A71="","",COUNTIF(m1_regulations_v6[change_category],A71)/ROWS(m1_regulations_v6[change_category])),"")</f>
        <v>0.125</v>
      </c>
    </row>
    <row r="72" spans="1:5" x14ac:dyDescent="0.3">
      <c r="A72" t="str">
        <v>procedural_change</v>
      </c>
      <c r="B72" s="11">
        <f>IF(A72="","",COUNTIF(m1_regulations_v6[change_category],A72))</f>
        <v>590</v>
      </c>
      <c r="C72" s="11">
        <f>IF(A72="","",COUNTIFS(m1_regulations_v6[change_category],A72,m1_regulations_v6[is_active],TRUE))</f>
        <v>590</v>
      </c>
      <c r="D72" s="11">
        <f>IF(A72="","",COUNTIFS(m1_regulations_v6[change_category],A72,m1_regulations_v6[is_sme_relevant],TRUE))</f>
        <v>133</v>
      </c>
      <c r="E72" s="12">
        <f>IFERROR(IF(A72="","",COUNTIF(m1_regulations_v6[change_category],A72)/ROWS(m1_regulations_v6[change_category])),"")</f>
        <v>0.73750000000000004</v>
      </c>
    </row>
    <row r="73" spans="1:5" x14ac:dyDescent="0.3">
      <c r="A73" t="str">
        <v>rate_change</v>
      </c>
      <c r="B73" s="11">
        <f>IF(A73="","",COUNTIF(m1_regulations_v6[change_category],A73))</f>
        <v>83</v>
      </c>
      <c r="C73" s="11">
        <f>IF(A73="","",COUNTIFS(m1_regulations_v6[change_category],A73,m1_regulations_v6[is_active],TRUE))</f>
        <v>83</v>
      </c>
      <c r="D73" s="11">
        <f>IF(A73="","",COUNTIFS(m1_regulations_v6[change_category],A73,m1_regulations_v6[is_sme_relevant],TRUE))</f>
        <v>83</v>
      </c>
      <c r="E73" s="12">
        <f>IFERROR(IF(A73="","",COUNTIF(m1_regulations_v6[change_category],A73)/ROWS(m1_regulations_v6[change_category])),"")</f>
        <v>0.10375</v>
      </c>
    </row>
    <row r="74" spans="1:5" x14ac:dyDescent="0.3">
      <c r="A74" t="str">
        <v>registration_change</v>
      </c>
      <c r="B74" s="11">
        <f>IF(A74="","",COUNTIF(m1_regulations_v6[change_category],A74))</f>
        <v>10</v>
      </c>
      <c r="C74" s="11">
        <f>IF(A74="","",COUNTIFS(m1_regulations_v6[change_category],A74,m1_regulations_v6[is_active],TRUE))</f>
        <v>10</v>
      </c>
      <c r="D74" s="11">
        <f>IF(A74="","",COUNTIFS(m1_regulations_v6[change_category],A74,m1_regulations_v6[is_sme_relevant],TRUE))</f>
        <v>4</v>
      </c>
      <c r="E74" s="12">
        <f>IFERROR(IF(A74="","",COUNTIF(m1_regulations_v6[change_category],A74)/ROWS(m1_regulations_v6[change_category])),"")</f>
        <v>1.2500000000000001E-2</v>
      </c>
    </row>
    <row r="75" spans="1:5" x14ac:dyDescent="0.3">
      <c r="A75" t="str">
        <v>structural_change</v>
      </c>
      <c r="B75" s="11">
        <f>IF(A75="","",COUNTIF(m1_regulations_v6[change_category],A75))</f>
        <v>1</v>
      </c>
      <c r="C75" s="11">
        <f>IF(A75="","",COUNTIFS(m1_regulations_v6[change_category],A75,m1_regulations_v6[is_active],TRUE))</f>
        <v>1</v>
      </c>
      <c r="D75" s="11">
        <f>IF(A75="","",COUNTIFS(m1_regulations_v6[change_category],A75,m1_regulations_v6[is_sme_relevant],TRUE))</f>
        <v>1</v>
      </c>
      <c r="E75" s="12">
        <f>IFERROR(IF(A75="","",COUNTIF(m1_regulations_v6[change_category],A75)/ROWS(m1_regulations_v6[change_category])),"")</f>
        <v>1.25E-3</v>
      </c>
    </row>
    <row r="76" spans="1:5" x14ac:dyDescent="0.3">
      <c r="B76" s="11" t="str">
        <f>IF(A76="","",COUNTIF(m1_regulations_v6[change_category],A76))</f>
        <v/>
      </c>
      <c r="C76" s="11" t="str">
        <f>IF(A76="","",COUNTIFS(m1_regulations_v6[change_category],A76,m1_regulations_v6[is_active],TRUE))</f>
        <v/>
      </c>
      <c r="D76" s="11" t="str">
        <f>IF(A76="","",COUNTIFS(m1_regulations_v6[change_category],A76,m1_regulations_v6[is_sme_relevant],TRUE))</f>
        <v/>
      </c>
      <c r="E76" s="12" t="str">
        <f>IFERROR(IF(A76="","",COUNTIF(m1_regulations_v6[change_category],A76)/ROWS(m1_regulations_v6[change_category])),"")</f>
        <v/>
      </c>
    </row>
    <row r="77" spans="1:5" x14ac:dyDescent="0.3">
      <c r="B77" s="11" t="str">
        <f>IF(A77="","",COUNTIF(m1_regulations_v6[change_category],A77))</f>
        <v/>
      </c>
      <c r="C77" s="11" t="str">
        <f>IF(A77="","",COUNTIFS(m1_regulations_v6[change_category],A77,m1_regulations_v6[is_active],TRUE))</f>
        <v/>
      </c>
      <c r="D77" s="11" t="str">
        <f>IF(A77="","",COUNTIFS(m1_regulations_v6[change_category],A77,m1_regulations_v6[is_sme_relevant],TRUE))</f>
        <v/>
      </c>
      <c r="E77" s="12" t="str">
        <f>IFERROR(IF(A77="","",COUNTIF(m1_regulations_v6[change_category],A77)/ROWS(m1_regulations_v6[change_category])),"")</f>
        <v/>
      </c>
    </row>
    <row r="78" spans="1:5" x14ac:dyDescent="0.3">
      <c r="B78" s="11" t="str">
        <f>IF(A78="","",COUNTIF(m1_regulations_v6[change_category],A78))</f>
        <v/>
      </c>
      <c r="C78" s="11" t="str">
        <f>IF(A78="","",COUNTIFS(m1_regulations_v6[change_category],A78,m1_regulations_v6[is_active],TRUE))</f>
        <v/>
      </c>
      <c r="D78" s="11" t="str">
        <f>IF(A78="","",COUNTIFS(m1_regulations_v6[change_category],A78,m1_regulations_v6[is_sme_relevant],TRUE))</f>
        <v/>
      </c>
      <c r="E78" s="12" t="str">
        <f>IFERROR(IF(A78="","",COUNTIF(m1_regulations_v6[change_category],A78)/ROWS(m1_regulations_v6[change_category])),"")</f>
        <v/>
      </c>
    </row>
    <row r="79" spans="1:5" x14ac:dyDescent="0.3">
      <c r="B79" s="11" t="str">
        <f>IF(A79="","",COUNTIF(m1_regulations_v6[change_category],A79))</f>
        <v/>
      </c>
      <c r="C79" s="11" t="str">
        <f>IF(A79="","",COUNTIFS(m1_regulations_v6[change_category],A79,m1_regulations_v6[is_active],TRUE))</f>
        <v/>
      </c>
      <c r="D79" s="11" t="str">
        <f>IF(A79="","",COUNTIFS(m1_regulations_v6[change_category],A79,m1_regulations_v6[is_sme_relevant],TRUE))</f>
        <v/>
      </c>
      <c r="E79" s="12" t="str">
        <f>IFERROR(IF(A79="","",COUNTIF(m1_regulations_v6[change_category],A79)/ROWS(m1_regulations_v6[change_category])),"")</f>
        <v/>
      </c>
    </row>
    <row r="80" spans="1:5" x14ac:dyDescent="0.3">
      <c r="B80" s="11" t="str">
        <f>IF(A80="","",COUNTIF(m1_regulations_v6[change_category],A80))</f>
        <v/>
      </c>
      <c r="C80" s="11" t="str">
        <f>IF(A80="","",COUNTIFS(m1_regulations_v6[change_category],A80,m1_regulations_v6[is_active],TRUE))</f>
        <v/>
      </c>
      <c r="D80" s="11" t="str">
        <f>IF(A80="","",COUNTIFS(m1_regulations_v6[change_category],A80,m1_regulations_v6[is_sme_relevant],TRUE))</f>
        <v/>
      </c>
      <c r="E80" s="12" t="str">
        <f>IFERROR(IF(A80="","",COUNTIF(m1_regulations_v6[change_category],A80)/ROWS(m1_regulations_v6[change_category])),"")</f>
        <v/>
      </c>
    </row>
    <row r="81" spans="1:5" x14ac:dyDescent="0.3">
      <c r="B81" s="11" t="str">
        <f>IF(A81="","",COUNTIF(m1_regulations_v6[change_category],A81))</f>
        <v/>
      </c>
      <c r="C81" s="11" t="str">
        <f>IF(A81="","",COUNTIFS(m1_regulations_v6[change_category],A81,m1_regulations_v6[is_active],TRUE))</f>
        <v/>
      </c>
      <c r="D81" s="11" t="str">
        <f>IF(A81="","",COUNTIFS(m1_regulations_v6[change_category],A81,m1_regulations_v6[is_sme_relevant],TRUE))</f>
        <v/>
      </c>
      <c r="E81" s="12" t="str">
        <f>IFERROR(IF(A81="","",COUNTIF(m1_regulations_v6[change_category],A81)/ROWS(m1_regulations_v6[change_category])),"")</f>
        <v/>
      </c>
    </row>
    <row r="82" spans="1:5" x14ac:dyDescent="0.3">
      <c r="B82" s="11" t="str">
        <f>IF(A82="","",COUNTIF(m1_regulations_v6[change_category],A82))</f>
        <v/>
      </c>
      <c r="C82" s="11" t="str">
        <f>IF(A82="","",COUNTIFS(m1_regulations_v6[change_category],A82,m1_regulations_v6[is_active],TRUE))</f>
        <v/>
      </c>
      <c r="D82" s="11" t="str">
        <f>IF(A82="","",COUNTIFS(m1_regulations_v6[change_category],A82,m1_regulations_v6[is_sme_relevant],TRUE))</f>
        <v/>
      </c>
      <c r="E82" s="12" t="str">
        <f>IFERROR(IF(A82="","",COUNTIF(m1_regulations_v6[change_category],A82)/ROWS(m1_regulations_v6[change_category])),"")</f>
        <v/>
      </c>
    </row>
    <row r="83" spans="1:5" x14ac:dyDescent="0.3">
      <c r="B83" s="11" t="str">
        <f>IF(A83="","",COUNTIF(m1_regulations_v6[change_category],A83))</f>
        <v/>
      </c>
      <c r="C83" s="11" t="str">
        <f>IF(A83="","",COUNTIFS(m1_regulations_v6[change_category],A83,m1_regulations_v6[is_active],TRUE))</f>
        <v/>
      </c>
      <c r="D83" s="11" t="str">
        <f>IF(A83="","",COUNTIFS(m1_regulations_v6[change_category],A83,m1_regulations_v6[is_sme_relevant],TRUE))</f>
        <v/>
      </c>
      <c r="E83" s="12" t="str">
        <f>IFERROR(IF(A83="","",COUNTIF(m1_regulations_v6[change_category],A83)/ROWS(m1_regulations_v6[change_category])),"")</f>
        <v/>
      </c>
    </row>
    <row r="86" spans="1:5" ht="15.6" x14ac:dyDescent="0.3">
      <c r="A86" s="8" t="s">
        <v>3062</v>
      </c>
    </row>
    <row r="87" spans="1:5" x14ac:dyDescent="0.3">
      <c r="A87" s="9" t="s">
        <v>3063</v>
      </c>
      <c r="B87" s="9" t="s">
        <v>3037</v>
      </c>
      <c r="D87" s="9" t="s">
        <v>3064</v>
      </c>
      <c r="E87" s="9" t="s">
        <v>3037</v>
      </c>
    </row>
    <row r="88" spans="1:5" x14ac:dyDescent="0.3">
      <c r="A88" t="str" cm="1">
        <f t="array" ref="A88">_xlfn._xlws.SORT(_xlfn.UNIQUE(_xlfn._xlws.FILTER(m1_regulations_v6[document_type],m1_regulations_v6[document_type]&lt;&gt;"")))</f>
        <v>extraordinary_gazette</v>
      </c>
      <c r="B88" s="11">
        <f>IF(A88="","",COUNTIF(m1_regulations_v6[document_type],A88))</f>
        <v>800</v>
      </c>
      <c r="D88" t="str" cm="1">
        <f t="array" ref="D88">_xlfn._xlws.SORT(_xlfn.UNIQUE(_xlfn._xlws.FILTER(m1_regulations_v6[status],m1_regulations_v6[status]&lt;&gt;"")))</f>
        <v>extracted</v>
      </c>
      <c r="E88" s="11">
        <f>IF(D88="","",COUNTIF(m1_regulations_v6[status],D88))</f>
        <v>800</v>
      </c>
    </row>
    <row r="89" spans="1:5" x14ac:dyDescent="0.3">
      <c r="B89" s="11" t="str">
        <f>IF(A89="","",COUNTIF(m1_regulations_v6[document_type],A89))</f>
        <v/>
      </c>
      <c r="E89" s="11" t="str">
        <f>IF(D89="","",COUNTIF(m1_regulations_v6[status],D89))</f>
        <v/>
      </c>
    </row>
    <row r="90" spans="1:5" x14ac:dyDescent="0.3">
      <c r="B90" s="11" t="str">
        <f>IF(A90="","",COUNTIF(m1_regulations_v6[document_type],A90))</f>
        <v/>
      </c>
      <c r="E90" s="11" t="str">
        <f>IF(D90="","",COUNTIF(m1_regulations_v6[status],D90))</f>
        <v/>
      </c>
    </row>
    <row r="91" spans="1:5" x14ac:dyDescent="0.3">
      <c r="B91" s="11" t="str">
        <f>IF(A91="","",COUNTIF(m1_regulations_v6[document_type],A91))</f>
        <v/>
      </c>
      <c r="E91" s="11" t="str">
        <f>IF(D91="","",COUNTIF(m1_regulations_v6[status],D91))</f>
        <v/>
      </c>
    </row>
    <row r="92" spans="1:5" x14ac:dyDescent="0.3">
      <c r="B92" s="11" t="str">
        <f>IF(A92="","",COUNTIF(m1_regulations_v6[document_type],A92))</f>
        <v/>
      </c>
      <c r="E92" s="11" t="str">
        <f>IF(D92="","",COUNTIF(m1_regulations_v6[status],D92))</f>
        <v/>
      </c>
    </row>
    <row r="93" spans="1:5" x14ac:dyDescent="0.3">
      <c r="B93" s="11" t="str">
        <f>IF(A93="","",COUNTIF(m1_regulations_v6[document_type],A93))</f>
        <v/>
      </c>
      <c r="E93" s="11" t="str">
        <f>IF(D93="","",COUNTIF(m1_regulations_v6[status],D93))</f>
        <v/>
      </c>
    </row>
    <row r="94" spans="1:5" x14ac:dyDescent="0.3">
      <c r="B94" s="11" t="str">
        <f>IF(A94="","",COUNTIF(m1_regulations_v6[document_type],A94))</f>
        <v/>
      </c>
      <c r="E94" s="11" t="str">
        <f>IF(D94="","",COUNTIF(m1_regulations_v6[status],D94))</f>
        <v/>
      </c>
    </row>
    <row r="95" spans="1:5" x14ac:dyDescent="0.3">
      <c r="B95" s="11" t="str">
        <f>IF(A95="","",COUNTIF(m1_regulations_v6[document_type],A95))</f>
        <v/>
      </c>
      <c r="E95" s="11" t="str">
        <f>IF(D95="","",COUNTIF(m1_regulations_v6[status],D95))</f>
        <v/>
      </c>
    </row>
    <row r="96" spans="1:5" x14ac:dyDescent="0.3">
      <c r="B96" s="11" t="str">
        <f>IF(A96="","",COUNTIF(m1_regulations_v6[document_type],A96))</f>
        <v/>
      </c>
      <c r="E96" s="11" t="str">
        <f>IF(D96="","",COUNTIF(m1_regulations_v6[status],D96))</f>
        <v/>
      </c>
    </row>
    <row r="97" spans="1:5" x14ac:dyDescent="0.3">
      <c r="B97" s="11" t="str">
        <f>IF(A97="","",COUNTIF(m1_regulations_v6[document_type],A97))</f>
        <v/>
      </c>
      <c r="E97" s="11" t="str">
        <f>IF(D97="","",COUNTIF(m1_regulations_v6[status],D97))</f>
        <v/>
      </c>
    </row>
    <row r="100" spans="1:5" ht="15.6" x14ac:dyDescent="0.3">
      <c r="A100" s="8" t="s">
        <v>3065</v>
      </c>
    </row>
    <row r="101" spans="1:5" x14ac:dyDescent="0.3">
      <c r="A101" s="9" t="s">
        <v>3066</v>
      </c>
      <c r="B101" s="9" t="s">
        <v>3037</v>
      </c>
      <c r="C101" s="9" t="s">
        <v>3059</v>
      </c>
      <c r="D101" s="9" t="s">
        <v>3067</v>
      </c>
      <c r="E101" s="9" t="s">
        <v>3037</v>
      </c>
    </row>
    <row r="102" spans="1:5" x14ac:dyDescent="0.3">
      <c r="A102" cm="1">
        <f t="array" ref="A102:A104">_xlfn._xlws.SORT(_xlfn.UNIQUE(IF(m1_regulations_v6[effective_date]="","",YEAR(m1_regulations_v6[effective_date]))))</f>
        <v>2012</v>
      </c>
      <c r="B102" s="11">
        <f>IF(A102="","",COUNTIFS(m1_regulations_v6[effective_date],"&gt;="&amp;DATE(A102,1,1),m1_regulations_v6[effective_date],"&lt;="&amp;DATE(A102,12,31)))</f>
        <v>2</v>
      </c>
      <c r="C102" s="12">
        <f>IFERROR(IF(A102="","",B102/ROWS(m1_regulations_v6[effective_date])),"")</f>
        <v>2.5000000000000001E-3</v>
      </c>
      <c r="D102" t="s">
        <v>3068</v>
      </c>
      <c r="E102" s="11">
        <f ca="1">COUNTIFS(m1_regulations_v6[effective_date],"&gt;="&amp;(TODAY()-30),m1_regulations_v6[effective_date],"&lt;="&amp;TODAY())</f>
        <v>41</v>
      </c>
    </row>
    <row r="103" spans="1:5" x14ac:dyDescent="0.3">
      <c r="A103">
        <v>2025</v>
      </c>
      <c r="B103" s="11">
        <f>IF(A103="","",COUNTIFS(m1_regulations_v6[effective_date],"&gt;="&amp;DATE(A103,1,1),m1_regulations_v6[effective_date],"&lt;="&amp;DATE(A103,12,31)))</f>
        <v>11</v>
      </c>
      <c r="C103" s="12">
        <f>IFERROR(IF(A103="","",B103/ROWS(m1_regulations_v6[effective_date])),"")</f>
        <v>1.375E-2</v>
      </c>
      <c r="D103" t="s">
        <v>3069</v>
      </c>
      <c r="E103" s="11">
        <f ca="1">COUNTIFS(m1_regulations_v6[effective_date],"&gt;="&amp;(TODAY()-90),m1_regulations_v6[effective_date],"&lt;="&amp;TODAY())</f>
        <v>409</v>
      </c>
    </row>
    <row r="104" spans="1:5" x14ac:dyDescent="0.3">
      <c r="A104">
        <v>2026</v>
      </c>
      <c r="B104" s="11">
        <f>IF(A104="","",COUNTIFS(m1_regulations_v6[effective_date],"&gt;="&amp;DATE(A104,1,1),m1_regulations_v6[effective_date],"&lt;="&amp;DATE(A104,12,31)))</f>
        <v>787</v>
      </c>
      <c r="C104" s="12">
        <f>IFERROR(IF(A104="","",B104/ROWS(m1_regulations_v6[effective_date])),"")</f>
        <v>0.98375000000000001</v>
      </c>
      <c r="D104" t="s">
        <v>3070</v>
      </c>
      <c r="E104" s="11">
        <f ca="1">COUNTIFS(m1_regulations_v6[effective_date],"&gt;="&amp;DATE(YEAR(TODAY()),1,1),m1_regulations_v6[effective_date],"&lt;="&amp;TODAY())</f>
        <v>786</v>
      </c>
    </row>
    <row r="105" spans="1:5" x14ac:dyDescent="0.3">
      <c r="B105" s="11" t="str">
        <f>IF(A105="","",COUNTIFS(m1_regulations_v6[effective_date],"&gt;="&amp;DATE(A105,1,1),m1_regulations_v6[effective_date],"&lt;="&amp;DATE(A105,12,31)))</f>
        <v/>
      </c>
      <c r="C105" s="12" t="str">
        <f>IFERROR(IF(A105="","",B105/ROWS(m1_regulations_v6[effective_date])),"")</f>
        <v/>
      </c>
      <c r="D105" t="s">
        <v>3071</v>
      </c>
      <c r="E105" s="11">
        <f ca="1">COUNTIF(m1_regulations_v6[effective_date],"&gt;"&amp;TODAY())</f>
        <v>1</v>
      </c>
    </row>
    <row r="106" spans="1:5" x14ac:dyDescent="0.3">
      <c r="B106" s="11" t="str">
        <f>IF(A106="","",COUNTIFS(m1_regulations_v6[effective_date],"&gt;="&amp;DATE(A106,1,1),m1_regulations_v6[effective_date],"&lt;="&amp;DATE(A106,12,31)))</f>
        <v/>
      </c>
      <c r="C106" s="12" t="str">
        <f>IFERROR(IF(A106="","",B106/ROWS(m1_regulations_v6[effective_date])),"")</f>
        <v/>
      </c>
    </row>
    <row r="107" spans="1:5" x14ac:dyDescent="0.3">
      <c r="B107" s="11" t="str">
        <f>IF(A107="","",COUNTIFS(m1_regulations_v6[effective_date],"&gt;="&amp;DATE(A107,1,1),m1_regulations_v6[effective_date],"&lt;="&amp;DATE(A107,12,31)))</f>
        <v/>
      </c>
      <c r="C107" s="12" t="str">
        <f>IFERROR(IF(A107="","",B107/ROWS(m1_regulations_v6[effective_date])),"")</f>
        <v/>
      </c>
    </row>
    <row r="108" spans="1:5" x14ac:dyDescent="0.3">
      <c r="B108" s="11" t="str">
        <f>IF(A108="","",COUNTIFS(m1_regulations_v6[effective_date],"&gt;="&amp;DATE(A108,1,1),m1_regulations_v6[effective_date],"&lt;="&amp;DATE(A108,12,31)))</f>
        <v/>
      </c>
      <c r="C108" s="12" t="str">
        <f>IFERROR(IF(A108="","",B108/ROWS(m1_regulations_v6[effective_date])),"")</f>
        <v/>
      </c>
    </row>
    <row r="109" spans="1:5" x14ac:dyDescent="0.3">
      <c r="B109" s="11" t="str">
        <f>IF(A109="","",COUNTIFS(m1_regulations_v6[effective_date],"&gt;="&amp;DATE(A109,1,1),m1_regulations_v6[effective_date],"&lt;="&amp;DATE(A109,12,31)))</f>
        <v/>
      </c>
      <c r="C109" s="12" t="str">
        <f>IFERROR(IF(A109="","",B109/ROWS(m1_regulations_v6[effective_date])),"")</f>
        <v/>
      </c>
    </row>
    <row r="110" spans="1:5" x14ac:dyDescent="0.3">
      <c r="B110" s="11" t="str">
        <f>IF(A110="","",COUNTIFS(m1_regulations_v6[effective_date],"&gt;="&amp;DATE(A110,1,1),m1_regulations_v6[effective_date],"&lt;="&amp;DATE(A110,12,31)))</f>
        <v/>
      </c>
      <c r="C110" s="12" t="str">
        <f>IFERROR(IF(A110="","",B110/ROWS(m1_regulations_v6[effective_date])),"")</f>
        <v/>
      </c>
    </row>
    <row r="111" spans="1:5" x14ac:dyDescent="0.3">
      <c r="B111" s="11" t="str">
        <f>IF(A111="","",COUNTIFS(m1_regulations_v6[effective_date],"&gt;="&amp;DATE(A111,1,1),m1_regulations_v6[effective_date],"&lt;="&amp;DATE(A111,12,31)))</f>
        <v/>
      </c>
      <c r="C111" s="12" t="str">
        <f>IFERROR(IF(A111="","",B111/ROWS(m1_regulations_v6[effective_date])),"")</f>
        <v/>
      </c>
    </row>
    <row r="112" spans="1:5" x14ac:dyDescent="0.3">
      <c r="B112" s="11" t="str">
        <f>IF(A112="","",COUNTIFS(m1_regulations_v6[effective_date],"&gt;="&amp;DATE(A112,1,1),m1_regulations_v6[effective_date],"&lt;="&amp;DATE(A112,12,31)))</f>
        <v/>
      </c>
      <c r="C112" s="12" t="str">
        <f>IFERROR(IF(A112="","",B112/ROWS(m1_regulations_v6[effective_date])),"")</f>
        <v/>
      </c>
    </row>
    <row r="113" spans="2:3" x14ac:dyDescent="0.3">
      <c r="B113" s="11" t="str">
        <f>IF(A113="","",COUNTIFS(m1_regulations_v6[effective_date],"&gt;="&amp;DATE(A113,1,1),m1_regulations_v6[effective_date],"&lt;="&amp;DATE(A113,12,31)))</f>
        <v/>
      </c>
      <c r="C113" s="12" t="str">
        <f>IFERROR(IF(A113="","",B113/ROWS(m1_regulations_v6[effective_date])),"")</f>
        <v/>
      </c>
    </row>
    <row r="114" spans="2:3" x14ac:dyDescent="0.3">
      <c r="B114" s="11" t="str">
        <f>IF(A114="","",COUNTIFS(m1_regulations_v6[effective_date],"&gt;="&amp;DATE(A114,1,1),m1_regulations_v6[effective_date],"&lt;="&amp;DATE(A114,12,31)))</f>
        <v/>
      </c>
      <c r="C114" s="12" t="str">
        <f>IFERROR(IF(A114="","",B114/ROWS(m1_regulations_v6[effective_date])),"")</f>
        <v/>
      </c>
    </row>
    <row r="115" spans="2:3" x14ac:dyDescent="0.3">
      <c r="B115" s="11" t="str">
        <f>IF(A115="","",COUNTIFS(m1_regulations_v6[effective_date],"&gt;="&amp;DATE(A115,1,1),m1_regulations_v6[effective_date],"&lt;="&amp;DATE(A115,12,31)))</f>
        <v/>
      </c>
      <c r="C115" s="12" t="str">
        <f>IFERROR(IF(A115="","",B115/ROWS(m1_regulations_v6[effective_date])),"")</f>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7B25-194E-434C-9C93-A3463021F343}">
  <dimension ref="A1:AM801"/>
  <sheetViews>
    <sheetView workbookViewId="0">
      <selection activeCell="B21" sqref="B21"/>
    </sheetView>
  </sheetViews>
  <sheetFormatPr defaultRowHeight="14.4" x14ac:dyDescent="0.3"/>
  <cols>
    <col min="1" max="1" width="39.77734375" bestFit="1" customWidth="1"/>
    <col min="2" max="2" width="23.33203125" bestFit="1" customWidth="1"/>
    <col min="3" max="3" width="19.21875" bestFit="1" customWidth="1"/>
    <col min="4" max="4" width="20.33203125" bestFit="1" customWidth="1"/>
    <col min="5" max="5" width="150.5546875" bestFit="1" customWidth="1"/>
    <col min="6" max="6" width="205.6640625" bestFit="1" customWidth="1"/>
    <col min="7" max="8" width="255.77734375" bestFit="1" customWidth="1"/>
    <col min="9" max="9" width="14.21875" bestFit="1" customWidth="1"/>
    <col min="10" max="10" width="14.33203125" bestFit="1" customWidth="1"/>
    <col min="11" max="11" width="79" bestFit="1" customWidth="1"/>
    <col min="12" max="12" width="23.44140625" bestFit="1" customWidth="1"/>
    <col min="13" max="13" width="20.88671875" bestFit="1" customWidth="1"/>
    <col min="14" max="14" width="24.44140625" bestFit="1" customWidth="1"/>
    <col min="15" max="15" width="15.88671875" bestFit="1" customWidth="1"/>
    <col min="16" max="16" width="19.77734375" bestFit="1" customWidth="1"/>
    <col min="17" max="17" width="18.33203125" bestFit="1" customWidth="1"/>
    <col min="18" max="18" width="15.88671875" bestFit="1" customWidth="1"/>
    <col min="19" max="19" width="18" bestFit="1" customWidth="1"/>
    <col min="20" max="20" width="57.77734375" bestFit="1" customWidth="1"/>
    <col min="21" max="21" width="200" bestFit="1" customWidth="1"/>
    <col min="22" max="22" width="24.109375" bestFit="1" customWidth="1"/>
    <col min="23" max="23" width="24.21875" bestFit="1" customWidth="1"/>
    <col min="24" max="24" width="27.21875" bestFit="1" customWidth="1"/>
    <col min="25" max="25" width="16.77734375" bestFit="1" customWidth="1"/>
    <col min="26" max="26" width="19.88671875" bestFit="1" customWidth="1"/>
    <col min="27" max="27" width="19.33203125" bestFit="1" customWidth="1"/>
    <col min="28" max="28" width="28" bestFit="1" customWidth="1"/>
    <col min="29" max="29" width="11.109375" bestFit="1" customWidth="1"/>
    <col min="31" max="31" width="19.109375" bestFit="1" customWidth="1"/>
    <col min="32" max="32" width="17.77734375" bestFit="1" customWidth="1"/>
    <col min="33" max="33" width="255.77734375" bestFit="1" customWidth="1"/>
    <col min="34" max="34" width="22.44140625" bestFit="1" customWidth="1"/>
    <col min="35" max="35" width="16.6640625" bestFit="1" customWidth="1"/>
    <col min="36" max="36" width="14.77734375" bestFit="1" customWidth="1"/>
    <col min="37" max="37" width="19" bestFit="1" customWidth="1"/>
    <col min="38" max="39" width="16.6640625"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t="s">
        <v>44</v>
      </c>
      <c r="G2" t="s">
        <v>45</v>
      </c>
      <c r="H2" t="s">
        <v>46</v>
      </c>
      <c r="I2" t="s">
        <v>47</v>
      </c>
      <c r="J2" t="s">
        <v>47</v>
      </c>
      <c r="K2" t="s">
        <v>48</v>
      </c>
      <c r="L2" t="s">
        <v>47</v>
      </c>
      <c r="M2" t="s">
        <v>47</v>
      </c>
      <c r="N2" s="1">
        <v>46018</v>
      </c>
      <c r="O2" s="1">
        <v>46018</v>
      </c>
      <c r="P2" t="s">
        <v>49</v>
      </c>
      <c r="Q2" t="s">
        <v>50</v>
      </c>
      <c r="R2">
        <v>2</v>
      </c>
      <c r="S2" t="b">
        <v>0</v>
      </c>
      <c r="T2" t="s">
        <v>47</v>
      </c>
      <c r="U2" t="s">
        <v>47</v>
      </c>
      <c r="V2" t="s">
        <v>47</v>
      </c>
      <c r="W2" t="s">
        <v>47</v>
      </c>
      <c r="X2" t="s">
        <v>51</v>
      </c>
      <c r="Y2" t="b">
        <v>0</v>
      </c>
      <c r="Z2" t="s">
        <v>47</v>
      </c>
      <c r="AA2" t="s">
        <v>47</v>
      </c>
      <c r="AC2" t="b">
        <v>1</v>
      </c>
      <c r="AD2" t="s">
        <v>52</v>
      </c>
      <c r="AE2" t="s">
        <v>53</v>
      </c>
      <c r="AF2" t="s">
        <v>42</v>
      </c>
      <c r="AG2" t="s">
        <v>54</v>
      </c>
      <c r="AH2" t="s">
        <v>55</v>
      </c>
      <c r="AI2" s="2">
        <v>46160.142361111109</v>
      </c>
      <c r="AJ2" t="s">
        <v>47</v>
      </c>
      <c r="AK2" t="s">
        <v>47</v>
      </c>
      <c r="AL2" s="2">
        <v>46160.171903877315</v>
      </c>
      <c r="AM2" s="2">
        <v>46160.171903877315</v>
      </c>
    </row>
    <row r="3" spans="1:39" x14ac:dyDescent="0.3">
      <c r="A3" t="s">
        <v>56</v>
      </c>
      <c r="B3" t="s">
        <v>57</v>
      </c>
      <c r="C3" t="s">
        <v>41</v>
      </c>
      <c r="D3" t="s">
        <v>58</v>
      </c>
      <c r="E3" t="s">
        <v>59</v>
      </c>
      <c r="F3" t="s">
        <v>60</v>
      </c>
      <c r="G3" t="s">
        <v>61</v>
      </c>
      <c r="H3" t="s">
        <v>62</v>
      </c>
      <c r="I3" t="s">
        <v>47</v>
      </c>
      <c r="J3" t="s">
        <v>47</v>
      </c>
      <c r="K3" t="s">
        <v>63</v>
      </c>
      <c r="L3" t="s">
        <v>47</v>
      </c>
      <c r="M3" t="s">
        <v>47</v>
      </c>
      <c r="N3" s="1">
        <v>46023</v>
      </c>
      <c r="O3" s="1">
        <v>46023</v>
      </c>
      <c r="P3" t="s">
        <v>64</v>
      </c>
      <c r="Q3" t="s">
        <v>50</v>
      </c>
      <c r="R3">
        <v>2</v>
      </c>
      <c r="S3" t="b">
        <v>0</v>
      </c>
      <c r="T3" t="s">
        <v>47</v>
      </c>
      <c r="U3" t="s">
        <v>47</v>
      </c>
      <c r="V3" t="s">
        <v>47</v>
      </c>
      <c r="W3" t="s">
        <v>47</v>
      </c>
      <c r="X3" t="s">
        <v>51</v>
      </c>
      <c r="Y3" t="b">
        <v>0</v>
      </c>
      <c r="Z3" t="s">
        <v>47</v>
      </c>
      <c r="AA3" t="s">
        <v>47</v>
      </c>
      <c r="AC3" t="b">
        <v>1</v>
      </c>
      <c r="AD3" t="s">
        <v>52</v>
      </c>
      <c r="AE3" t="s">
        <v>65</v>
      </c>
      <c r="AF3" t="s">
        <v>58</v>
      </c>
      <c r="AG3" t="s">
        <v>66</v>
      </c>
      <c r="AH3" t="s">
        <v>55</v>
      </c>
      <c r="AI3" s="2">
        <v>46160.149305555555</v>
      </c>
      <c r="AJ3" t="s">
        <v>47</v>
      </c>
      <c r="AK3" t="s">
        <v>47</v>
      </c>
      <c r="AL3" s="2">
        <v>46160.171903877315</v>
      </c>
      <c r="AM3" s="2">
        <v>46160.171903877315</v>
      </c>
    </row>
    <row r="4" spans="1:39" x14ac:dyDescent="0.3">
      <c r="A4" t="s">
        <v>67</v>
      </c>
      <c r="B4" t="s">
        <v>68</v>
      </c>
      <c r="C4" t="s">
        <v>41</v>
      </c>
      <c r="D4" t="s">
        <v>69</v>
      </c>
      <c r="E4" t="s">
        <v>70</v>
      </c>
      <c r="F4" t="s">
        <v>71</v>
      </c>
      <c r="G4" t="s">
        <v>72</v>
      </c>
      <c r="H4" t="s">
        <v>73</v>
      </c>
      <c r="I4" t="s">
        <v>47</v>
      </c>
      <c r="J4" t="s">
        <v>47</v>
      </c>
      <c r="K4" t="s">
        <v>74</v>
      </c>
      <c r="L4" t="s">
        <v>47</v>
      </c>
      <c r="M4" t="s">
        <v>47</v>
      </c>
      <c r="N4" s="1">
        <v>46023</v>
      </c>
      <c r="O4" s="1">
        <v>46023</v>
      </c>
      <c r="P4" t="s">
        <v>75</v>
      </c>
      <c r="Q4" t="s">
        <v>76</v>
      </c>
      <c r="R4">
        <v>2</v>
      </c>
      <c r="S4" t="b">
        <v>0</v>
      </c>
      <c r="T4" t="s">
        <v>47</v>
      </c>
      <c r="U4" t="s">
        <v>47</v>
      </c>
      <c r="V4" t="s">
        <v>47</v>
      </c>
      <c r="W4" t="s">
        <v>47</v>
      </c>
      <c r="X4" t="s">
        <v>51</v>
      </c>
      <c r="Y4" t="b">
        <v>0</v>
      </c>
      <c r="Z4" t="s">
        <v>47</v>
      </c>
      <c r="AA4" t="s">
        <v>47</v>
      </c>
      <c r="AC4" t="b">
        <v>1</v>
      </c>
      <c r="AD4" t="s">
        <v>52</v>
      </c>
      <c r="AE4" t="s">
        <v>77</v>
      </c>
      <c r="AF4" t="s">
        <v>69</v>
      </c>
      <c r="AG4" t="s">
        <v>78</v>
      </c>
      <c r="AH4" t="s">
        <v>55</v>
      </c>
      <c r="AI4" s="2">
        <v>46160.149305555555</v>
      </c>
      <c r="AJ4" t="s">
        <v>47</v>
      </c>
      <c r="AK4" t="s">
        <v>47</v>
      </c>
      <c r="AL4" s="2">
        <v>46160.171903877315</v>
      </c>
      <c r="AM4" s="2">
        <v>46160.171903877315</v>
      </c>
    </row>
    <row r="5" spans="1:39" x14ac:dyDescent="0.3">
      <c r="A5" t="s">
        <v>79</v>
      </c>
      <c r="B5" t="s">
        <v>80</v>
      </c>
      <c r="C5" t="s">
        <v>41</v>
      </c>
      <c r="D5" t="s">
        <v>81</v>
      </c>
      <c r="E5" t="s">
        <v>82</v>
      </c>
      <c r="F5" t="s">
        <v>83</v>
      </c>
      <c r="G5" t="s">
        <v>84</v>
      </c>
      <c r="H5" t="s">
        <v>85</v>
      </c>
      <c r="I5" t="s">
        <v>47</v>
      </c>
      <c r="J5" t="s">
        <v>47</v>
      </c>
      <c r="K5" t="s">
        <v>48</v>
      </c>
      <c r="L5" t="s">
        <v>47</v>
      </c>
      <c r="M5" s="1">
        <v>46023</v>
      </c>
      <c r="N5" s="1">
        <v>46023</v>
      </c>
      <c r="O5" s="1">
        <v>46023</v>
      </c>
      <c r="P5" t="s">
        <v>49</v>
      </c>
      <c r="Q5" t="s">
        <v>50</v>
      </c>
      <c r="R5">
        <v>2</v>
      </c>
      <c r="S5" t="b">
        <v>0</v>
      </c>
      <c r="T5" t="s">
        <v>47</v>
      </c>
      <c r="U5" t="s">
        <v>47</v>
      </c>
      <c r="V5" t="s">
        <v>47</v>
      </c>
      <c r="W5" t="s">
        <v>47</v>
      </c>
      <c r="X5" t="s">
        <v>51</v>
      </c>
      <c r="Y5" t="b">
        <v>0</v>
      </c>
      <c r="Z5" t="s">
        <v>47</v>
      </c>
      <c r="AA5" t="s">
        <v>47</v>
      </c>
      <c r="AB5" t="s">
        <v>47</v>
      </c>
      <c r="AC5" t="b">
        <v>1</v>
      </c>
      <c r="AD5" t="s">
        <v>52</v>
      </c>
      <c r="AE5" t="s">
        <v>86</v>
      </c>
      <c r="AF5" t="s">
        <v>81</v>
      </c>
      <c r="AG5" t="s">
        <v>47</v>
      </c>
      <c r="AH5" t="s">
        <v>87</v>
      </c>
      <c r="AI5" s="2">
        <v>46160.614004629628</v>
      </c>
      <c r="AJ5" t="s">
        <v>47</v>
      </c>
      <c r="AK5" t="s">
        <v>47</v>
      </c>
      <c r="AL5" s="2">
        <v>46160.614004629628</v>
      </c>
      <c r="AM5" s="2">
        <v>46160.614004629628</v>
      </c>
    </row>
    <row r="6" spans="1:39" x14ac:dyDescent="0.3">
      <c r="A6" t="s">
        <v>88</v>
      </c>
      <c r="B6" t="s">
        <v>89</v>
      </c>
      <c r="C6" t="s">
        <v>41</v>
      </c>
      <c r="D6" t="s">
        <v>90</v>
      </c>
      <c r="E6" t="s">
        <v>91</v>
      </c>
      <c r="F6" t="s">
        <v>83</v>
      </c>
      <c r="G6" t="s">
        <v>84</v>
      </c>
      <c r="H6" t="s">
        <v>85</v>
      </c>
      <c r="I6" t="s">
        <v>47</v>
      </c>
      <c r="J6" t="s">
        <v>47</v>
      </c>
      <c r="K6" t="s">
        <v>48</v>
      </c>
      <c r="L6" t="s">
        <v>47</v>
      </c>
      <c r="M6" s="1">
        <v>46023</v>
      </c>
      <c r="N6" s="1">
        <v>46023</v>
      </c>
      <c r="O6" s="1">
        <v>46023</v>
      </c>
      <c r="P6" t="s">
        <v>49</v>
      </c>
      <c r="Q6" t="s">
        <v>50</v>
      </c>
      <c r="R6">
        <v>2</v>
      </c>
      <c r="S6" t="b">
        <v>0</v>
      </c>
      <c r="T6" t="s">
        <v>47</v>
      </c>
      <c r="U6" t="s">
        <v>47</v>
      </c>
      <c r="V6" t="s">
        <v>47</v>
      </c>
      <c r="W6" t="s">
        <v>47</v>
      </c>
      <c r="X6" t="s">
        <v>51</v>
      </c>
      <c r="Y6" t="b">
        <v>0</v>
      </c>
      <c r="Z6" t="s">
        <v>47</v>
      </c>
      <c r="AA6" t="s">
        <v>47</v>
      </c>
      <c r="AB6" t="s">
        <v>47</v>
      </c>
      <c r="AC6" t="b">
        <v>1</v>
      </c>
      <c r="AD6" t="s">
        <v>52</v>
      </c>
      <c r="AE6" t="s">
        <v>92</v>
      </c>
      <c r="AF6" t="s">
        <v>90</v>
      </c>
      <c r="AG6" t="s">
        <v>47</v>
      </c>
      <c r="AH6" t="s">
        <v>87</v>
      </c>
      <c r="AI6" s="2">
        <v>46160.565381944441</v>
      </c>
      <c r="AJ6" t="s">
        <v>47</v>
      </c>
      <c r="AK6" t="s">
        <v>47</v>
      </c>
      <c r="AL6" s="2">
        <v>46160.565381944441</v>
      </c>
      <c r="AM6" s="2">
        <v>46160.565381944441</v>
      </c>
    </row>
    <row r="7" spans="1:39" x14ac:dyDescent="0.3">
      <c r="A7" t="s">
        <v>93</v>
      </c>
      <c r="B7" t="s">
        <v>94</v>
      </c>
      <c r="C7" t="s">
        <v>41</v>
      </c>
      <c r="D7" t="s">
        <v>95</v>
      </c>
      <c r="E7" t="s">
        <v>96</v>
      </c>
      <c r="F7" t="s">
        <v>83</v>
      </c>
      <c r="G7" t="s">
        <v>84</v>
      </c>
      <c r="H7" t="s">
        <v>85</v>
      </c>
      <c r="I7" t="s">
        <v>47</v>
      </c>
      <c r="J7" t="s">
        <v>47</v>
      </c>
      <c r="K7" t="s">
        <v>48</v>
      </c>
      <c r="L7" t="s">
        <v>47</v>
      </c>
      <c r="M7" s="1">
        <v>46023</v>
      </c>
      <c r="N7" s="1">
        <v>46023</v>
      </c>
      <c r="O7" s="1">
        <v>46023</v>
      </c>
      <c r="P7" t="s">
        <v>49</v>
      </c>
      <c r="Q7" t="s">
        <v>50</v>
      </c>
      <c r="R7">
        <v>2</v>
      </c>
      <c r="S7" t="b">
        <v>0</v>
      </c>
      <c r="T7" t="s">
        <v>47</v>
      </c>
      <c r="U7" t="s">
        <v>47</v>
      </c>
      <c r="V7" t="s">
        <v>47</v>
      </c>
      <c r="W7" t="s">
        <v>47</v>
      </c>
      <c r="X7" t="s">
        <v>51</v>
      </c>
      <c r="Y7" t="b">
        <v>0</v>
      </c>
      <c r="Z7" t="s">
        <v>47</v>
      </c>
      <c r="AA7" t="s">
        <v>47</v>
      </c>
      <c r="AB7" t="s">
        <v>47</v>
      </c>
      <c r="AC7" t="b">
        <v>1</v>
      </c>
      <c r="AD7" t="s">
        <v>52</v>
      </c>
      <c r="AE7" t="s">
        <v>97</v>
      </c>
      <c r="AF7" t="s">
        <v>95</v>
      </c>
      <c r="AG7" t="s">
        <v>47</v>
      </c>
      <c r="AH7" t="s">
        <v>87</v>
      </c>
      <c r="AI7" s="2">
        <v>46160.581724537034</v>
      </c>
      <c r="AJ7" t="s">
        <v>47</v>
      </c>
      <c r="AK7" t="s">
        <v>47</v>
      </c>
      <c r="AL7" s="2">
        <v>46160.581724537034</v>
      </c>
      <c r="AM7" s="2">
        <v>46160.581724537034</v>
      </c>
    </row>
    <row r="8" spans="1:39" x14ac:dyDescent="0.3">
      <c r="A8" t="s">
        <v>98</v>
      </c>
      <c r="B8" t="s">
        <v>99</v>
      </c>
      <c r="C8" t="s">
        <v>41</v>
      </c>
      <c r="D8" t="s">
        <v>100</v>
      </c>
      <c r="E8" t="s">
        <v>101</v>
      </c>
      <c r="F8" t="s">
        <v>83</v>
      </c>
      <c r="G8" t="s">
        <v>84</v>
      </c>
      <c r="H8" t="s">
        <v>85</v>
      </c>
      <c r="I8" t="s">
        <v>47</v>
      </c>
      <c r="J8" t="s">
        <v>47</v>
      </c>
      <c r="K8" t="s">
        <v>48</v>
      </c>
      <c r="L8" t="s">
        <v>47</v>
      </c>
      <c r="M8" s="1">
        <v>46023</v>
      </c>
      <c r="N8" s="1">
        <v>46023</v>
      </c>
      <c r="O8" s="1">
        <v>46023</v>
      </c>
      <c r="P8" t="s">
        <v>49</v>
      </c>
      <c r="Q8" t="s">
        <v>50</v>
      </c>
      <c r="R8">
        <v>2</v>
      </c>
      <c r="S8" t="b">
        <v>0</v>
      </c>
      <c r="T8" t="s">
        <v>47</v>
      </c>
      <c r="U8" t="s">
        <v>47</v>
      </c>
      <c r="V8" t="s">
        <v>47</v>
      </c>
      <c r="W8" t="s">
        <v>47</v>
      </c>
      <c r="X8" t="s">
        <v>51</v>
      </c>
      <c r="Y8" t="b">
        <v>0</v>
      </c>
      <c r="Z8" t="s">
        <v>47</v>
      </c>
      <c r="AA8" t="s">
        <v>47</v>
      </c>
      <c r="AB8" t="s">
        <v>47</v>
      </c>
      <c r="AC8" t="b">
        <v>1</v>
      </c>
      <c r="AD8" t="s">
        <v>52</v>
      </c>
      <c r="AE8" t="s">
        <v>102</v>
      </c>
      <c r="AF8" t="s">
        <v>100</v>
      </c>
      <c r="AG8" t="s">
        <v>47</v>
      </c>
      <c r="AH8" t="s">
        <v>87</v>
      </c>
      <c r="AI8" s="2">
        <v>46160.581724537034</v>
      </c>
      <c r="AJ8" t="s">
        <v>47</v>
      </c>
      <c r="AK8" t="s">
        <v>47</v>
      </c>
      <c r="AL8" s="2">
        <v>46160.581724537034</v>
      </c>
      <c r="AM8" s="2">
        <v>46160.581724537034</v>
      </c>
    </row>
    <row r="9" spans="1:39" x14ac:dyDescent="0.3">
      <c r="A9" t="s">
        <v>103</v>
      </c>
      <c r="B9" t="s">
        <v>104</v>
      </c>
      <c r="C9" t="s">
        <v>41</v>
      </c>
      <c r="D9" t="s">
        <v>105</v>
      </c>
      <c r="E9" t="s">
        <v>106</v>
      </c>
      <c r="F9" t="s">
        <v>107</v>
      </c>
      <c r="G9" t="s">
        <v>108</v>
      </c>
      <c r="H9" t="s">
        <v>109</v>
      </c>
      <c r="I9" t="s">
        <v>47</v>
      </c>
      <c r="J9" t="s">
        <v>47</v>
      </c>
      <c r="K9" t="s">
        <v>48</v>
      </c>
      <c r="L9" t="s">
        <v>47</v>
      </c>
      <c r="M9" t="s">
        <v>47</v>
      </c>
      <c r="N9" s="1">
        <v>46023</v>
      </c>
      <c r="O9" s="1">
        <v>46023</v>
      </c>
      <c r="P9" t="s">
        <v>49</v>
      </c>
      <c r="Q9" t="s">
        <v>50</v>
      </c>
      <c r="R9">
        <v>2</v>
      </c>
      <c r="S9" t="b">
        <v>0</v>
      </c>
      <c r="T9" t="s">
        <v>47</v>
      </c>
      <c r="U9" t="s">
        <v>47</v>
      </c>
      <c r="V9" t="s">
        <v>47</v>
      </c>
      <c r="W9" t="s">
        <v>47</v>
      </c>
      <c r="X9" t="s">
        <v>51</v>
      </c>
      <c r="Y9" t="b">
        <v>0</v>
      </c>
      <c r="Z9" t="s">
        <v>47</v>
      </c>
      <c r="AA9" t="s">
        <v>47</v>
      </c>
      <c r="AC9" t="b">
        <v>1</v>
      </c>
      <c r="AD9" t="s">
        <v>52</v>
      </c>
      <c r="AE9" t="s">
        <v>110</v>
      </c>
      <c r="AF9" t="s">
        <v>105</v>
      </c>
      <c r="AG9" t="s">
        <v>111</v>
      </c>
      <c r="AH9" t="s">
        <v>55</v>
      </c>
      <c r="AI9" s="2">
        <v>46160.229166666664</v>
      </c>
      <c r="AJ9" t="s">
        <v>47</v>
      </c>
      <c r="AK9" t="s">
        <v>47</v>
      </c>
      <c r="AL9" s="2">
        <v>46160.458333333336</v>
      </c>
      <c r="AM9" s="2">
        <v>46160.458333333336</v>
      </c>
    </row>
    <row r="10" spans="1:39" x14ac:dyDescent="0.3">
      <c r="A10" t="s">
        <v>112</v>
      </c>
      <c r="B10" t="s">
        <v>113</v>
      </c>
      <c r="C10" t="s">
        <v>41</v>
      </c>
      <c r="D10" t="s">
        <v>114</v>
      </c>
      <c r="E10" t="s">
        <v>115</v>
      </c>
      <c r="F10" t="s">
        <v>83</v>
      </c>
      <c r="G10" t="s">
        <v>84</v>
      </c>
      <c r="H10" t="s">
        <v>85</v>
      </c>
      <c r="I10" t="s">
        <v>47</v>
      </c>
      <c r="J10" t="s">
        <v>47</v>
      </c>
      <c r="K10" t="s">
        <v>48</v>
      </c>
      <c r="L10" t="s">
        <v>47</v>
      </c>
      <c r="M10" s="1">
        <v>46023</v>
      </c>
      <c r="N10" s="1">
        <v>46023</v>
      </c>
      <c r="O10" s="1">
        <v>46023</v>
      </c>
      <c r="P10" t="s">
        <v>49</v>
      </c>
      <c r="Q10" t="s">
        <v>50</v>
      </c>
      <c r="R10">
        <v>2</v>
      </c>
      <c r="S10" t="b">
        <v>0</v>
      </c>
      <c r="T10" t="s">
        <v>47</v>
      </c>
      <c r="U10" t="s">
        <v>47</v>
      </c>
      <c r="V10" t="s">
        <v>47</v>
      </c>
      <c r="W10" t="s">
        <v>47</v>
      </c>
      <c r="X10" t="s">
        <v>51</v>
      </c>
      <c r="Y10" t="b">
        <v>0</v>
      </c>
      <c r="Z10" t="s">
        <v>47</v>
      </c>
      <c r="AA10" t="s">
        <v>47</v>
      </c>
      <c r="AB10" t="s">
        <v>47</v>
      </c>
      <c r="AC10" t="b">
        <v>1</v>
      </c>
      <c r="AD10" t="s">
        <v>52</v>
      </c>
      <c r="AE10" t="s">
        <v>116</v>
      </c>
      <c r="AF10" t="s">
        <v>114</v>
      </c>
      <c r="AG10" t="s">
        <v>47</v>
      </c>
      <c r="AH10" t="s">
        <v>87</v>
      </c>
      <c r="AI10" s="2">
        <v>46160.598310185182</v>
      </c>
      <c r="AJ10" t="s">
        <v>47</v>
      </c>
      <c r="AK10" t="s">
        <v>47</v>
      </c>
      <c r="AL10" s="2">
        <v>46160.598310185182</v>
      </c>
      <c r="AM10" s="2">
        <v>46160.598310185182</v>
      </c>
    </row>
    <row r="11" spans="1:39" x14ac:dyDescent="0.3">
      <c r="A11" t="s">
        <v>117</v>
      </c>
      <c r="B11" t="s">
        <v>118</v>
      </c>
      <c r="C11" t="s">
        <v>41</v>
      </c>
      <c r="D11" t="s">
        <v>119</v>
      </c>
      <c r="E11" t="s">
        <v>120</v>
      </c>
      <c r="F11" t="s">
        <v>107</v>
      </c>
      <c r="G11" t="s">
        <v>108</v>
      </c>
      <c r="H11" t="s">
        <v>109</v>
      </c>
      <c r="I11" t="s">
        <v>47</v>
      </c>
      <c r="J11" t="s">
        <v>47</v>
      </c>
      <c r="K11" t="s">
        <v>48</v>
      </c>
      <c r="L11" t="s">
        <v>47</v>
      </c>
      <c r="M11" t="s">
        <v>47</v>
      </c>
      <c r="N11" s="1">
        <v>46023</v>
      </c>
      <c r="O11" s="1">
        <v>46023</v>
      </c>
      <c r="P11" t="s">
        <v>49</v>
      </c>
      <c r="Q11" t="s">
        <v>50</v>
      </c>
      <c r="R11">
        <v>2</v>
      </c>
      <c r="S11" t="b">
        <v>0</v>
      </c>
      <c r="T11" t="s">
        <v>47</v>
      </c>
      <c r="U11" t="s">
        <v>47</v>
      </c>
      <c r="V11" t="s">
        <v>47</v>
      </c>
      <c r="W11" t="s">
        <v>47</v>
      </c>
      <c r="X11" t="s">
        <v>51</v>
      </c>
      <c r="Y11" t="b">
        <v>0</v>
      </c>
      <c r="Z11" t="s">
        <v>47</v>
      </c>
      <c r="AA11" t="s">
        <v>47</v>
      </c>
      <c r="AC11" t="b">
        <v>1</v>
      </c>
      <c r="AD11" t="s">
        <v>52</v>
      </c>
      <c r="AE11" t="s">
        <v>121</v>
      </c>
      <c r="AF11" t="s">
        <v>119</v>
      </c>
      <c r="AG11" t="s">
        <v>122</v>
      </c>
      <c r="AH11" t="s">
        <v>55</v>
      </c>
      <c r="AI11" s="2">
        <v>46160.229166666664</v>
      </c>
      <c r="AJ11" t="s">
        <v>47</v>
      </c>
      <c r="AK11" t="s">
        <v>47</v>
      </c>
      <c r="AL11" s="2">
        <v>46160.458333333336</v>
      </c>
      <c r="AM11" s="2">
        <v>46160.458333333336</v>
      </c>
    </row>
    <row r="12" spans="1:39" x14ac:dyDescent="0.3">
      <c r="A12" t="s">
        <v>123</v>
      </c>
      <c r="B12" t="s">
        <v>124</v>
      </c>
      <c r="C12" t="s">
        <v>41</v>
      </c>
      <c r="D12" t="s">
        <v>125</v>
      </c>
      <c r="E12" t="s">
        <v>126</v>
      </c>
      <c r="F12" t="s">
        <v>127</v>
      </c>
      <c r="G12" t="s">
        <v>128</v>
      </c>
      <c r="H12" t="s">
        <v>129</v>
      </c>
      <c r="I12" t="s">
        <v>47</v>
      </c>
      <c r="J12" t="s">
        <v>47</v>
      </c>
      <c r="K12" t="s">
        <v>130</v>
      </c>
      <c r="L12" t="s">
        <v>47</v>
      </c>
      <c r="M12" t="s">
        <v>47</v>
      </c>
      <c r="N12" s="1">
        <v>46027</v>
      </c>
      <c r="O12" s="1">
        <v>46027</v>
      </c>
      <c r="P12" t="s">
        <v>49</v>
      </c>
      <c r="Q12" t="s">
        <v>50</v>
      </c>
      <c r="R12">
        <v>3</v>
      </c>
      <c r="S12" t="b">
        <v>1</v>
      </c>
      <c r="T12" t="s">
        <v>47</v>
      </c>
      <c r="U12" t="s">
        <v>47</v>
      </c>
      <c r="V12" t="s">
        <v>47</v>
      </c>
      <c r="W12" t="s">
        <v>47</v>
      </c>
      <c r="X12" t="s">
        <v>51</v>
      </c>
      <c r="Y12" t="b">
        <v>0</v>
      </c>
      <c r="Z12" t="s">
        <v>47</v>
      </c>
      <c r="AA12" t="s">
        <v>47</v>
      </c>
      <c r="AB12">
        <v>0.6</v>
      </c>
      <c r="AC12" t="b">
        <v>1</v>
      </c>
      <c r="AD12" t="s">
        <v>52</v>
      </c>
      <c r="AE12" t="s">
        <v>131</v>
      </c>
      <c r="AF12" t="s">
        <v>125</v>
      </c>
      <c r="AG12" t="s">
        <v>132</v>
      </c>
      <c r="AH12" t="s">
        <v>55</v>
      </c>
      <c r="AI12" s="2">
        <v>46160.201388888891</v>
      </c>
      <c r="AJ12" t="s">
        <v>47</v>
      </c>
      <c r="AK12" t="s">
        <v>47</v>
      </c>
      <c r="AL12" s="2">
        <v>46160.430555555555</v>
      </c>
      <c r="AM12" s="2">
        <v>46160.430555555555</v>
      </c>
    </row>
    <row r="13" spans="1:39" x14ac:dyDescent="0.3">
      <c r="A13" t="s">
        <v>133</v>
      </c>
      <c r="B13" t="s">
        <v>134</v>
      </c>
      <c r="C13" t="s">
        <v>41</v>
      </c>
      <c r="D13" t="s">
        <v>135</v>
      </c>
      <c r="E13" t="s">
        <v>136</v>
      </c>
      <c r="F13" t="s">
        <v>137</v>
      </c>
      <c r="G13" t="s">
        <v>138</v>
      </c>
      <c r="H13" t="s">
        <v>139</v>
      </c>
      <c r="I13" t="s">
        <v>47</v>
      </c>
      <c r="J13" t="s">
        <v>47</v>
      </c>
      <c r="K13" t="s">
        <v>130</v>
      </c>
      <c r="L13" t="s">
        <v>47</v>
      </c>
      <c r="M13" t="s">
        <v>47</v>
      </c>
      <c r="N13" s="1">
        <v>46024</v>
      </c>
      <c r="O13" s="1">
        <v>46024</v>
      </c>
      <c r="P13" t="s">
        <v>49</v>
      </c>
      <c r="Q13" t="s">
        <v>50</v>
      </c>
      <c r="R13">
        <v>3</v>
      </c>
      <c r="S13" t="b">
        <v>1</v>
      </c>
      <c r="T13" t="s">
        <v>47</v>
      </c>
      <c r="U13" t="s">
        <v>47</v>
      </c>
      <c r="V13" t="s">
        <v>47</v>
      </c>
      <c r="W13" t="s">
        <v>47</v>
      </c>
      <c r="X13" t="s">
        <v>51</v>
      </c>
      <c r="Y13" t="b">
        <v>0</v>
      </c>
      <c r="Z13" t="s">
        <v>47</v>
      </c>
      <c r="AA13" t="s">
        <v>47</v>
      </c>
      <c r="AB13">
        <v>0.6</v>
      </c>
      <c r="AC13" t="b">
        <v>1</v>
      </c>
      <c r="AD13" t="s">
        <v>52</v>
      </c>
      <c r="AE13" t="s">
        <v>140</v>
      </c>
      <c r="AF13" t="s">
        <v>135</v>
      </c>
      <c r="AG13" t="s">
        <v>141</v>
      </c>
      <c r="AH13" t="s">
        <v>55</v>
      </c>
      <c r="AI13" s="2">
        <v>46160.229166666664</v>
      </c>
      <c r="AJ13" t="s">
        <v>47</v>
      </c>
      <c r="AK13" t="s">
        <v>47</v>
      </c>
      <c r="AL13" s="2">
        <v>46160.458333333336</v>
      </c>
      <c r="AM13" s="2">
        <v>46160.458333333336</v>
      </c>
    </row>
    <row r="14" spans="1:39" x14ac:dyDescent="0.3">
      <c r="A14" t="s">
        <v>142</v>
      </c>
      <c r="B14" t="s">
        <v>143</v>
      </c>
      <c r="C14" t="s">
        <v>41</v>
      </c>
      <c r="D14" t="s">
        <v>144</v>
      </c>
      <c r="E14" t="s">
        <v>145</v>
      </c>
      <c r="F14" t="s">
        <v>83</v>
      </c>
      <c r="G14" t="s">
        <v>84</v>
      </c>
      <c r="H14" t="s">
        <v>85</v>
      </c>
      <c r="I14" t="s">
        <v>47</v>
      </c>
      <c r="J14" t="s">
        <v>47</v>
      </c>
      <c r="K14" t="s">
        <v>48</v>
      </c>
      <c r="L14" t="s">
        <v>47</v>
      </c>
      <c r="M14" s="1">
        <v>46024</v>
      </c>
      <c r="N14" s="1">
        <v>46024</v>
      </c>
      <c r="O14" s="1">
        <v>46024</v>
      </c>
      <c r="P14" t="s">
        <v>49</v>
      </c>
      <c r="Q14" t="s">
        <v>50</v>
      </c>
      <c r="R14">
        <v>2</v>
      </c>
      <c r="S14" t="b">
        <v>0</v>
      </c>
      <c r="T14" t="s">
        <v>47</v>
      </c>
      <c r="U14" t="s">
        <v>47</v>
      </c>
      <c r="V14" t="s">
        <v>47</v>
      </c>
      <c r="W14" t="s">
        <v>47</v>
      </c>
      <c r="X14" t="s">
        <v>51</v>
      </c>
      <c r="Y14" t="b">
        <v>0</v>
      </c>
      <c r="Z14" t="s">
        <v>47</v>
      </c>
      <c r="AA14" t="s">
        <v>47</v>
      </c>
      <c r="AB14" t="s">
        <v>47</v>
      </c>
      <c r="AC14" t="b">
        <v>1</v>
      </c>
      <c r="AD14" t="s">
        <v>52</v>
      </c>
      <c r="AE14" t="s">
        <v>146</v>
      </c>
      <c r="AF14" t="s">
        <v>144</v>
      </c>
      <c r="AG14" t="s">
        <v>47</v>
      </c>
      <c r="AH14" t="s">
        <v>87</v>
      </c>
      <c r="AI14" s="2">
        <v>46160.598310185182</v>
      </c>
      <c r="AJ14" t="s">
        <v>47</v>
      </c>
      <c r="AK14" t="s">
        <v>47</v>
      </c>
      <c r="AL14" s="2">
        <v>46160.598310185182</v>
      </c>
      <c r="AM14" s="2">
        <v>46160.598310185182</v>
      </c>
    </row>
    <row r="15" spans="1:39" x14ac:dyDescent="0.3">
      <c r="A15" t="s">
        <v>147</v>
      </c>
      <c r="B15" t="s">
        <v>148</v>
      </c>
      <c r="C15" t="s">
        <v>41</v>
      </c>
      <c r="D15" t="s">
        <v>149</v>
      </c>
      <c r="E15" t="s">
        <v>150</v>
      </c>
      <c r="F15" t="s">
        <v>83</v>
      </c>
      <c r="G15" t="s">
        <v>84</v>
      </c>
      <c r="H15" t="s">
        <v>85</v>
      </c>
      <c r="I15" t="s">
        <v>47</v>
      </c>
      <c r="J15" t="s">
        <v>47</v>
      </c>
      <c r="K15" t="s">
        <v>48</v>
      </c>
      <c r="L15" t="s">
        <v>47</v>
      </c>
      <c r="M15" s="1">
        <v>46024</v>
      </c>
      <c r="N15" s="1">
        <v>46024</v>
      </c>
      <c r="O15" s="1">
        <v>46024</v>
      </c>
      <c r="P15" t="s">
        <v>49</v>
      </c>
      <c r="Q15" t="s">
        <v>50</v>
      </c>
      <c r="R15">
        <v>2</v>
      </c>
      <c r="S15" t="b">
        <v>0</v>
      </c>
      <c r="T15" t="s">
        <v>47</v>
      </c>
      <c r="U15" t="s">
        <v>47</v>
      </c>
      <c r="V15" t="s">
        <v>47</v>
      </c>
      <c r="W15" t="s">
        <v>47</v>
      </c>
      <c r="X15" t="s">
        <v>51</v>
      </c>
      <c r="Y15" t="b">
        <v>0</v>
      </c>
      <c r="Z15" t="s">
        <v>47</v>
      </c>
      <c r="AA15" t="s">
        <v>47</v>
      </c>
      <c r="AB15" t="s">
        <v>47</v>
      </c>
      <c r="AC15" t="b">
        <v>1</v>
      </c>
      <c r="AD15" t="s">
        <v>52</v>
      </c>
      <c r="AE15" t="s">
        <v>151</v>
      </c>
      <c r="AF15" t="s">
        <v>149</v>
      </c>
      <c r="AG15" t="s">
        <v>47</v>
      </c>
      <c r="AH15" t="s">
        <v>87</v>
      </c>
      <c r="AI15" s="2">
        <v>46160.565381944441</v>
      </c>
      <c r="AJ15" t="s">
        <v>47</v>
      </c>
      <c r="AK15" t="s">
        <v>47</v>
      </c>
      <c r="AL15" s="2">
        <v>46160.565381944441</v>
      </c>
      <c r="AM15" s="2">
        <v>46160.565381944441</v>
      </c>
    </row>
    <row r="16" spans="1:39" x14ac:dyDescent="0.3">
      <c r="A16" t="s">
        <v>152</v>
      </c>
      <c r="B16" t="s">
        <v>153</v>
      </c>
      <c r="C16" t="s">
        <v>41</v>
      </c>
      <c r="D16" t="s">
        <v>154</v>
      </c>
      <c r="E16" t="s">
        <v>155</v>
      </c>
      <c r="F16" t="s">
        <v>83</v>
      </c>
      <c r="G16" t="s">
        <v>84</v>
      </c>
      <c r="H16" t="s">
        <v>85</v>
      </c>
      <c r="I16" t="s">
        <v>47</v>
      </c>
      <c r="J16" t="s">
        <v>47</v>
      </c>
      <c r="K16" t="s">
        <v>48</v>
      </c>
      <c r="L16" t="s">
        <v>47</v>
      </c>
      <c r="M16" s="1">
        <v>46024</v>
      </c>
      <c r="N16" s="1">
        <v>46024</v>
      </c>
      <c r="O16" s="1">
        <v>46024</v>
      </c>
      <c r="P16" t="s">
        <v>49</v>
      </c>
      <c r="Q16" t="s">
        <v>50</v>
      </c>
      <c r="R16">
        <v>2</v>
      </c>
      <c r="S16" t="b">
        <v>0</v>
      </c>
      <c r="T16" t="s">
        <v>47</v>
      </c>
      <c r="U16" t="s">
        <v>47</v>
      </c>
      <c r="V16" t="s">
        <v>47</v>
      </c>
      <c r="W16" t="s">
        <v>47</v>
      </c>
      <c r="X16" t="s">
        <v>51</v>
      </c>
      <c r="Y16" t="b">
        <v>0</v>
      </c>
      <c r="Z16" t="s">
        <v>47</v>
      </c>
      <c r="AA16" t="s">
        <v>47</v>
      </c>
      <c r="AB16" t="s">
        <v>47</v>
      </c>
      <c r="AC16" t="b">
        <v>1</v>
      </c>
      <c r="AD16" t="s">
        <v>52</v>
      </c>
      <c r="AE16" t="s">
        <v>156</v>
      </c>
      <c r="AF16" t="s">
        <v>154</v>
      </c>
      <c r="AG16" t="s">
        <v>47</v>
      </c>
      <c r="AH16" t="s">
        <v>87</v>
      </c>
      <c r="AI16" s="2">
        <v>46160.614004629628</v>
      </c>
      <c r="AJ16" t="s">
        <v>47</v>
      </c>
      <c r="AK16" t="s">
        <v>47</v>
      </c>
      <c r="AL16" s="2">
        <v>46160.614004629628</v>
      </c>
      <c r="AM16" s="2">
        <v>46160.614004629628</v>
      </c>
    </row>
    <row r="17" spans="1:39" x14ac:dyDescent="0.3">
      <c r="A17" t="s">
        <v>157</v>
      </c>
      <c r="B17" t="s">
        <v>158</v>
      </c>
      <c r="C17" t="s">
        <v>41</v>
      </c>
      <c r="D17" t="s">
        <v>159</v>
      </c>
      <c r="E17" t="s">
        <v>160</v>
      </c>
      <c r="F17" t="s">
        <v>107</v>
      </c>
      <c r="G17" t="s">
        <v>108</v>
      </c>
      <c r="H17" t="s">
        <v>109</v>
      </c>
      <c r="I17" t="s">
        <v>47</v>
      </c>
      <c r="J17" t="s">
        <v>47</v>
      </c>
      <c r="K17" t="s">
        <v>48</v>
      </c>
      <c r="L17" t="s">
        <v>47</v>
      </c>
      <c r="M17" t="s">
        <v>47</v>
      </c>
      <c r="N17" s="1">
        <v>46024</v>
      </c>
      <c r="O17" s="1">
        <v>46024</v>
      </c>
      <c r="P17" t="s">
        <v>49</v>
      </c>
      <c r="Q17" t="s">
        <v>50</v>
      </c>
      <c r="R17">
        <v>2</v>
      </c>
      <c r="S17" t="b">
        <v>0</v>
      </c>
      <c r="T17" t="s">
        <v>47</v>
      </c>
      <c r="U17" t="s">
        <v>47</v>
      </c>
      <c r="V17" t="s">
        <v>47</v>
      </c>
      <c r="W17" t="s">
        <v>47</v>
      </c>
      <c r="X17" t="s">
        <v>51</v>
      </c>
      <c r="Y17" t="b">
        <v>0</v>
      </c>
      <c r="Z17" t="s">
        <v>47</v>
      </c>
      <c r="AA17" t="s">
        <v>47</v>
      </c>
      <c r="AC17" t="b">
        <v>1</v>
      </c>
      <c r="AD17" t="s">
        <v>52</v>
      </c>
      <c r="AE17" t="s">
        <v>161</v>
      </c>
      <c r="AF17" t="s">
        <v>159</v>
      </c>
      <c r="AG17" t="s">
        <v>162</v>
      </c>
      <c r="AH17" t="s">
        <v>55</v>
      </c>
      <c r="AI17" s="2">
        <v>46160.25</v>
      </c>
      <c r="AJ17" t="s">
        <v>47</v>
      </c>
      <c r="AK17" t="s">
        <v>47</v>
      </c>
      <c r="AL17" s="2">
        <v>46160.479166666664</v>
      </c>
      <c r="AM17" s="2">
        <v>46160.479166666664</v>
      </c>
    </row>
    <row r="18" spans="1:39" x14ac:dyDescent="0.3">
      <c r="A18" t="s">
        <v>163</v>
      </c>
      <c r="B18" t="s">
        <v>164</v>
      </c>
      <c r="C18" t="s">
        <v>41</v>
      </c>
      <c r="D18" t="s">
        <v>165</v>
      </c>
      <c r="E18" t="s">
        <v>166</v>
      </c>
      <c r="F18" t="s">
        <v>83</v>
      </c>
      <c r="G18" t="s">
        <v>84</v>
      </c>
      <c r="H18" t="s">
        <v>85</v>
      </c>
      <c r="I18" t="s">
        <v>47</v>
      </c>
      <c r="J18" t="s">
        <v>47</v>
      </c>
      <c r="K18" t="s">
        <v>48</v>
      </c>
      <c r="L18" t="s">
        <v>47</v>
      </c>
      <c r="M18" s="1">
        <v>46024</v>
      </c>
      <c r="N18" s="1">
        <v>46024</v>
      </c>
      <c r="O18" s="1">
        <v>46024</v>
      </c>
      <c r="P18" t="s">
        <v>49</v>
      </c>
      <c r="Q18" t="s">
        <v>50</v>
      </c>
      <c r="R18">
        <v>2</v>
      </c>
      <c r="S18" t="b">
        <v>0</v>
      </c>
      <c r="T18" t="s">
        <v>47</v>
      </c>
      <c r="U18" t="s">
        <v>47</v>
      </c>
      <c r="V18" t="s">
        <v>47</v>
      </c>
      <c r="W18" t="s">
        <v>47</v>
      </c>
      <c r="X18" t="s">
        <v>51</v>
      </c>
      <c r="Y18" t="b">
        <v>0</v>
      </c>
      <c r="Z18" t="s">
        <v>47</v>
      </c>
      <c r="AA18" t="s">
        <v>47</v>
      </c>
      <c r="AB18" t="s">
        <v>47</v>
      </c>
      <c r="AC18" t="b">
        <v>1</v>
      </c>
      <c r="AD18" t="s">
        <v>52</v>
      </c>
      <c r="AE18" t="s">
        <v>167</v>
      </c>
      <c r="AF18" t="s">
        <v>165</v>
      </c>
      <c r="AG18" t="s">
        <v>47</v>
      </c>
      <c r="AH18" t="s">
        <v>87</v>
      </c>
      <c r="AI18" s="2">
        <v>46160.581724537034</v>
      </c>
      <c r="AJ18" t="s">
        <v>47</v>
      </c>
      <c r="AK18" t="s">
        <v>47</v>
      </c>
      <c r="AL18" s="2">
        <v>46160.581724537034</v>
      </c>
      <c r="AM18" s="2">
        <v>46160.581724537034</v>
      </c>
    </row>
    <row r="19" spans="1:39" x14ac:dyDescent="0.3">
      <c r="A19" t="s">
        <v>168</v>
      </c>
      <c r="B19" t="s">
        <v>169</v>
      </c>
      <c r="C19" t="s">
        <v>41</v>
      </c>
      <c r="D19" t="s">
        <v>170</v>
      </c>
      <c r="E19" t="s">
        <v>171</v>
      </c>
      <c r="F19" t="s">
        <v>172</v>
      </c>
      <c r="G19" t="s">
        <v>173</v>
      </c>
      <c r="H19" t="s">
        <v>174</v>
      </c>
      <c r="I19" t="s">
        <v>47</v>
      </c>
      <c r="J19" t="s">
        <v>47</v>
      </c>
      <c r="K19" t="s">
        <v>130</v>
      </c>
      <c r="L19" t="s">
        <v>47</v>
      </c>
      <c r="M19" s="1">
        <v>46024</v>
      </c>
      <c r="N19" s="1">
        <v>46024</v>
      </c>
      <c r="O19" s="1">
        <v>46024</v>
      </c>
      <c r="P19" t="s">
        <v>49</v>
      </c>
      <c r="Q19" t="s">
        <v>50</v>
      </c>
      <c r="R19">
        <v>3</v>
      </c>
      <c r="S19" t="b">
        <v>1</v>
      </c>
      <c r="T19" t="s">
        <v>47</v>
      </c>
      <c r="U19" t="s">
        <v>47</v>
      </c>
      <c r="V19" t="s">
        <v>47</v>
      </c>
      <c r="W19" t="s">
        <v>47</v>
      </c>
      <c r="X19" t="s">
        <v>51</v>
      </c>
      <c r="Y19" t="b">
        <v>0</v>
      </c>
      <c r="Z19" t="s">
        <v>47</v>
      </c>
      <c r="AA19" t="s">
        <v>47</v>
      </c>
      <c r="AB19" t="s">
        <v>47</v>
      </c>
      <c r="AC19" t="b">
        <v>1</v>
      </c>
      <c r="AD19" t="s">
        <v>52</v>
      </c>
      <c r="AE19" t="s">
        <v>175</v>
      </c>
      <c r="AF19" t="s">
        <v>170</v>
      </c>
      <c r="AG19" t="s">
        <v>47</v>
      </c>
      <c r="AH19" t="s">
        <v>87</v>
      </c>
      <c r="AI19" s="2">
        <v>46160.565381944441</v>
      </c>
      <c r="AJ19" t="s">
        <v>47</v>
      </c>
      <c r="AK19" t="s">
        <v>47</v>
      </c>
      <c r="AL19" s="2">
        <v>46160.565381944441</v>
      </c>
      <c r="AM19" s="2">
        <v>46160.565381944441</v>
      </c>
    </row>
    <row r="20" spans="1:39" x14ac:dyDescent="0.3">
      <c r="A20" t="s">
        <v>176</v>
      </c>
      <c r="B20" t="s">
        <v>177</v>
      </c>
      <c r="C20" t="s">
        <v>41</v>
      </c>
      <c r="D20" t="s">
        <v>178</v>
      </c>
      <c r="E20" t="s">
        <v>179</v>
      </c>
      <c r="F20" t="s">
        <v>180</v>
      </c>
      <c r="G20" t="s">
        <v>181</v>
      </c>
      <c r="H20" t="s">
        <v>182</v>
      </c>
      <c r="I20" t="s">
        <v>47</v>
      </c>
      <c r="J20" t="s">
        <v>47</v>
      </c>
      <c r="K20" t="s">
        <v>47</v>
      </c>
      <c r="L20" t="s">
        <v>47</v>
      </c>
      <c r="M20" t="s">
        <v>47</v>
      </c>
      <c r="N20" s="1">
        <v>46027</v>
      </c>
      <c r="O20" s="1">
        <v>46027</v>
      </c>
      <c r="P20" t="s">
        <v>183</v>
      </c>
      <c r="Q20" t="s">
        <v>184</v>
      </c>
      <c r="R20">
        <v>1</v>
      </c>
      <c r="S20" t="b">
        <v>0</v>
      </c>
      <c r="T20" t="s">
        <v>47</v>
      </c>
      <c r="U20" t="s">
        <v>47</v>
      </c>
      <c r="V20" t="s">
        <v>47</v>
      </c>
      <c r="W20" t="s">
        <v>47</v>
      </c>
      <c r="X20" t="s">
        <v>51</v>
      </c>
      <c r="Y20" t="b">
        <v>0</v>
      </c>
      <c r="Z20" t="s">
        <v>47</v>
      </c>
      <c r="AA20" t="s">
        <v>47</v>
      </c>
      <c r="AC20" t="b">
        <v>1</v>
      </c>
      <c r="AD20" t="s">
        <v>52</v>
      </c>
      <c r="AE20" t="s">
        <v>185</v>
      </c>
      <c r="AF20" t="s">
        <v>178</v>
      </c>
      <c r="AG20" t="s">
        <v>186</v>
      </c>
      <c r="AH20" t="s">
        <v>55</v>
      </c>
      <c r="AI20" s="2">
        <v>46160.201388888891</v>
      </c>
      <c r="AJ20" t="s">
        <v>47</v>
      </c>
      <c r="AK20" t="s">
        <v>47</v>
      </c>
      <c r="AL20" s="2">
        <v>46160.430555555555</v>
      </c>
      <c r="AM20" s="2">
        <v>46160.430555555555</v>
      </c>
    </row>
    <row r="21" spans="1:39" x14ac:dyDescent="0.3">
      <c r="A21" t="s">
        <v>187</v>
      </c>
      <c r="B21" t="s">
        <v>188</v>
      </c>
      <c r="C21" t="s">
        <v>41</v>
      </c>
      <c r="D21" t="s">
        <v>189</v>
      </c>
      <c r="E21" t="s">
        <v>190</v>
      </c>
      <c r="F21" t="s">
        <v>191</v>
      </c>
      <c r="G21" t="s">
        <v>128</v>
      </c>
      <c r="H21" t="s">
        <v>192</v>
      </c>
      <c r="I21" t="s">
        <v>47</v>
      </c>
      <c r="J21" t="s">
        <v>47</v>
      </c>
      <c r="K21" t="s">
        <v>130</v>
      </c>
      <c r="L21" t="s">
        <v>47</v>
      </c>
      <c r="M21" t="s">
        <v>47</v>
      </c>
      <c r="N21" s="1">
        <v>46027</v>
      </c>
      <c r="O21" s="1">
        <v>46027</v>
      </c>
      <c r="P21" t="s">
        <v>49</v>
      </c>
      <c r="Q21" t="s">
        <v>50</v>
      </c>
      <c r="R21">
        <v>3</v>
      </c>
      <c r="S21" t="b">
        <v>1</v>
      </c>
      <c r="T21" t="s">
        <v>47</v>
      </c>
      <c r="U21" t="s">
        <v>47</v>
      </c>
      <c r="V21" t="s">
        <v>47</v>
      </c>
      <c r="W21" t="s">
        <v>47</v>
      </c>
      <c r="X21" t="s">
        <v>51</v>
      </c>
      <c r="Y21" t="b">
        <v>0</v>
      </c>
      <c r="Z21" t="s">
        <v>47</v>
      </c>
      <c r="AA21" t="s">
        <v>47</v>
      </c>
      <c r="AB21">
        <v>0.6</v>
      </c>
      <c r="AC21" t="b">
        <v>1</v>
      </c>
      <c r="AD21" t="s">
        <v>52</v>
      </c>
      <c r="AE21" t="s">
        <v>193</v>
      </c>
      <c r="AF21" t="s">
        <v>189</v>
      </c>
      <c r="AG21" t="s">
        <v>194</v>
      </c>
      <c r="AH21" t="s">
        <v>55</v>
      </c>
      <c r="AI21" s="2">
        <v>46160.229166666664</v>
      </c>
      <c r="AJ21" t="s">
        <v>47</v>
      </c>
      <c r="AK21" t="s">
        <v>47</v>
      </c>
      <c r="AL21" s="2">
        <v>46160.458333333336</v>
      </c>
      <c r="AM21" s="2">
        <v>46160.458333333336</v>
      </c>
    </row>
    <row r="22" spans="1:39" x14ac:dyDescent="0.3">
      <c r="A22" t="s">
        <v>195</v>
      </c>
      <c r="B22" t="s">
        <v>196</v>
      </c>
      <c r="C22" t="s">
        <v>41</v>
      </c>
      <c r="D22" t="s">
        <v>197</v>
      </c>
      <c r="E22" t="s">
        <v>198</v>
      </c>
      <c r="F22" t="s">
        <v>83</v>
      </c>
      <c r="G22" t="s">
        <v>84</v>
      </c>
      <c r="H22" t="s">
        <v>85</v>
      </c>
      <c r="I22" t="s">
        <v>47</v>
      </c>
      <c r="J22" t="s">
        <v>47</v>
      </c>
      <c r="K22" t="s">
        <v>48</v>
      </c>
      <c r="L22" t="s">
        <v>47</v>
      </c>
      <c r="M22" s="1">
        <v>46026</v>
      </c>
      <c r="N22" s="1">
        <v>46026</v>
      </c>
      <c r="O22" s="1">
        <v>46026</v>
      </c>
      <c r="P22" t="s">
        <v>49</v>
      </c>
      <c r="Q22" t="s">
        <v>50</v>
      </c>
      <c r="R22">
        <v>2</v>
      </c>
      <c r="S22" t="b">
        <v>0</v>
      </c>
      <c r="T22" t="s">
        <v>47</v>
      </c>
      <c r="U22" t="s">
        <v>47</v>
      </c>
      <c r="V22" t="s">
        <v>47</v>
      </c>
      <c r="W22" t="s">
        <v>47</v>
      </c>
      <c r="X22" t="s">
        <v>51</v>
      </c>
      <c r="Y22" t="b">
        <v>0</v>
      </c>
      <c r="Z22" t="s">
        <v>47</v>
      </c>
      <c r="AA22" t="s">
        <v>47</v>
      </c>
      <c r="AB22" t="s">
        <v>47</v>
      </c>
      <c r="AC22" t="b">
        <v>1</v>
      </c>
      <c r="AD22" t="s">
        <v>52</v>
      </c>
      <c r="AE22" t="s">
        <v>199</v>
      </c>
      <c r="AF22" t="s">
        <v>197</v>
      </c>
      <c r="AG22" t="s">
        <v>47</v>
      </c>
      <c r="AH22" t="s">
        <v>87</v>
      </c>
      <c r="AI22" s="2">
        <v>46160.598310185182</v>
      </c>
      <c r="AJ22" t="s">
        <v>47</v>
      </c>
      <c r="AK22" t="s">
        <v>47</v>
      </c>
      <c r="AL22" s="2">
        <v>46160.598310185182</v>
      </c>
      <c r="AM22" s="2">
        <v>46160.598310185182</v>
      </c>
    </row>
    <row r="23" spans="1:39" x14ac:dyDescent="0.3">
      <c r="A23" t="s">
        <v>200</v>
      </c>
      <c r="B23" t="s">
        <v>201</v>
      </c>
      <c r="C23" t="s">
        <v>41</v>
      </c>
      <c r="D23" t="s">
        <v>202</v>
      </c>
      <c r="E23" t="s">
        <v>203</v>
      </c>
      <c r="F23" t="s">
        <v>107</v>
      </c>
      <c r="G23" t="s">
        <v>108</v>
      </c>
      <c r="H23" t="s">
        <v>204</v>
      </c>
      <c r="I23" t="s">
        <v>47</v>
      </c>
      <c r="J23" t="s">
        <v>47</v>
      </c>
      <c r="K23" t="s">
        <v>48</v>
      </c>
      <c r="L23" t="s">
        <v>47</v>
      </c>
      <c r="M23" t="s">
        <v>47</v>
      </c>
      <c r="N23" s="1">
        <v>46026</v>
      </c>
      <c r="O23" s="1">
        <v>46026</v>
      </c>
      <c r="P23" t="s">
        <v>49</v>
      </c>
      <c r="Q23" t="s">
        <v>50</v>
      </c>
      <c r="R23">
        <v>2</v>
      </c>
      <c r="S23" t="b">
        <v>0</v>
      </c>
      <c r="T23" t="s">
        <v>47</v>
      </c>
      <c r="U23" t="s">
        <v>47</v>
      </c>
      <c r="V23" t="s">
        <v>47</v>
      </c>
      <c r="W23" t="s">
        <v>47</v>
      </c>
      <c r="X23" t="s">
        <v>51</v>
      </c>
      <c r="Y23" t="b">
        <v>0</v>
      </c>
      <c r="Z23" t="s">
        <v>47</v>
      </c>
      <c r="AA23" t="s">
        <v>47</v>
      </c>
      <c r="AC23" t="b">
        <v>1</v>
      </c>
      <c r="AD23" t="s">
        <v>52</v>
      </c>
      <c r="AE23" t="s">
        <v>205</v>
      </c>
      <c r="AF23" t="s">
        <v>202</v>
      </c>
      <c r="AG23" t="s">
        <v>206</v>
      </c>
      <c r="AH23" t="s">
        <v>55</v>
      </c>
      <c r="AI23" s="2">
        <v>46160.270833333336</v>
      </c>
      <c r="AJ23" t="s">
        <v>47</v>
      </c>
      <c r="AK23" t="s">
        <v>47</v>
      </c>
      <c r="AL23" s="2">
        <v>46160.5</v>
      </c>
      <c r="AM23" s="2">
        <v>46160.5</v>
      </c>
    </row>
    <row r="24" spans="1:39" x14ac:dyDescent="0.3">
      <c r="A24" t="s">
        <v>207</v>
      </c>
      <c r="B24" t="s">
        <v>208</v>
      </c>
      <c r="C24" t="s">
        <v>41</v>
      </c>
      <c r="D24" t="s">
        <v>209</v>
      </c>
      <c r="E24" t="s">
        <v>210</v>
      </c>
      <c r="F24" t="s">
        <v>83</v>
      </c>
      <c r="G24" t="s">
        <v>84</v>
      </c>
      <c r="H24" t="s">
        <v>85</v>
      </c>
      <c r="I24" t="s">
        <v>47</v>
      </c>
      <c r="J24" t="s">
        <v>47</v>
      </c>
      <c r="K24" t="s">
        <v>48</v>
      </c>
      <c r="L24" t="s">
        <v>47</v>
      </c>
      <c r="M24" s="1">
        <v>46026</v>
      </c>
      <c r="N24" s="1">
        <v>46026</v>
      </c>
      <c r="O24" s="1">
        <v>46026</v>
      </c>
      <c r="P24" t="s">
        <v>49</v>
      </c>
      <c r="Q24" t="s">
        <v>50</v>
      </c>
      <c r="R24">
        <v>2</v>
      </c>
      <c r="S24" t="b">
        <v>0</v>
      </c>
      <c r="T24" t="s">
        <v>47</v>
      </c>
      <c r="U24" t="s">
        <v>47</v>
      </c>
      <c r="V24" t="s">
        <v>47</v>
      </c>
      <c r="W24" t="s">
        <v>47</v>
      </c>
      <c r="X24" t="s">
        <v>51</v>
      </c>
      <c r="Y24" t="b">
        <v>0</v>
      </c>
      <c r="Z24" t="s">
        <v>47</v>
      </c>
      <c r="AA24" t="s">
        <v>47</v>
      </c>
      <c r="AB24" t="s">
        <v>47</v>
      </c>
      <c r="AC24" t="b">
        <v>1</v>
      </c>
      <c r="AD24" t="s">
        <v>52</v>
      </c>
      <c r="AE24" t="s">
        <v>211</v>
      </c>
      <c r="AF24" t="s">
        <v>209</v>
      </c>
      <c r="AG24" t="s">
        <v>47</v>
      </c>
      <c r="AH24" t="s">
        <v>87</v>
      </c>
      <c r="AI24" s="2">
        <v>46160.565381944441</v>
      </c>
      <c r="AJ24" t="s">
        <v>47</v>
      </c>
      <c r="AK24" t="s">
        <v>47</v>
      </c>
      <c r="AL24" s="2">
        <v>46160.565381944441</v>
      </c>
      <c r="AM24" s="2">
        <v>46160.565381944441</v>
      </c>
    </row>
    <row r="25" spans="1:39" x14ac:dyDescent="0.3">
      <c r="A25" t="s">
        <v>212</v>
      </c>
      <c r="B25" t="s">
        <v>213</v>
      </c>
      <c r="C25" t="s">
        <v>41</v>
      </c>
      <c r="D25" t="s">
        <v>214</v>
      </c>
      <c r="E25" t="s">
        <v>215</v>
      </c>
      <c r="F25" t="s">
        <v>216</v>
      </c>
      <c r="G25" t="s">
        <v>217</v>
      </c>
      <c r="H25" t="s">
        <v>218</v>
      </c>
      <c r="I25" t="s">
        <v>47</v>
      </c>
      <c r="J25" t="s">
        <v>47</v>
      </c>
      <c r="K25" t="s">
        <v>47</v>
      </c>
      <c r="L25" t="s">
        <v>47</v>
      </c>
      <c r="M25" t="s">
        <v>47</v>
      </c>
      <c r="N25" s="1">
        <v>46027</v>
      </c>
      <c r="O25" s="1">
        <v>46027</v>
      </c>
      <c r="P25" t="s">
        <v>219</v>
      </c>
      <c r="Q25" t="s">
        <v>50</v>
      </c>
      <c r="R25">
        <v>2</v>
      </c>
      <c r="S25" t="b">
        <v>1</v>
      </c>
      <c r="T25" t="s">
        <v>47</v>
      </c>
      <c r="U25" t="s">
        <v>47</v>
      </c>
      <c r="V25" t="s">
        <v>47</v>
      </c>
      <c r="W25" t="s">
        <v>47</v>
      </c>
      <c r="X25" t="s">
        <v>51</v>
      </c>
      <c r="Y25" t="b">
        <v>0</v>
      </c>
      <c r="Z25" t="s">
        <v>47</v>
      </c>
      <c r="AA25" t="s">
        <v>47</v>
      </c>
      <c r="AB25">
        <v>0.55000000000000004</v>
      </c>
      <c r="AC25" t="b">
        <v>1</v>
      </c>
      <c r="AD25" t="s">
        <v>52</v>
      </c>
      <c r="AE25" t="s">
        <v>220</v>
      </c>
      <c r="AF25" t="s">
        <v>214</v>
      </c>
      <c r="AG25" t="s">
        <v>221</v>
      </c>
      <c r="AH25" t="s">
        <v>55</v>
      </c>
      <c r="AI25" s="2">
        <v>46160.25</v>
      </c>
      <c r="AJ25" t="s">
        <v>47</v>
      </c>
      <c r="AK25" t="s">
        <v>47</v>
      </c>
      <c r="AL25" s="2">
        <v>46160.479166666664</v>
      </c>
      <c r="AM25" s="2">
        <v>46160.479166666664</v>
      </c>
    </row>
    <row r="26" spans="1:39" x14ac:dyDescent="0.3">
      <c r="A26" t="s">
        <v>222</v>
      </c>
      <c r="B26" t="s">
        <v>223</v>
      </c>
      <c r="C26" t="s">
        <v>41</v>
      </c>
      <c r="D26" t="s">
        <v>224</v>
      </c>
      <c r="E26" t="s">
        <v>225</v>
      </c>
      <c r="F26" t="s">
        <v>180</v>
      </c>
      <c r="G26" t="s">
        <v>181</v>
      </c>
      <c r="H26" t="s">
        <v>226</v>
      </c>
      <c r="I26" t="s">
        <v>47</v>
      </c>
      <c r="J26" t="s">
        <v>47</v>
      </c>
      <c r="K26" t="s">
        <v>47</v>
      </c>
      <c r="L26" t="s">
        <v>47</v>
      </c>
      <c r="M26" t="s">
        <v>47</v>
      </c>
      <c r="N26" s="1">
        <v>46024</v>
      </c>
      <c r="O26" s="1">
        <v>46024</v>
      </c>
      <c r="P26" t="s">
        <v>49</v>
      </c>
      <c r="Q26" t="s">
        <v>184</v>
      </c>
      <c r="R26">
        <v>1</v>
      </c>
      <c r="S26" t="b">
        <v>0</v>
      </c>
      <c r="T26" t="s">
        <v>47</v>
      </c>
      <c r="U26" t="s">
        <v>47</v>
      </c>
      <c r="V26" t="s">
        <v>47</v>
      </c>
      <c r="W26" t="s">
        <v>47</v>
      </c>
      <c r="X26" t="s">
        <v>51</v>
      </c>
      <c r="Y26" t="b">
        <v>0</v>
      </c>
      <c r="Z26" t="s">
        <v>47</v>
      </c>
      <c r="AA26" t="s">
        <v>47</v>
      </c>
      <c r="AC26" t="b">
        <v>1</v>
      </c>
      <c r="AD26" t="s">
        <v>52</v>
      </c>
      <c r="AE26" t="s">
        <v>227</v>
      </c>
      <c r="AF26" t="s">
        <v>224</v>
      </c>
      <c r="AG26" t="s">
        <v>228</v>
      </c>
      <c r="AH26" t="s">
        <v>55</v>
      </c>
      <c r="AI26" s="2">
        <v>46160.25</v>
      </c>
      <c r="AJ26" t="s">
        <v>47</v>
      </c>
      <c r="AK26" t="s">
        <v>47</v>
      </c>
      <c r="AL26" s="2">
        <v>46160.479166666664</v>
      </c>
      <c r="AM26" s="2">
        <v>46160.479166666664</v>
      </c>
    </row>
    <row r="27" spans="1:39" x14ac:dyDescent="0.3">
      <c r="A27" t="s">
        <v>229</v>
      </c>
      <c r="B27" t="s">
        <v>230</v>
      </c>
      <c r="C27" t="s">
        <v>41</v>
      </c>
      <c r="D27" t="s">
        <v>231</v>
      </c>
      <c r="E27" t="s">
        <v>232</v>
      </c>
      <c r="F27" t="s">
        <v>233</v>
      </c>
      <c r="G27" t="s">
        <v>234</v>
      </c>
      <c r="H27" t="s">
        <v>235</v>
      </c>
      <c r="I27" t="s">
        <v>47</v>
      </c>
      <c r="J27" t="s">
        <v>47</v>
      </c>
      <c r="K27" t="s">
        <v>236</v>
      </c>
      <c r="L27" t="s">
        <v>47</v>
      </c>
      <c r="M27" t="s">
        <v>47</v>
      </c>
      <c r="N27" s="1">
        <v>46024</v>
      </c>
      <c r="O27" s="1">
        <v>46024</v>
      </c>
      <c r="P27" t="s">
        <v>183</v>
      </c>
      <c r="Q27" t="s">
        <v>237</v>
      </c>
      <c r="R27">
        <v>2</v>
      </c>
      <c r="S27" t="b">
        <v>1</v>
      </c>
      <c r="T27" t="s">
        <v>47</v>
      </c>
      <c r="U27" t="s">
        <v>47</v>
      </c>
      <c r="V27" t="s">
        <v>47</v>
      </c>
      <c r="W27" t="s">
        <v>47</v>
      </c>
      <c r="X27" t="s">
        <v>51</v>
      </c>
      <c r="Y27" t="b">
        <v>0</v>
      </c>
      <c r="Z27" t="s">
        <v>47</v>
      </c>
      <c r="AA27" t="s">
        <v>47</v>
      </c>
      <c r="AB27">
        <v>0.6</v>
      </c>
      <c r="AC27" t="b">
        <v>1</v>
      </c>
      <c r="AD27" t="s">
        <v>52</v>
      </c>
      <c r="AE27" t="s">
        <v>238</v>
      </c>
      <c r="AF27" t="s">
        <v>231</v>
      </c>
      <c r="AG27" t="s">
        <v>239</v>
      </c>
      <c r="AH27" t="s">
        <v>55</v>
      </c>
      <c r="AI27" s="2">
        <v>46160.173611111109</v>
      </c>
      <c r="AJ27" t="s">
        <v>47</v>
      </c>
      <c r="AK27" t="s">
        <v>47</v>
      </c>
      <c r="AL27" s="2">
        <v>46160.402777777781</v>
      </c>
      <c r="AM27" s="2">
        <v>46160.402777777781</v>
      </c>
    </row>
    <row r="28" spans="1:39" x14ac:dyDescent="0.3">
      <c r="A28" t="s">
        <v>240</v>
      </c>
      <c r="B28" t="s">
        <v>241</v>
      </c>
      <c r="C28" t="s">
        <v>41</v>
      </c>
      <c r="D28" t="s">
        <v>242</v>
      </c>
      <c r="E28" t="s">
        <v>243</v>
      </c>
      <c r="F28" t="s">
        <v>127</v>
      </c>
      <c r="G28" t="s">
        <v>128</v>
      </c>
      <c r="H28" t="s">
        <v>129</v>
      </c>
      <c r="I28" t="s">
        <v>47</v>
      </c>
      <c r="J28" t="s">
        <v>47</v>
      </c>
      <c r="K28" t="s">
        <v>130</v>
      </c>
      <c r="L28" t="s">
        <v>47</v>
      </c>
      <c r="M28" t="s">
        <v>47</v>
      </c>
      <c r="N28" s="1">
        <v>46024</v>
      </c>
      <c r="O28" s="1">
        <v>46024</v>
      </c>
      <c r="P28" t="s">
        <v>49</v>
      </c>
      <c r="Q28" t="s">
        <v>50</v>
      </c>
      <c r="R28">
        <v>3</v>
      </c>
      <c r="S28" t="b">
        <v>1</v>
      </c>
      <c r="T28" t="s">
        <v>47</v>
      </c>
      <c r="U28" t="s">
        <v>47</v>
      </c>
      <c r="V28" t="s">
        <v>47</v>
      </c>
      <c r="W28" t="s">
        <v>47</v>
      </c>
      <c r="X28" t="s">
        <v>51</v>
      </c>
      <c r="Y28" t="b">
        <v>0</v>
      </c>
      <c r="Z28" t="s">
        <v>47</v>
      </c>
      <c r="AA28" t="s">
        <v>47</v>
      </c>
      <c r="AB28">
        <v>0.6</v>
      </c>
      <c r="AC28" t="b">
        <v>1</v>
      </c>
      <c r="AD28" t="s">
        <v>52</v>
      </c>
      <c r="AE28" t="s">
        <v>244</v>
      </c>
      <c r="AF28" t="s">
        <v>242</v>
      </c>
      <c r="AG28" t="s">
        <v>245</v>
      </c>
      <c r="AH28" t="s">
        <v>55</v>
      </c>
      <c r="AI28" s="2">
        <v>46160.173611111109</v>
      </c>
      <c r="AJ28" t="s">
        <v>47</v>
      </c>
      <c r="AK28" t="s">
        <v>47</v>
      </c>
      <c r="AL28" s="2">
        <v>46160.402777777781</v>
      </c>
      <c r="AM28" s="2">
        <v>46160.402777777781</v>
      </c>
    </row>
    <row r="29" spans="1:39" x14ac:dyDescent="0.3">
      <c r="A29" t="s">
        <v>246</v>
      </c>
      <c r="B29" t="s">
        <v>247</v>
      </c>
      <c r="C29" t="s">
        <v>41</v>
      </c>
      <c r="D29" t="s">
        <v>248</v>
      </c>
      <c r="E29" t="s">
        <v>249</v>
      </c>
      <c r="F29" t="s">
        <v>250</v>
      </c>
      <c r="G29" t="s">
        <v>251</v>
      </c>
      <c r="H29" t="s">
        <v>252</v>
      </c>
      <c r="I29" t="s">
        <v>47</v>
      </c>
      <c r="J29" t="s">
        <v>47</v>
      </c>
      <c r="K29" t="s">
        <v>253</v>
      </c>
      <c r="L29" t="s">
        <v>47</v>
      </c>
      <c r="M29" t="s">
        <v>47</v>
      </c>
      <c r="N29" s="1">
        <v>46027</v>
      </c>
      <c r="O29" s="1">
        <v>46027</v>
      </c>
      <c r="P29" t="s">
        <v>254</v>
      </c>
      <c r="Q29" t="s">
        <v>50</v>
      </c>
      <c r="R29">
        <v>1</v>
      </c>
      <c r="S29" t="b">
        <v>0</v>
      </c>
      <c r="T29" t="s">
        <v>47</v>
      </c>
      <c r="U29" t="s">
        <v>47</v>
      </c>
      <c r="V29" t="s">
        <v>47</v>
      </c>
      <c r="W29" t="s">
        <v>47</v>
      </c>
      <c r="X29" t="s">
        <v>51</v>
      </c>
      <c r="Y29" t="b">
        <v>0</v>
      </c>
      <c r="Z29" t="s">
        <v>47</v>
      </c>
      <c r="AA29" t="s">
        <v>47</v>
      </c>
      <c r="AC29" t="b">
        <v>1</v>
      </c>
      <c r="AD29" t="s">
        <v>52</v>
      </c>
      <c r="AE29" t="s">
        <v>255</v>
      </c>
      <c r="AF29" t="s">
        <v>248</v>
      </c>
      <c r="AG29" t="s">
        <v>256</v>
      </c>
      <c r="AH29" t="s">
        <v>55</v>
      </c>
      <c r="AI29" s="2">
        <v>46160.270833333336</v>
      </c>
      <c r="AJ29" t="s">
        <v>47</v>
      </c>
      <c r="AK29" t="s">
        <v>47</v>
      </c>
      <c r="AL29" s="2">
        <v>46160.5</v>
      </c>
      <c r="AM29" s="2">
        <v>46160.5</v>
      </c>
    </row>
    <row r="30" spans="1:39" x14ac:dyDescent="0.3">
      <c r="A30" t="s">
        <v>257</v>
      </c>
      <c r="B30" t="s">
        <v>258</v>
      </c>
      <c r="C30" t="s">
        <v>41</v>
      </c>
      <c r="D30" t="s">
        <v>259</v>
      </c>
      <c r="E30" t="s">
        <v>260</v>
      </c>
      <c r="F30" t="s">
        <v>107</v>
      </c>
      <c r="G30" t="s">
        <v>108</v>
      </c>
      <c r="H30" t="s">
        <v>109</v>
      </c>
      <c r="I30" t="s">
        <v>47</v>
      </c>
      <c r="J30" t="s">
        <v>47</v>
      </c>
      <c r="K30" t="s">
        <v>48</v>
      </c>
      <c r="L30" t="s">
        <v>47</v>
      </c>
      <c r="M30" t="s">
        <v>47</v>
      </c>
      <c r="N30" s="1">
        <v>46027</v>
      </c>
      <c r="O30" s="1">
        <v>46027</v>
      </c>
      <c r="P30" t="s">
        <v>49</v>
      </c>
      <c r="Q30" t="s">
        <v>50</v>
      </c>
      <c r="R30">
        <v>2</v>
      </c>
      <c r="S30" t="b">
        <v>0</v>
      </c>
      <c r="T30" t="s">
        <v>47</v>
      </c>
      <c r="U30" t="s">
        <v>47</v>
      </c>
      <c r="V30" t="s">
        <v>47</v>
      </c>
      <c r="W30" t="s">
        <v>47</v>
      </c>
      <c r="X30" t="s">
        <v>51</v>
      </c>
      <c r="Y30" t="b">
        <v>0</v>
      </c>
      <c r="Z30" t="s">
        <v>47</v>
      </c>
      <c r="AA30" t="s">
        <v>47</v>
      </c>
      <c r="AC30" t="b">
        <v>1</v>
      </c>
      <c r="AD30" t="s">
        <v>52</v>
      </c>
      <c r="AE30" t="s">
        <v>261</v>
      </c>
      <c r="AF30" t="s">
        <v>259</v>
      </c>
      <c r="AG30" t="s">
        <v>262</v>
      </c>
      <c r="AH30" t="s">
        <v>55</v>
      </c>
      <c r="AI30" s="2">
        <v>46160.25</v>
      </c>
      <c r="AJ30" t="s">
        <v>47</v>
      </c>
      <c r="AK30" t="s">
        <v>47</v>
      </c>
      <c r="AL30" s="2">
        <v>46160.479166666664</v>
      </c>
      <c r="AM30" s="2">
        <v>46160.479166666664</v>
      </c>
    </row>
    <row r="31" spans="1:39" x14ac:dyDescent="0.3">
      <c r="A31" t="s">
        <v>263</v>
      </c>
      <c r="B31" t="s">
        <v>264</v>
      </c>
      <c r="C31" t="s">
        <v>41</v>
      </c>
      <c r="D31" t="s">
        <v>265</v>
      </c>
      <c r="E31" t="s">
        <v>266</v>
      </c>
      <c r="F31" t="s">
        <v>83</v>
      </c>
      <c r="G31" t="s">
        <v>84</v>
      </c>
      <c r="H31" t="s">
        <v>85</v>
      </c>
      <c r="I31" t="s">
        <v>47</v>
      </c>
      <c r="J31" t="s">
        <v>47</v>
      </c>
      <c r="K31" t="s">
        <v>48</v>
      </c>
      <c r="L31" t="s">
        <v>47</v>
      </c>
      <c r="M31" s="1">
        <v>46027</v>
      </c>
      <c r="N31" s="1">
        <v>46027</v>
      </c>
      <c r="O31" s="1">
        <v>46027</v>
      </c>
      <c r="P31" t="s">
        <v>49</v>
      </c>
      <c r="Q31" t="s">
        <v>50</v>
      </c>
      <c r="R31">
        <v>2</v>
      </c>
      <c r="S31" t="b">
        <v>0</v>
      </c>
      <c r="T31" t="s">
        <v>47</v>
      </c>
      <c r="U31" t="s">
        <v>47</v>
      </c>
      <c r="V31" t="s">
        <v>47</v>
      </c>
      <c r="W31" t="s">
        <v>47</v>
      </c>
      <c r="X31" t="s">
        <v>51</v>
      </c>
      <c r="Y31" t="b">
        <v>0</v>
      </c>
      <c r="Z31" t="s">
        <v>47</v>
      </c>
      <c r="AA31" t="s">
        <v>47</v>
      </c>
      <c r="AB31" t="s">
        <v>47</v>
      </c>
      <c r="AC31" t="b">
        <v>1</v>
      </c>
      <c r="AD31" t="s">
        <v>52</v>
      </c>
      <c r="AE31" t="s">
        <v>267</v>
      </c>
      <c r="AF31" t="s">
        <v>265</v>
      </c>
      <c r="AG31" t="s">
        <v>47</v>
      </c>
      <c r="AH31" t="s">
        <v>87</v>
      </c>
      <c r="AI31" s="2">
        <v>46160.581724537034</v>
      </c>
      <c r="AJ31" t="s">
        <v>47</v>
      </c>
      <c r="AK31" t="s">
        <v>47</v>
      </c>
      <c r="AL31" s="2">
        <v>46160.581724537034</v>
      </c>
      <c r="AM31" s="2">
        <v>46160.581724537034</v>
      </c>
    </row>
    <row r="32" spans="1:39" x14ac:dyDescent="0.3">
      <c r="A32" t="s">
        <v>268</v>
      </c>
      <c r="B32" t="s">
        <v>269</v>
      </c>
      <c r="C32" t="s">
        <v>41</v>
      </c>
      <c r="D32" t="s">
        <v>270</v>
      </c>
      <c r="E32" t="s">
        <v>271</v>
      </c>
      <c r="F32" t="s">
        <v>107</v>
      </c>
      <c r="G32" t="s">
        <v>108</v>
      </c>
      <c r="H32" t="s">
        <v>272</v>
      </c>
      <c r="I32" t="s">
        <v>47</v>
      </c>
      <c r="J32" t="s">
        <v>47</v>
      </c>
      <c r="K32" t="s">
        <v>48</v>
      </c>
      <c r="L32" t="s">
        <v>47</v>
      </c>
      <c r="M32" t="s">
        <v>47</v>
      </c>
      <c r="N32" s="1">
        <v>46027</v>
      </c>
      <c r="O32" s="1">
        <v>46027</v>
      </c>
      <c r="P32" t="s">
        <v>49</v>
      </c>
      <c r="Q32" t="s">
        <v>50</v>
      </c>
      <c r="R32">
        <v>2</v>
      </c>
      <c r="S32" t="b">
        <v>0</v>
      </c>
      <c r="T32" t="s">
        <v>47</v>
      </c>
      <c r="U32" t="s">
        <v>47</v>
      </c>
      <c r="V32" t="s">
        <v>47</v>
      </c>
      <c r="W32" t="s">
        <v>47</v>
      </c>
      <c r="X32" t="s">
        <v>51</v>
      </c>
      <c r="Y32" t="b">
        <v>0</v>
      </c>
      <c r="Z32" t="s">
        <v>47</v>
      </c>
      <c r="AA32" t="s">
        <v>47</v>
      </c>
      <c r="AC32" t="b">
        <v>1</v>
      </c>
      <c r="AD32" t="s">
        <v>52</v>
      </c>
      <c r="AE32" t="s">
        <v>273</v>
      </c>
      <c r="AF32" t="s">
        <v>270</v>
      </c>
      <c r="AG32" t="s">
        <v>274</v>
      </c>
      <c r="AH32" t="s">
        <v>55</v>
      </c>
      <c r="AI32" s="2">
        <v>46160.270833333336</v>
      </c>
      <c r="AJ32" t="s">
        <v>47</v>
      </c>
      <c r="AK32" t="s">
        <v>47</v>
      </c>
      <c r="AL32" s="2">
        <v>46160.5</v>
      </c>
      <c r="AM32" s="2">
        <v>46160.5</v>
      </c>
    </row>
    <row r="33" spans="1:39" x14ac:dyDescent="0.3">
      <c r="A33" t="s">
        <v>275</v>
      </c>
      <c r="B33" t="s">
        <v>276</v>
      </c>
      <c r="C33" t="s">
        <v>41</v>
      </c>
      <c r="D33" t="s">
        <v>277</v>
      </c>
      <c r="E33" t="s">
        <v>278</v>
      </c>
      <c r="F33" t="s">
        <v>83</v>
      </c>
      <c r="G33" t="s">
        <v>84</v>
      </c>
      <c r="H33" t="s">
        <v>85</v>
      </c>
      <c r="I33" t="s">
        <v>47</v>
      </c>
      <c r="J33" t="s">
        <v>47</v>
      </c>
      <c r="K33" t="s">
        <v>48</v>
      </c>
      <c r="L33" t="s">
        <v>47</v>
      </c>
      <c r="M33" s="1">
        <v>46027</v>
      </c>
      <c r="N33" s="1">
        <v>46027</v>
      </c>
      <c r="O33" s="1">
        <v>46027</v>
      </c>
      <c r="P33" t="s">
        <v>49</v>
      </c>
      <c r="Q33" t="s">
        <v>50</v>
      </c>
      <c r="R33">
        <v>2</v>
      </c>
      <c r="S33" t="b">
        <v>0</v>
      </c>
      <c r="T33" t="s">
        <v>47</v>
      </c>
      <c r="U33" t="s">
        <v>47</v>
      </c>
      <c r="V33" t="s">
        <v>47</v>
      </c>
      <c r="W33" t="s">
        <v>47</v>
      </c>
      <c r="X33" t="s">
        <v>51</v>
      </c>
      <c r="Y33" t="b">
        <v>0</v>
      </c>
      <c r="Z33" t="s">
        <v>47</v>
      </c>
      <c r="AA33" t="s">
        <v>47</v>
      </c>
      <c r="AB33" t="s">
        <v>47</v>
      </c>
      <c r="AC33" t="b">
        <v>1</v>
      </c>
      <c r="AD33" t="s">
        <v>52</v>
      </c>
      <c r="AE33" t="s">
        <v>279</v>
      </c>
      <c r="AF33" t="s">
        <v>277</v>
      </c>
      <c r="AG33" t="s">
        <v>47</v>
      </c>
      <c r="AH33" t="s">
        <v>87</v>
      </c>
      <c r="AI33" s="2">
        <v>46160.581724537034</v>
      </c>
      <c r="AJ33" t="s">
        <v>47</v>
      </c>
      <c r="AK33" t="s">
        <v>47</v>
      </c>
      <c r="AL33" s="2">
        <v>46160.581724537034</v>
      </c>
      <c r="AM33" s="2">
        <v>46160.581724537034</v>
      </c>
    </row>
    <row r="34" spans="1:39" x14ac:dyDescent="0.3">
      <c r="A34" t="s">
        <v>280</v>
      </c>
      <c r="B34" t="s">
        <v>281</v>
      </c>
      <c r="C34" t="s">
        <v>41</v>
      </c>
      <c r="D34" t="s">
        <v>282</v>
      </c>
      <c r="E34" t="s">
        <v>283</v>
      </c>
      <c r="F34" t="s">
        <v>284</v>
      </c>
      <c r="G34" t="s">
        <v>285</v>
      </c>
      <c r="H34" t="s">
        <v>286</v>
      </c>
      <c r="I34" t="s">
        <v>47</v>
      </c>
      <c r="J34" t="s">
        <v>47</v>
      </c>
      <c r="K34" t="s">
        <v>287</v>
      </c>
      <c r="L34" t="s">
        <v>47</v>
      </c>
      <c r="M34" s="1">
        <v>46027</v>
      </c>
      <c r="N34" s="1">
        <v>46027</v>
      </c>
      <c r="O34" s="1">
        <v>46027</v>
      </c>
      <c r="P34" t="s">
        <v>288</v>
      </c>
      <c r="Q34" t="s">
        <v>237</v>
      </c>
      <c r="R34">
        <v>2</v>
      </c>
      <c r="S34" t="b">
        <v>0</v>
      </c>
      <c r="T34" t="s">
        <v>47</v>
      </c>
      <c r="U34" t="s">
        <v>47</v>
      </c>
      <c r="V34" t="s">
        <v>47</v>
      </c>
      <c r="W34" t="s">
        <v>47</v>
      </c>
      <c r="X34" t="s">
        <v>51</v>
      </c>
      <c r="Y34" t="b">
        <v>0</v>
      </c>
      <c r="Z34" t="s">
        <v>47</v>
      </c>
      <c r="AA34" t="s">
        <v>47</v>
      </c>
      <c r="AB34" t="s">
        <v>47</v>
      </c>
      <c r="AC34" t="b">
        <v>1</v>
      </c>
      <c r="AD34" t="s">
        <v>52</v>
      </c>
      <c r="AE34" t="s">
        <v>289</v>
      </c>
      <c r="AF34" t="s">
        <v>282</v>
      </c>
      <c r="AG34" t="s">
        <v>47</v>
      </c>
      <c r="AH34" t="s">
        <v>87</v>
      </c>
      <c r="AI34" s="2">
        <v>46160.565381944441</v>
      </c>
      <c r="AJ34" t="s">
        <v>47</v>
      </c>
      <c r="AK34" t="s">
        <v>47</v>
      </c>
      <c r="AL34" s="2">
        <v>46160.565381944441</v>
      </c>
      <c r="AM34" s="2">
        <v>46160.565381944441</v>
      </c>
    </row>
    <row r="35" spans="1:39" x14ac:dyDescent="0.3">
      <c r="A35" t="s">
        <v>290</v>
      </c>
      <c r="B35" t="s">
        <v>291</v>
      </c>
      <c r="C35" t="s">
        <v>41</v>
      </c>
      <c r="D35" t="s">
        <v>292</v>
      </c>
      <c r="E35" t="s">
        <v>293</v>
      </c>
      <c r="F35" t="s">
        <v>127</v>
      </c>
      <c r="G35" t="s">
        <v>128</v>
      </c>
      <c r="H35" t="s">
        <v>129</v>
      </c>
      <c r="I35" t="s">
        <v>47</v>
      </c>
      <c r="J35" t="s">
        <v>47</v>
      </c>
      <c r="K35" t="s">
        <v>130</v>
      </c>
      <c r="L35" t="s">
        <v>47</v>
      </c>
      <c r="M35" t="s">
        <v>47</v>
      </c>
      <c r="N35" s="1">
        <v>46027</v>
      </c>
      <c r="O35" s="1">
        <v>46027</v>
      </c>
      <c r="P35" t="s">
        <v>49</v>
      </c>
      <c r="Q35" t="s">
        <v>50</v>
      </c>
      <c r="R35">
        <v>3</v>
      </c>
      <c r="S35" t="b">
        <v>1</v>
      </c>
      <c r="T35" t="s">
        <v>47</v>
      </c>
      <c r="U35" t="s">
        <v>47</v>
      </c>
      <c r="V35" t="s">
        <v>47</v>
      </c>
      <c r="W35" t="s">
        <v>47</v>
      </c>
      <c r="X35" t="s">
        <v>51</v>
      </c>
      <c r="Y35" t="b">
        <v>0</v>
      </c>
      <c r="Z35" t="s">
        <v>47</v>
      </c>
      <c r="AA35" t="s">
        <v>47</v>
      </c>
      <c r="AB35">
        <v>0.6</v>
      </c>
      <c r="AC35" t="b">
        <v>1</v>
      </c>
      <c r="AD35" t="s">
        <v>52</v>
      </c>
      <c r="AE35" t="s">
        <v>294</v>
      </c>
      <c r="AF35" t="s">
        <v>292</v>
      </c>
      <c r="AG35" t="s">
        <v>295</v>
      </c>
      <c r="AH35" t="s">
        <v>55</v>
      </c>
      <c r="AI35" s="2">
        <v>46160.201388888891</v>
      </c>
      <c r="AJ35" t="s">
        <v>47</v>
      </c>
      <c r="AK35" t="s">
        <v>47</v>
      </c>
      <c r="AL35" s="2">
        <v>46160.430555555555</v>
      </c>
      <c r="AM35" s="2">
        <v>46160.430555555555</v>
      </c>
    </row>
    <row r="36" spans="1:39" x14ac:dyDescent="0.3">
      <c r="A36" t="s">
        <v>296</v>
      </c>
      <c r="B36" t="s">
        <v>297</v>
      </c>
      <c r="C36" t="s">
        <v>41</v>
      </c>
      <c r="D36" t="s">
        <v>298</v>
      </c>
      <c r="E36" t="s">
        <v>299</v>
      </c>
      <c r="F36" t="s">
        <v>300</v>
      </c>
      <c r="G36" t="s">
        <v>301</v>
      </c>
      <c r="H36" t="s">
        <v>302</v>
      </c>
      <c r="I36" t="s">
        <v>47</v>
      </c>
      <c r="J36" t="s">
        <v>47</v>
      </c>
      <c r="K36" t="s">
        <v>303</v>
      </c>
      <c r="L36" t="s">
        <v>47</v>
      </c>
      <c r="M36" t="s">
        <v>47</v>
      </c>
      <c r="N36" s="1">
        <v>46027</v>
      </c>
      <c r="O36" s="1">
        <v>46027</v>
      </c>
      <c r="P36" t="s">
        <v>304</v>
      </c>
      <c r="Q36" t="s">
        <v>50</v>
      </c>
      <c r="R36">
        <v>3</v>
      </c>
      <c r="S36" t="b">
        <v>1</v>
      </c>
      <c r="T36" t="s">
        <v>47</v>
      </c>
      <c r="U36" t="s">
        <v>47</v>
      </c>
      <c r="V36" t="s">
        <v>47</v>
      </c>
      <c r="W36" t="s">
        <v>47</v>
      </c>
      <c r="X36" t="s">
        <v>51</v>
      </c>
      <c r="Y36" t="b">
        <v>0</v>
      </c>
      <c r="Z36" t="s">
        <v>47</v>
      </c>
      <c r="AA36" t="s">
        <v>47</v>
      </c>
      <c r="AB36">
        <v>0.65</v>
      </c>
      <c r="AC36" t="b">
        <v>1</v>
      </c>
      <c r="AD36" t="s">
        <v>52</v>
      </c>
      <c r="AE36" t="s">
        <v>305</v>
      </c>
      <c r="AF36" t="s">
        <v>298</v>
      </c>
      <c r="AG36" t="s">
        <v>306</v>
      </c>
      <c r="AH36" t="s">
        <v>55</v>
      </c>
      <c r="AI36" s="2">
        <v>46160.229166666664</v>
      </c>
      <c r="AJ36" t="s">
        <v>47</v>
      </c>
      <c r="AK36" t="s">
        <v>47</v>
      </c>
      <c r="AL36" s="2">
        <v>46160.458333333336</v>
      </c>
      <c r="AM36" s="2">
        <v>46160.458333333336</v>
      </c>
    </row>
    <row r="37" spans="1:39" x14ac:dyDescent="0.3">
      <c r="A37" t="s">
        <v>307</v>
      </c>
      <c r="B37" t="s">
        <v>308</v>
      </c>
      <c r="C37" t="s">
        <v>41</v>
      </c>
      <c r="D37" t="s">
        <v>309</v>
      </c>
      <c r="E37" t="s">
        <v>310</v>
      </c>
      <c r="F37" t="s">
        <v>311</v>
      </c>
      <c r="G37" t="s">
        <v>312</v>
      </c>
      <c r="H37" t="s">
        <v>313</v>
      </c>
      <c r="I37" t="s">
        <v>47</v>
      </c>
      <c r="J37" t="s">
        <v>47</v>
      </c>
      <c r="K37" t="s">
        <v>314</v>
      </c>
      <c r="L37" t="s">
        <v>47</v>
      </c>
      <c r="M37" t="s">
        <v>47</v>
      </c>
      <c r="N37" s="1">
        <v>46027</v>
      </c>
      <c r="O37" s="1">
        <v>46027</v>
      </c>
      <c r="P37" t="s">
        <v>315</v>
      </c>
      <c r="Q37" t="s">
        <v>50</v>
      </c>
      <c r="R37">
        <v>1</v>
      </c>
      <c r="S37" t="b">
        <v>0</v>
      </c>
      <c r="T37" t="s">
        <v>47</v>
      </c>
      <c r="U37" t="s">
        <v>47</v>
      </c>
      <c r="V37" t="s">
        <v>47</v>
      </c>
      <c r="W37" t="s">
        <v>47</v>
      </c>
      <c r="X37" t="s">
        <v>51</v>
      </c>
      <c r="Y37" t="b">
        <v>0</v>
      </c>
      <c r="Z37" t="s">
        <v>47</v>
      </c>
      <c r="AA37" t="s">
        <v>47</v>
      </c>
      <c r="AC37" t="b">
        <v>1</v>
      </c>
      <c r="AD37" t="s">
        <v>52</v>
      </c>
      <c r="AE37" t="s">
        <v>316</v>
      </c>
      <c r="AF37" t="s">
        <v>309</v>
      </c>
      <c r="AG37" t="s">
        <v>317</v>
      </c>
      <c r="AH37" t="s">
        <v>55</v>
      </c>
      <c r="AI37" s="2">
        <v>46160.149305555555</v>
      </c>
      <c r="AJ37" t="s">
        <v>47</v>
      </c>
      <c r="AK37" t="s">
        <v>47</v>
      </c>
      <c r="AL37" s="2">
        <v>46160.171903877315</v>
      </c>
      <c r="AM37" s="2">
        <v>46160.171903877315</v>
      </c>
    </row>
    <row r="38" spans="1:39" x14ac:dyDescent="0.3">
      <c r="A38" t="s">
        <v>318</v>
      </c>
      <c r="B38" t="s">
        <v>319</v>
      </c>
      <c r="C38" t="s">
        <v>41</v>
      </c>
      <c r="D38" t="s">
        <v>320</v>
      </c>
      <c r="E38" t="s">
        <v>321</v>
      </c>
      <c r="F38" t="s">
        <v>322</v>
      </c>
      <c r="G38" t="s">
        <v>323</v>
      </c>
      <c r="H38" t="s">
        <v>324</v>
      </c>
      <c r="I38" t="s">
        <v>47</v>
      </c>
      <c r="J38" t="s">
        <v>47</v>
      </c>
      <c r="K38" t="s">
        <v>253</v>
      </c>
      <c r="L38" t="s">
        <v>47</v>
      </c>
      <c r="M38" t="s">
        <v>47</v>
      </c>
      <c r="N38" s="1">
        <v>46027</v>
      </c>
      <c r="O38" s="1">
        <v>46027</v>
      </c>
      <c r="P38" t="s">
        <v>254</v>
      </c>
      <c r="Q38" t="s">
        <v>50</v>
      </c>
      <c r="R38">
        <v>1</v>
      </c>
      <c r="S38" t="b">
        <v>0</v>
      </c>
      <c r="T38" t="s">
        <v>47</v>
      </c>
      <c r="U38" t="s">
        <v>47</v>
      </c>
      <c r="V38" t="s">
        <v>47</v>
      </c>
      <c r="W38" t="s">
        <v>47</v>
      </c>
      <c r="X38" t="s">
        <v>51</v>
      </c>
      <c r="Y38" t="b">
        <v>0</v>
      </c>
      <c r="Z38" t="s">
        <v>47</v>
      </c>
      <c r="AA38" t="s">
        <v>47</v>
      </c>
      <c r="AC38" t="b">
        <v>1</v>
      </c>
      <c r="AD38" t="s">
        <v>52</v>
      </c>
      <c r="AE38" t="s">
        <v>325</v>
      </c>
      <c r="AF38" t="s">
        <v>320</v>
      </c>
      <c r="AG38" t="s">
        <v>326</v>
      </c>
      <c r="AH38" t="s">
        <v>55</v>
      </c>
      <c r="AI38" s="2">
        <v>46160.229166666664</v>
      </c>
      <c r="AJ38" t="s">
        <v>47</v>
      </c>
      <c r="AK38" t="s">
        <v>47</v>
      </c>
      <c r="AL38" s="2">
        <v>46160.458333333336</v>
      </c>
      <c r="AM38" s="2">
        <v>46160.458333333336</v>
      </c>
    </row>
    <row r="39" spans="1:39" x14ac:dyDescent="0.3">
      <c r="A39" t="s">
        <v>327</v>
      </c>
      <c r="B39" t="s">
        <v>328</v>
      </c>
      <c r="C39" t="s">
        <v>41</v>
      </c>
      <c r="D39" t="s">
        <v>329</v>
      </c>
      <c r="E39" t="s">
        <v>330</v>
      </c>
      <c r="F39" t="s">
        <v>322</v>
      </c>
      <c r="G39" t="s">
        <v>323</v>
      </c>
      <c r="H39" t="s">
        <v>331</v>
      </c>
      <c r="I39" t="s">
        <v>47</v>
      </c>
      <c r="J39" t="s">
        <v>47</v>
      </c>
      <c r="K39" t="s">
        <v>253</v>
      </c>
      <c r="L39" t="s">
        <v>47</v>
      </c>
      <c r="M39" t="s">
        <v>47</v>
      </c>
      <c r="N39" s="1">
        <v>46027</v>
      </c>
      <c r="O39" s="1">
        <v>46027</v>
      </c>
      <c r="P39" t="s">
        <v>254</v>
      </c>
      <c r="Q39" t="s">
        <v>50</v>
      </c>
      <c r="R39">
        <v>1</v>
      </c>
      <c r="S39" t="b">
        <v>0</v>
      </c>
      <c r="T39" t="s">
        <v>47</v>
      </c>
      <c r="U39" t="s">
        <v>47</v>
      </c>
      <c r="V39" t="s">
        <v>47</v>
      </c>
      <c r="W39" t="s">
        <v>47</v>
      </c>
      <c r="X39" t="s">
        <v>51</v>
      </c>
      <c r="Y39" t="b">
        <v>0</v>
      </c>
      <c r="Z39" t="s">
        <v>47</v>
      </c>
      <c r="AA39" t="s">
        <v>47</v>
      </c>
      <c r="AC39" t="b">
        <v>1</v>
      </c>
      <c r="AD39" t="s">
        <v>52</v>
      </c>
      <c r="AE39" t="s">
        <v>332</v>
      </c>
      <c r="AF39" t="s">
        <v>329</v>
      </c>
      <c r="AG39" t="s">
        <v>333</v>
      </c>
      <c r="AH39" t="s">
        <v>55</v>
      </c>
      <c r="AI39" s="2">
        <v>46160.229166666664</v>
      </c>
      <c r="AJ39" t="s">
        <v>47</v>
      </c>
      <c r="AK39" t="s">
        <v>47</v>
      </c>
      <c r="AL39" s="2">
        <v>46160.458333333336</v>
      </c>
      <c r="AM39" s="2">
        <v>46160.458333333336</v>
      </c>
    </row>
    <row r="40" spans="1:39" x14ac:dyDescent="0.3">
      <c r="A40" t="s">
        <v>334</v>
      </c>
      <c r="B40" t="s">
        <v>335</v>
      </c>
      <c r="C40" t="s">
        <v>41</v>
      </c>
      <c r="D40" t="s">
        <v>336</v>
      </c>
      <c r="E40" t="s">
        <v>337</v>
      </c>
      <c r="F40" t="s">
        <v>338</v>
      </c>
      <c r="G40" t="s">
        <v>339</v>
      </c>
      <c r="H40" t="s">
        <v>340</v>
      </c>
      <c r="I40" t="s">
        <v>47</v>
      </c>
      <c r="J40" t="s">
        <v>47</v>
      </c>
      <c r="K40" t="s">
        <v>341</v>
      </c>
      <c r="L40" t="s">
        <v>47</v>
      </c>
      <c r="M40" t="s">
        <v>47</v>
      </c>
      <c r="N40" s="1">
        <v>46027</v>
      </c>
      <c r="O40" s="1">
        <v>46027</v>
      </c>
      <c r="P40" t="s">
        <v>342</v>
      </c>
      <c r="Q40" t="s">
        <v>50</v>
      </c>
      <c r="R40">
        <v>3</v>
      </c>
      <c r="S40" t="b">
        <v>1</v>
      </c>
      <c r="T40" t="s">
        <v>47</v>
      </c>
      <c r="U40" t="s">
        <v>47</v>
      </c>
      <c r="V40" t="s">
        <v>47</v>
      </c>
      <c r="W40" t="s">
        <v>47</v>
      </c>
      <c r="X40" t="s">
        <v>51</v>
      </c>
      <c r="Y40" t="b">
        <v>0</v>
      </c>
      <c r="Z40" t="s">
        <v>47</v>
      </c>
      <c r="AA40" t="s">
        <v>47</v>
      </c>
      <c r="AB40">
        <v>0.55000000000000004</v>
      </c>
      <c r="AC40" t="b">
        <v>1</v>
      </c>
      <c r="AD40" t="s">
        <v>52</v>
      </c>
      <c r="AE40" t="s">
        <v>343</v>
      </c>
      <c r="AF40" t="s">
        <v>336</v>
      </c>
      <c r="AG40" t="s">
        <v>344</v>
      </c>
      <c r="AH40" t="s">
        <v>55</v>
      </c>
      <c r="AI40" s="2">
        <v>46160.25</v>
      </c>
      <c r="AJ40" t="s">
        <v>47</v>
      </c>
      <c r="AK40" t="s">
        <v>47</v>
      </c>
      <c r="AL40" s="2">
        <v>46160.479166666664</v>
      </c>
      <c r="AM40" s="2">
        <v>46160.479166666664</v>
      </c>
    </row>
    <row r="41" spans="1:39" x14ac:dyDescent="0.3">
      <c r="A41" t="s">
        <v>345</v>
      </c>
      <c r="B41" t="s">
        <v>346</v>
      </c>
      <c r="C41" t="s">
        <v>41</v>
      </c>
      <c r="D41" t="s">
        <v>347</v>
      </c>
      <c r="E41" t="s">
        <v>348</v>
      </c>
      <c r="F41" t="s">
        <v>349</v>
      </c>
      <c r="G41" t="s">
        <v>350</v>
      </c>
      <c r="H41" t="s">
        <v>351</v>
      </c>
      <c r="I41" t="s">
        <v>47</v>
      </c>
      <c r="J41" t="s">
        <v>47</v>
      </c>
      <c r="K41" t="s">
        <v>352</v>
      </c>
      <c r="L41" t="s">
        <v>47</v>
      </c>
      <c r="M41" s="1">
        <v>46028</v>
      </c>
      <c r="N41" s="1">
        <v>46028</v>
      </c>
      <c r="O41" s="1">
        <v>46028</v>
      </c>
      <c r="P41" t="s">
        <v>353</v>
      </c>
      <c r="Q41" t="s">
        <v>76</v>
      </c>
      <c r="R41">
        <v>4</v>
      </c>
      <c r="S41" t="b">
        <v>1</v>
      </c>
      <c r="T41" t="s">
        <v>47</v>
      </c>
      <c r="U41" t="s">
        <v>47</v>
      </c>
      <c r="V41" t="s">
        <v>47</v>
      </c>
      <c r="W41" t="s">
        <v>47</v>
      </c>
      <c r="X41" t="s">
        <v>51</v>
      </c>
      <c r="Y41" t="b">
        <v>0</v>
      </c>
      <c r="Z41" t="s">
        <v>47</v>
      </c>
      <c r="AA41" t="s">
        <v>47</v>
      </c>
      <c r="AB41" t="s">
        <v>47</v>
      </c>
      <c r="AC41" t="b">
        <v>1</v>
      </c>
      <c r="AD41" t="s">
        <v>52</v>
      </c>
      <c r="AE41" t="s">
        <v>354</v>
      </c>
      <c r="AF41" t="s">
        <v>347</v>
      </c>
      <c r="AG41" t="s">
        <v>47</v>
      </c>
      <c r="AH41" t="s">
        <v>87</v>
      </c>
      <c r="AI41" s="2">
        <v>46160.614004629628</v>
      </c>
      <c r="AJ41" t="s">
        <v>47</v>
      </c>
      <c r="AK41" t="s">
        <v>47</v>
      </c>
      <c r="AL41" s="2">
        <v>46160.614004629628</v>
      </c>
      <c r="AM41" s="2">
        <v>46160.614004629628</v>
      </c>
    </row>
    <row r="42" spans="1:39" x14ac:dyDescent="0.3">
      <c r="A42" t="s">
        <v>355</v>
      </c>
      <c r="B42" t="s">
        <v>356</v>
      </c>
      <c r="C42" t="s">
        <v>41</v>
      </c>
      <c r="D42" t="s">
        <v>357</v>
      </c>
      <c r="E42" t="s">
        <v>358</v>
      </c>
      <c r="F42" t="s">
        <v>233</v>
      </c>
      <c r="G42" t="s">
        <v>234</v>
      </c>
      <c r="H42" t="s">
        <v>359</v>
      </c>
      <c r="I42" t="s">
        <v>47</v>
      </c>
      <c r="J42" t="s">
        <v>47</v>
      </c>
      <c r="K42" t="s">
        <v>236</v>
      </c>
      <c r="L42" t="s">
        <v>47</v>
      </c>
      <c r="M42" t="s">
        <v>47</v>
      </c>
      <c r="N42" s="1">
        <v>46028</v>
      </c>
      <c r="O42" s="1">
        <v>46028</v>
      </c>
      <c r="P42" t="s">
        <v>183</v>
      </c>
      <c r="Q42" t="s">
        <v>237</v>
      </c>
      <c r="R42">
        <v>2</v>
      </c>
      <c r="S42" t="b">
        <v>1</v>
      </c>
      <c r="T42" t="s">
        <v>47</v>
      </c>
      <c r="U42" t="s">
        <v>47</v>
      </c>
      <c r="V42" t="s">
        <v>47</v>
      </c>
      <c r="W42" t="s">
        <v>47</v>
      </c>
      <c r="X42" t="s">
        <v>51</v>
      </c>
      <c r="Y42" t="b">
        <v>0</v>
      </c>
      <c r="Z42" t="s">
        <v>47</v>
      </c>
      <c r="AA42" t="s">
        <v>47</v>
      </c>
      <c r="AB42">
        <v>0.6</v>
      </c>
      <c r="AC42" t="b">
        <v>1</v>
      </c>
      <c r="AD42" t="s">
        <v>52</v>
      </c>
      <c r="AE42" t="s">
        <v>360</v>
      </c>
      <c r="AF42" t="s">
        <v>357</v>
      </c>
      <c r="AG42" t="s">
        <v>361</v>
      </c>
      <c r="AH42" t="s">
        <v>55</v>
      </c>
      <c r="AI42" s="2">
        <v>46160.201388888891</v>
      </c>
      <c r="AJ42" t="s">
        <v>47</v>
      </c>
      <c r="AK42" t="s">
        <v>47</v>
      </c>
      <c r="AL42" s="2">
        <v>46160.430555555555</v>
      </c>
      <c r="AM42" s="2">
        <v>46160.430555555555</v>
      </c>
    </row>
    <row r="43" spans="1:39" x14ac:dyDescent="0.3">
      <c r="A43" t="s">
        <v>362</v>
      </c>
      <c r="B43" t="s">
        <v>363</v>
      </c>
      <c r="C43" t="s">
        <v>41</v>
      </c>
      <c r="D43" t="s">
        <v>364</v>
      </c>
      <c r="E43" t="s">
        <v>365</v>
      </c>
      <c r="F43" t="s">
        <v>366</v>
      </c>
      <c r="G43" t="s">
        <v>367</v>
      </c>
      <c r="H43" t="s">
        <v>368</v>
      </c>
      <c r="I43" t="s">
        <v>47</v>
      </c>
      <c r="J43" t="s">
        <v>47</v>
      </c>
      <c r="K43" t="s">
        <v>369</v>
      </c>
      <c r="L43" t="s">
        <v>47</v>
      </c>
      <c r="M43" t="s">
        <v>47</v>
      </c>
      <c r="N43" s="1">
        <v>46028</v>
      </c>
      <c r="O43" s="1">
        <v>46027</v>
      </c>
      <c r="P43" t="s">
        <v>370</v>
      </c>
      <c r="Q43" t="s">
        <v>371</v>
      </c>
      <c r="R43">
        <v>4</v>
      </c>
      <c r="S43" t="b">
        <v>1</v>
      </c>
      <c r="T43" t="s">
        <v>47</v>
      </c>
      <c r="U43" t="s">
        <v>372</v>
      </c>
      <c r="V43" t="s">
        <v>47</v>
      </c>
      <c r="W43" t="s">
        <v>47</v>
      </c>
      <c r="X43" t="s">
        <v>51</v>
      </c>
      <c r="Y43" t="b">
        <v>0</v>
      </c>
      <c r="Z43" t="s">
        <v>47</v>
      </c>
      <c r="AA43" t="s">
        <v>47</v>
      </c>
      <c r="AB43">
        <v>0.95</v>
      </c>
      <c r="AC43" t="b">
        <v>1</v>
      </c>
      <c r="AD43" t="s">
        <v>52</v>
      </c>
      <c r="AE43" t="s">
        <v>373</v>
      </c>
      <c r="AF43" t="s">
        <v>364</v>
      </c>
      <c r="AG43" t="s">
        <v>374</v>
      </c>
      <c r="AH43" t="s">
        <v>55</v>
      </c>
      <c r="AI43" s="2">
        <v>46160.149305555555</v>
      </c>
      <c r="AJ43" t="s">
        <v>47</v>
      </c>
      <c r="AK43" t="s">
        <v>47</v>
      </c>
      <c r="AL43" s="2">
        <v>46160.171903877315</v>
      </c>
      <c r="AM43" s="2">
        <v>46160.171903877315</v>
      </c>
    </row>
    <row r="44" spans="1:39" x14ac:dyDescent="0.3">
      <c r="A44" t="s">
        <v>375</v>
      </c>
      <c r="B44" t="s">
        <v>376</v>
      </c>
      <c r="C44" t="s">
        <v>41</v>
      </c>
      <c r="D44" t="s">
        <v>377</v>
      </c>
      <c r="E44" t="s">
        <v>378</v>
      </c>
      <c r="F44" t="s">
        <v>322</v>
      </c>
      <c r="G44" t="s">
        <v>323</v>
      </c>
      <c r="H44" t="s">
        <v>379</v>
      </c>
      <c r="I44" t="s">
        <v>47</v>
      </c>
      <c r="J44" t="s">
        <v>47</v>
      </c>
      <c r="K44" t="s">
        <v>253</v>
      </c>
      <c r="L44" t="s">
        <v>47</v>
      </c>
      <c r="M44" t="s">
        <v>47</v>
      </c>
      <c r="N44" s="1">
        <v>46028</v>
      </c>
      <c r="O44" s="1">
        <v>46028</v>
      </c>
      <c r="P44" t="s">
        <v>254</v>
      </c>
      <c r="Q44" t="s">
        <v>50</v>
      </c>
      <c r="R44">
        <v>1</v>
      </c>
      <c r="S44" t="b">
        <v>0</v>
      </c>
      <c r="T44" t="s">
        <v>47</v>
      </c>
      <c r="U44" t="s">
        <v>47</v>
      </c>
      <c r="V44" t="s">
        <v>47</v>
      </c>
      <c r="W44" t="s">
        <v>47</v>
      </c>
      <c r="X44" t="s">
        <v>51</v>
      </c>
      <c r="Y44" t="b">
        <v>0</v>
      </c>
      <c r="Z44" t="s">
        <v>47</v>
      </c>
      <c r="AA44" t="s">
        <v>47</v>
      </c>
      <c r="AC44" t="b">
        <v>1</v>
      </c>
      <c r="AD44" t="s">
        <v>52</v>
      </c>
      <c r="AE44" t="s">
        <v>380</v>
      </c>
      <c r="AF44" t="s">
        <v>377</v>
      </c>
      <c r="AG44" t="s">
        <v>381</v>
      </c>
      <c r="AH44" t="s">
        <v>55</v>
      </c>
      <c r="AI44" s="2">
        <v>46160.173611111109</v>
      </c>
      <c r="AJ44" t="s">
        <v>47</v>
      </c>
      <c r="AK44" t="s">
        <v>47</v>
      </c>
      <c r="AL44" s="2">
        <v>46160.402777777781</v>
      </c>
      <c r="AM44" s="2">
        <v>46160.402777777781</v>
      </c>
    </row>
    <row r="45" spans="1:39" x14ac:dyDescent="0.3">
      <c r="A45" t="s">
        <v>382</v>
      </c>
      <c r="B45" t="s">
        <v>383</v>
      </c>
      <c r="C45" t="s">
        <v>41</v>
      </c>
      <c r="D45" t="s">
        <v>384</v>
      </c>
      <c r="E45" t="s">
        <v>385</v>
      </c>
      <c r="F45" t="s">
        <v>386</v>
      </c>
      <c r="G45" t="s">
        <v>387</v>
      </c>
      <c r="H45" t="s">
        <v>388</v>
      </c>
      <c r="I45" t="s">
        <v>47</v>
      </c>
      <c r="J45" t="s">
        <v>47</v>
      </c>
      <c r="K45" t="s">
        <v>389</v>
      </c>
      <c r="L45" t="s">
        <v>47</v>
      </c>
      <c r="M45" t="s">
        <v>47</v>
      </c>
      <c r="N45" s="1">
        <v>46029</v>
      </c>
      <c r="O45" s="1">
        <v>46029</v>
      </c>
      <c r="P45" t="s">
        <v>183</v>
      </c>
      <c r="Q45" t="s">
        <v>50</v>
      </c>
      <c r="R45">
        <v>2</v>
      </c>
      <c r="S45" t="b">
        <v>0</v>
      </c>
      <c r="T45" t="s">
        <v>47</v>
      </c>
      <c r="U45" t="s">
        <v>47</v>
      </c>
      <c r="V45" t="s">
        <v>47</v>
      </c>
      <c r="W45" t="s">
        <v>47</v>
      </c>
      <c r="X45" t="s">
        <v>51</v>
      </c>
      <c r="Y45" t="b">
        <v>0</v>
      </c>
      <c r="Z45" t="s">
        <v>47</v>
      </c>
      <c r="AA45" t="s">
        <v>47</v>
      </c>
      <c r="AC45" t="b">
        <v>1</v>
      </c>
      <c r="AD45" t="s">
        <v>52</v>
      </c>
      <c r="AE45" t="s">
        <v>390</v>
      </c>
      <c r="AF45" t="s">
        <v>384</v>
      </c>
      <c r="AG45" t="s">
        <v>391</v>
      </c>
      <c r="AH45" t="s">
        <v>55</v>
      </c>
      <c r="AI45" s="2">
        <v>46160.173611111109</v>
      </c>
      <c r="AJ45" t="s">
        <v>47</v>
      </c>
      <c r="AK45" t="s">
        <v>47</v>
      </c>
      <c r="AL45" s="2">
        <v>46160.402777777781</v>
      </c>
      <c r="AM45" s="2">
        <v>46160.402777777781</v>
      </c>
    </row>
    <row r="46" spans="1:39" x14ac:dyDescent="0.3">
      <c r="A46" t="s">
        <v>392</v>
      </c>
      <c r="B46" t="s">
        <v>393</v>
      </c>
      <c r="C46" t="s">
        <v>41</v>
      </c>
      <c r="D46" t="s">
        <v>394</v>
      </c>
      <c r="E46" t="s">
        <v>395</v>
      </c>
      <c r="F46" t="s">
        <v>172</v>
      </c>
      <c r="G46" t="s">
        <v>173</v>
      </c>
      <c r="H46" t="s">
        <v>174</v>
      </c>
      <c r="I46" t="s">
        <v>47</v>
      </c>
      <c r="J46" t="s">
        <v>47</v>
      </c>
      <c r="K46" t="s">
        <v>130</v>
      </c>
      <c r="L46" t="s">
        <v>47</v>
      </c>
      <c r="M46" s="1">
        <v>46029</v>
      </c>
      <c r="N46" s="1">
        <v>46029</v>
      </c>
      <c r="O46" s="1">
        <v>46029</v>
      </c>
      <c r="P46" t="s">
        <v>49</v>
      </c>
      <c r="Q46" t="s">
        <v>50</v>
      </c>
      <c r="R46">
        <v>3</v>
      </c>
      <c r="S46" t="b">
        <v>1</v>
      </c>
      <c r="T46" t="s">
        <v>47</v>
      </c>
      <c r="U46" t="s">
        <v>47</v>
      </c>
      <c r="V46" t="s">
        <v>47</v>
      </c>
      <c r="W46" t="s">
        <v>47</v>
      </c>
      <c r="X46" t="s">
        <v>51</v>
      </c>
      <c r="Y46" t="b">
        <v>0</v>
      </c>
      <c r="Z46" t="s">
        <v>47</v>
      </c>
      <c r="AA46" t="s">
        <v>47</v>
      </c>
      <c r="AB46" t="s">
        <v>47</v>
      </c>
      <c r="AC46" t="b">
        <v>1</v>
      </c>
      <c r="AD46" t="s">
        <v>52</v>
      </c>
      <c r="AE46" t="s">
        <v>396</v>
      </c>
      <c r="AF46" t="s">
        <v>394</v>
      </c>
      <c r="AG46" t="s">
        <v>47</v>
      </c>
      <c r="AH46" t="s">
        <v>87</v>
      </c>
      <c r="AI46" s="2">
        <v>46160.581724537034</v>
      </c>
      <c r="AJ46" t="s">
        <v>47</v>
      </c>
      <c r="AK46" t="s">
        <v>47</v>
      </c>
      <c r="AL46" s="2">
        <v>46160.581724537034</v>
      </c>
      <c r="AM46" s="2">
        <v>46160.581724537034</v>
      </c>
    </row>
    <row r="47" spans="1:39" x14ac:dyDescent="0.3">
      <c r="A47" t="s">
        <v>397</v>
      </c>
      <c r="B47" t="s">
        <v>398</v>
      </c>
      <c r="C47" t="s">
        <v>41</v>
      </c>
      <c r="D47" t="s">
        <v>399</v>
      </c>
      <c r="E47" t="s">
        <v>400</v>
      </c>
      <c r="F47" t="s">
        <v>401</v>
      </c>
      <c r="G47" t="s">
        <v>402</v>
      </c>
      <c r="H47" t="s">
        <v>403</v>
      </c>
      <c r="I47" t="s">
        <v>47</v>
      </c>
      <c r="J47" t="s">
        <v>47</v>
      </c>
      <c r="K47" t="s">
        <v>253</v>
      </c>
      <c r="L47" t="s">
        <v>47</v>
      </c>
      <c r="M47" t="s">
        <v>47</v>
      </c>
      <c r="N47" s="1">
        <v>46029</v>
      </c>
      <c r="O47" s="1">
        <v>46029</v>
      </c>
      <c r="P47" t="s">
        <v>254</v>
      </c>
      <c r="Q47" t="s">
        <v>50</v>
      </c>
      <c r="R47">
        <v>2</v>
      </c>
      <c r="S47" t="b">
        <v>0</v>
      </c>
      <c r="T47" t="s">
        <v>47</v>
      </c>
      <c r="U47" t="s">
        <v>47</v>
      </c>
      <c r="V47" t="s">
        <v>47</v>
      </c>
      <c r="W47" t="s">
        <v>47</v>
      </c>
      <c r="X47" t="s">
        <v>51</v>
      </c>
      <c r="Y47" t="b">
        <v>0</v>
      </c>
      <c r="Z47" t="s">
        <v>47</v>
      </c>
      <c r="AA47" t="s">
        <v>47</v>
      </c>
      <c r="AC47" t="b">
        <v>1</v>
      </c>
      <c r="AD47" t="s">
        <v>52</v>
      </c>
      <c r="AE47" t="s">
        <v>404</v>
      </c>
      <c r="AF47" t="s">
        <v>399</v>
      </c>
      <c r="AG47" t="s">
        <v>405</v>
      </c>
      <c r="AH47" t="s">
        <v>55</v>
      </c>
      <c r="AI47" s="2">
        <v>46160.270833333336</v>
      </c>
      <c r="AJ47" t="s">
        <v>47</v>
      </c>
      <c r="AK47" t="s">
        <v>47</v>
      </c>
      <c r="AL47" s="2">
        <v>46160.5</v>
      </c>
      <c r="AM47" s="2">
        <v>46160.5</v>
      </c>
    </row>
    <row r="48" spans="1:39" x14ac:dyDescent="0.3">
      <c r="A48" t="s">
        <v>406</v>
      </c>
      <c r="B48" t="s">
        <v>407</v>
      </c>
      <c r="C48" t="s">
        <v>41</v>
      </c>
      <c r="D48" t="s">
        <v>408</v>
      </c>
      <c r="E48" t="s">
        <v>409</v>
      </c>
      <c r="F48" t="s">
        <v>180</v>
      </c>
      <c r="G48" t="s">
        <v>181</v>
      </c>
      <c r="H48" t="s">
        <v>182</v>
      </c>
      <c r="I48" t="s">
        <v>47</v>
      </c>
      <c r="J48" t="s">
        <v>47</v>
      </c>
      <c r="K48" t="s">
        <v>47</v>
      </c>
      <c r="L48" t="s">
        <v>47</v>
      </c>
      <c r="M48" t="s">
        <v>47</v>
      </c>
      <c r="N48" s="1">
        <v>46029</v>
      </c>
      <c r="O48" s="1">
        <v>46029</v>
      </c>
      <c r="P48" t="s">
        <v>183</v>
      </c>
      <c r="Q48" t="s">
        <v>184</v>
      </c>
      <c r="R48">
        <v>1</v>
      </c>
      <c r="S48" t="b">
        <v>0</v>
      </c>
      <c r="T48" t="s">
        <v>47</v>
      </c>
      <c r="U48" t="s">
        <v>47</v>
      </c>
      <c r="V48" t="s">
        <v>47</v>
      </c>
      <c r="W48" t="s">
        <v>47</v>
      </c>
      <c r="X48" t="s">
        <v>51</v>
      </c>
      <c r="Y48" t="b">
        <v>0</v>
      </c>
      <c r="Z48" t="s">
        <v>47</v>
      </c>
      <c r="AA48" t="s">
        <v>47</v>
      </c>
      <c r="AC48" t="b">
        <v>1</v>
      </c>
      <c r="AD48" t="s">
        <v>52</v>
      </c>
      <c r="AE48" t="s">
        <v>410</v>
      </c>
      <c r="AF48" t="s">
        <v>408</v>
      </c>
      <c r="AG48" t="s">
        <v>411</v>
      </c>
      <c r="AH48" t="s">
        <v>55</v>
      </c>
      <c r="AI48" s="2">
        <v>46160.201388888891</v>
      </c>
      <c r="AJ48" t="s">
        <v>47</v>
      </c>
      <c r="AK48" t="s">
        <v>47</v>
      </c>
      <c r="AL48" s="2">
        <v>46160.430555555555</v>
      </c>
      <c r="AM48" s="2">
        <v>46160.430555555555</v>
      </c>
    </row>
    <row r="49" spans="1:39" x14ac:dyDescent="0.3">
      <c r="A49" t="s">
        <v>412</v>
      </c>
      <c r="B49" t="s">
        <v>413</v>
      </c>
      <c r="C49" t="s">
        <v>41</v>
      </c>
      <c r="D49" t="s">
        <v>414</v>
      </c>
      <c r="E49" t="s">
        <v>415</v>
      </c>
      <c r="F49" t="s">
        <v>416</v>
      </c>
      <c r="G49" t="s">
        <v>417</v>
      </c>
      <c r="H49" t="s">
        <v>418</v>
      </c>
      <c r="I49" t="s">
        <v>47</v>
      </c>
      <c r="J49" t="s">
        <v>47</v>
      </c>
      <c r="K49" t="s">
        <v>419</v>
      </c>
      <c r="L49" t="s">
        <v>47</v>
      </c>
      <c r="M49" s="1">
        <v>46029</v>
      </c>
      <c r="N49" s="1">
        <v>46029</v>
      </c>
      <c r="O49" s="1">
        <v>46029</v>
      </c>
      <c r="P49" t="s">
        <v>75</v>
      </c>
      <c r="Q49" t="s">
        <v>237</v>
      </c>
      <c r="R49">
        <v>2</v>
      </c>
      <c r="S49" t="b">
        <v>1</v>
      </c>
      <c r="T49" t="s">
        <v>47</v>
      </c>
      <c r="U49" t="s">
        <v>47</v>
      </c>
      <c r="V49" t="s">
        <v>47</v>
      </c>
      <c r="W49" t="s">
        <v>47</v>
      </c>
      <c r="X49" t="s">
        <v>51</v>
      </c>
      <c r="Y49" t="b">
        <v>0</v>
      </c>
      <c r="Z49" t="s">
        <v>47</v>
      </c>
      <c r="AA49" t="s">
        <v>47</v>
      </c>
      <c r="AB49" t="s">
        <v>47</v>
      </c>
      <c r="AC49" t="b">
        <v>1</v>
      </c>
      <c r="AD49" t="s">
        <v>52</v>
      </c>
      <c r="AE49" t="s">
        <v>420</v>
      </c>
      <c r="AF49" t="s">
        <v>414</v>
      </c>
      <c r="AG49" t="s">
        <v>47</v>
      </c>
      <c r="AH49" t="s">
        <v>87</v>
      </c>
      <c r="AI49" s="2">
        <v>46160.581724537034</v>
      </c>
      <c r="AJ49" t="s">
        <v>47</v>
      </c>
      <c r="AK49" t="s">
        <v>47</v>
      </c>
      <c r="AL49" s="2">
        <v>46160.581724537034</v>
      </c>
      <c r="AM49" s="2">
        <v>46160.581724537034</v>
      </c>
    </row>
    <row r="50" spans="1:39" x14ac:dyDescent="0.3">
      <c r="A50" t="s">
        <v>421</v>
      </c>
      <c r="B50" t="s">
        <v>422</v>
      </c>
      <c r="C50" t="s">
        <v>41</v>
      </c>
      <c r="D50" t="s">
        <v>423</v>
      </c>
      <c r="E50" t="s">
        <v>424</v>
      </c>
      <c r="F50" t="s">
        <v>425</v>
      </c>
      <c r="G50" t="s">
        <v>426</v>
      </c>
      <c r="H50" t="s">
        <v>427</v>
      </c>
      <c r="I50" t="s">
        <v>47</v>
      </c>
      <c r="J50" t="s">
        <v>47</v>
      </c>
      <c r="K50" t="s">
        <v>47</v>
      </c>
      <c r="L50" t="s">
        <v>47</v>
      </c>
      <c r="M50" t="s">
        <v>47</v>
      </c>
      <c r="N50" s="1">
        <v>46029</v>
      </c>
      <c r="O50" s="1">
        <v>46029</v>
      </c>
      <c r="P50" t="s">
        <v>183</v>
      </c>
      <c r="Q50" t="s">
        <v>184</v>
      </c>
      <c r="R50">
        <v>2</v>
      </c>
      <c r="S50" t="b">
        <v>0</v>
      </c>
      <c r="T50" t="s">
        <v>47</v>
      </c>
      <c r="U50" t="s">
        <v>47</v>
      </c>
      <c r="V50" t="s">
        <v>47</v>
      </c>
      <c r="W50" t="s">
        <v>47</v>
      </c>
      <c r="X50" t="s">
        <v>51</v>
      </c>
      <c r="Y50" t="b">
        <v>0</v>
      </c>
      <c r="Z50" t="s">
        <v>47</v>
      </c>
      <c r="AA50" t="s">
        <v>47</v>
      </c>
      <c r="AC50" t="b">
        <v>1</v>
      </c>
      <c r="AD50" t="s">
        <v>52</v>
      </c>
      <c r="AE50" t="s">
        <v>428</v>
      </c>
      <c r="AF50" t="s">
        <v>423</v>
      </c>
      <c r="AG50" t="s">
        <v>429</v>
      </c>
      <c r="AH50" t="s">
        <v>55</v>
      </c>
      <c r="AI50" s="2">
        <v>46160.270833333336</v>
      </c>
      <c r="AJ50" t="s">
        <v>47</v>
      </c>
      <c r="AK50" t="s">
        <v>47</v>
      </c>
      <c r="AL50" s="2">
        <v>46160.5</v>
      </c>
      <c r="AM50" s="2">
        <v>46160.5</v>
      </c>
    </row>
    <row r="51" spans="1:39" x14ac:dyDescent="0.3">
      <c r="A51" t="s">
        <v>430</v>
      </c>
      <c r="B51" t="s">
        <v>431</v>
      </c>
      <c r="C51" t="s">
        <v>41</v>
      </c>
      <c r="D51" t="s">
        <v>432</v>
      </c>
      <c r="E51" t="s">
        <v>433</v>
      </c>
      <c r="F51" t="s">
        <v>127</v>
      </c>
      <c r="G51" t="s">
        <v>128</v>
      </c>
      <c r="H51" t="s">
        <v>129</v>
      </c>
      <c r="I51" t="s">
        <v>47</v>
      </c>
      <c r="J51" t="s">
        <v>47</v>
      </c>
      <c r="K51" t="s">
        <v>130</v>
      </c>
      <c r="L51" t="s">
        <v>47</v>
      </c>
      <c r="M51" t="s">
        <v>47</v>
      </c>
      <c r="N51" s="1">
        <v>46029</v>
      </c>
      <c r="O51" s="1">
        <v>46029</v>
      </c>
      <c r="P51" t="s">
        <v>49</v>
      </c>
      <c r="Q51" t="s">
        <v>50</v>
      </c>
      <c r="R51">
        <v>3</v>
      </c>
      <c r="S51" t="b">
        <v>1</v>
      </c>
      <c r="T51" t="s">
        <v>47</v>
      </c>
      <c r="U51" t="s">
        <v>47</v>
      </c>
      <c r="V51" t="s">
        <v>47</v>
      </c>
      <c r="W51" t="s">
        <v>47</v>
      </c>
      <c r="X51" t="s">
        <v>51</v>
      </c>
      <c r="Y51" t="b">
        <v>0</v>
      </c>
      <c r="Z51" t="s">
        <v>47</v>
      </c>
      <c r="AA51" t="s">
        <v>47</v>
      </c>
      <c r="AB51">
        <v>0.6</v>
      </c>
      <c r="AC51" t="b">
        <v>1</v>
      </c>
      <c r="AD51" t="s">
        <v>52</v>
      </c>
      <c r="AE51" t="s">
        <v>434</v>
      </c>
      <c r="AF51" t="s">
        <v>432</v>
      </c>
      <c r="AG51" t="s">
        <v>435</v>
      </c>
      <c r="AH51" t="s">
        <v>55</v>
      </c>
      <c r="AI51" s="2">
        <v>46160.201388888891</v>
      </c>
      <c r="AJ51" t="s">
        <v>47</v>
      </c>
      <c r="AK51" t="s">
        <v>47</v>
      </c>
      <c r="AL51" s="2">
        <v>46160.430555555555</v>
      </c>
      <c r="AM51" s="2">
        <v>46160.430555555555</v>
      </c>
    </row>
    <row r="52" spans="1:39" x14ac:dyDescent="0.3">
      <c r="A52" t="s">
        <v>436</v>
      </c>
      <c r="B52" t="s">
        <v>437</v>
      </c>
      <c r="C52" t="s">
        <v>41</v>
      </c>
      <c r="D52" t="s">
        <v>438</v>
      </c>
      <c r="E52" t="s">
        <v>439</v>
      </c>
      <c r="F52" t="s">
        <v>440</v>
      </c>
      <c r="G52" t="s">
        <v>441</v>
      </c>
      <c r="H52" t="s">
        <v>442</v>
      </c>
      <c r="I52" t="s">
        <v>47</v>
      </c>
      <c r="J52" t="s">
        <v>47</v>
      </c>
      <c r="K52" t="s">
        <v>443</v>
      </c>
      <c r="L52" t="s">
        <v>47</v>
      </c>
      <c r="M52" t="s">
        <v>47</v>
      </c>
      <c r="N52" s="1">
        <v>46029</v>
      </c>
      <c r="O52" s="1">
        <v>46029</v>
      </c>
      <c r="P52" t="s">
        <v>444</v>
      </c>
      <c r="Q52" t="s">
        <v>50</v>
      </c>
      <c r="R52">
        <v>2</v>
      </c>
      <c r="S52" t="b">
        <v>1</v>
      </c>
      <c r="T52" t="s">
        <v>47</v>
      </c>
      <c r="U52" t="s">
        <v>47</v>
      </c>
      <c r="V52" t="s">
        <v>47</v>
      </c>
      <c r="W52" t="s">
        <v>47</v>
      </c>
      <c r="X52" t="s">
        <v>51</v>
      </c>
      <c r="Y52" t="b">
        <v>0</v>
      </c>
      <c r="Z52" t="s">
        <v>47</v>
      </c>
      <c r="AA52" t="s">
        <v>47</v>
      </c>
      <c r="AB52">
        <v>0.6</v>
      </c>
      <c r="AC52" t="b">
        <v>1</v>
      </c>
      <c r="AD52" t="s">
        <v>52</v>
      </c>
      <c r="AE52" t="s">
        <v>445</v>
      </c>
      <c r="AF52" t="s">
        <v>438</v>
      </c>
      <c r="AG52" t="s">
        <v>446</v>
      </c>
      <c r="AH52" t="s">
        <v>55</v>
      </c>
      <c r="AI52" s="2">
        <v>46160.270833333336</v>
      </c>
      <c r="AJ52" t="s">
        <v>47</v>
      </c>
      <c r="AK52" t="s">
        <v>47</v>
      </c>
      <c r="AL52" s="2">
        <v>46160.5</v>
      </c>
      <c r="AM52" s="2">
        <v>46160.5</v>
      </c>
    </row>
    <row r="53" spans="1:39" x14ac:dyDescent="0.3">
      <c r="A53" t="s">
        <v>447</v>
      </c>
      <c r="B53" t="s">
        <v>448</v>
      </c>
      <c r="C53" t="s">
        <v>41</v>
      </c>
      <c r="D53" t="s">
        <v>449</v>
      </c>
      <c r="E53" t="s">
        <v>450</v>
      </c>
      <c r="F53" t="s">
        <v>322</v>
      </c>
      <c r="G53" t="s">
        <v>323</v>
      </c>
      <c r="H53" t="s">
        <v>379</v>
      </c>
      <c r="I53" t="s">
        <v>47</v>
      </c>
      <c r="J53" t="s">
        <v>47</v>
      </c>
      <c r="K53" t="s">
        <v>253</v>
      </c>
      <c r="L53" t="s">
        <v>47</v>
      </c>
      <c r="M53" t="s">
        <v>47</v>
      </c>
      <c r="N53" s="1">
        <v>46028</v>
      </c>
      <c r="O53" s="1">
        <v>46028</v>
      </c>
      <c r="P53" t="s">
        <v>254</v>
      </c>
      <c r="Q53" t="s">
        <v>50</v>
      </c>
      <c r="R53">
        <v>1</v>
      </c>
      <c r="S53" t="b">
        <v>0</v>
      </c>
      <c r="T53" t="s">
        <v>47</v>
      </c>
      <c r="U53" t="s">
        <v>47</v>
      </c>
      <c r="V53" t="s">
        <v>47</v>
      </c>
      <c r="W53" t="s">
        <v>47</v>
      </c>
      <c r="X53" t="s">
        <v>51</v>
      </c>
      <c r="Y53" t="b">
        <v>0</v>
      </c>
      <c r="Z53" t="s">
        <v>47</v>
      </c>
      <c r="AA53" t="s">
        <v>47</v>
      </c>
      <c r="AC53" t="b">
        <v>1</v>
      </c>
      <c r="AD53" t="s">
        <v>52</v>
      </c>
      <c r="AE53" t="s">
        <v>451</v>
      </c>
      <c r="AF53" t="s">
        <v>449</v>
      </c>
      <c r="AG53" t="s">
        <v>452</v>
      </c>
      <c r="AH53" t="s">
        <v>55</v>
      </c>
      <c r="AI53" s="2">
        <v>46160.173611111109</v>
      </c>
      <c r="AJ53" t="s">
        <v>47</v>
      </c>
      <c r="AK53" t="s">
        <v>47</v>
      </c>
      <c r="AL53" s="2">
        <v>46160.402777777781</v>
      </c>
      <c r="AM53" s="2">
        <v>46160.402777777781</v>
      </c>
    </row>
    <row r="54" spans="1:39" x14ac:dyDescent="0.3">
      <c r="A54" t="s">
        <v>453</v>
      </c>
      <c r="B54" t="s">
        <v>454</v>
      </c>
      <c r="C54" t="s">
        <v>41</v>
      </c>
      <c r="D54" t="s">
        <v>455</v>
      </c>
      <c r="E54" t="s">
        <v>456</v>
      </c>
      <c r="F54" t="s">
        <v>127</v>
      </c>
      <c r="G54" t="s">
        <v>128</v>
      </c>
      <c r="H54" t="s">
        <v>129</v>
      </c>
      <c r="I54" t="s">
        <v>47</v>
      </c>
      <c r="J54" t="s">
        <v>47</v>
      </c>
      <c r="K54" t="s">
        <v>130</v>
      </c>
      <c r="L54" t="s">
        <v>47</v>
      </c>
      <c r="M54" t="s">
        <v>47</v>
      </c>
      <c r="N54" s="1">
        <v>46030</v>
      </c>
      <c r="O54" s="1">
        <v>46030</v>
      </c>
      <c r="P54" t="s">
        <v>49</v>
      </c>
      <c r="Q54" t="s">
        <v>50</v>
      </c>
      <c r="R54">
        <v>3</v>
      </c>
      <c r="S54" t="b">
        <v>1</v>
      </c>
      <c r="T54" t="s">
        <v>47</v>
      </c>
      <c r="U54" t="s">
        <v>47</v>
      </c>
      <c r="V54" t="s">
        <v>47</v>
      </c>
      <c r="W54" t="s">
        <v>47</v>
      </c>
      <c r="X54" t="s">
        <v>51</v>
      </c>
      <c r="Y54" t="b">
        <v>0</v>
      </c>
      <c r="Z54" t="s">
        <v>47</v>
      </c>
      <c r="AA54" t="s">
        <v>47</v>
      </c>
      <c r="AB54">
        <v>0.6</v>
      </c>
      <c r="AC54" t="b">
        <v>1</v>
      </c>
      <c r="AD54" t="s">
        <v>52</v>
      </c>
      <c r="AE54" t="s">
        <v>457</v>
      </c>
      <c r="AF54" t="s">
        <v>455</v>
      </c>
      <c r="AG54" t="s">
        <v>435</v>
      </c>
      <c r="AH54" t="s">
        <v>55</v>
      </c>
      <c r="AI54" s="2">
        <v>46160.201388888891</v>
      </c>
      <c r="AJ54" t="s">
        <v>47</v>
      </c>
      <c r="AK54" t="s">
        <v>47</v>
      </c>
      <c r="AL54" s="2">
        <v>46160.430555555555</v>
      </c>
      <c r="AM54" s="2">
        <v>46160.430555555555</v>
      </c>
    </row>
    <row r="55" spans="1:39" x14ac:dyDescent="0.3">
      <c r="A55" t="s">
        <v>458</v>
      </c>
      <c r="B55" t="s">
        <v>459</v>
      </c>
      <c r="C55" t="s">
        <v>41</v>
      </c>
      <c r="D55" t="s">
        <v>460</v>
      </c>
      <c r="E55" t="s">
        <v>461</v>
      </c>
      <c r="F55" t="s">
        <v>462</v>
      </c>
      <c r="G55" t="s">
        <v>463</v>
      </c>
      <c r="H55" t="s">
        <v>464</v>
      </c>
      <c r="I55" t="s">
        <v>47</v>
      </c>
      <c r="J55" t="s">
        <v>47</v>
      </c>
      <c r="K55" t="s">
        <v>47</v>
      </c>
      <c r="L55" t="s">
        <v>47</v>
      </c>
      <c r="M55" t="s">
        <v>47</v>
      </c>
      <c r="N55" s="1">
        <v>46030</v>
      </c>
      <c r="O55" s="1">
        <v>46030</v>
      </c>
      <c r="P55" t="s">
        <v>465</v>
      </c>
      <c r="Q55" t="s">
        <v>184</v>
      </c>
      <c r="R55">
        <v>2</v>
      </c>
      <c r="S55" t="b">
        <v>1</v>
      </c>
      <c r="T55" t="s">
        <v>47</v>
      </c>
      <c r="U55" t="s">
        <v>47</v>
      </c>
      <c r="V55" t="s">
        <v>47</v>
      </c>
      <c r="W55" t="s">
        <v>47</v>
      </c>
      <c r="X55" t="s">
        <v>51</v>
      </c>
      <c r="Y55" t="b">
        <v>0</v>
      </c>
      <c r="Z55" t="s">
        <v>47</v>
      </c>
      <c r="AA55" t="s">
        <v>47</v>
      </c>
      <c r="AB55">
        <v>0.55000000000000004</v>
      </c>
      <c r="AC55" t="b">
        <v>1</v>
      </c>
      <c r="AD55" t="s">
        <v>52</v>
      </c>
      <c r="AE55" t="s">
        <v>466</v>
      </c>
      <c r="AF55" t="s">
        <v>460</v>
      </c>
      <c r="AG55" t="s">
        <v>467</v>
      </c>
      <c r="AH55" t="s">
        <v>55</v>
      </c>
      <c r="AI55" s="2">
        <v>46160.270833333336</v>
      </c>
      <c r="AJ55" t="s">
        <v>47</v>
      </c>
      <c r="AK55" t="s">
        <v>47</v>
      </c>
      <c r="AL55" s="2">
        <v>46160.5</v>
      </c>
      <c r="AM55" s="2">
        <v>46160.5</v>
      </c>
    </row>
    <row r="56" spans="1:39" x14ac:dyDescent="0.3">
      <c r="A56" t="s">
        <v>468</v>
      </c>
      <c r="B56" t="s">
        <v>469</v>
      </c>
      <c r="C56" t="s">
        <v>41</v>
      </c>
      <c r="D56" t="s">
        <v>470</v>
      </c>
      <c r="E56" t="s">
        <v>471</v>
      </c>
      <c r="F56" t="s">
        <v>127</v>
      </c>
      <c r="G56" t="s">
        <v>128</v>
      </c>
      <c r="H56" t="s">
        <v>129</v>
      </c>
      <c r="I56" t="s">
        <v>47</v>
      </c>
      <c r="J56" t="s">
        <v>47</v>
      </c>
      <c r="K56" t="s">
        <v>130</v>
      </c>
      <c r="L56" t="s">
        <v>47</v>
      </c>
      <c r="M56" t="s">
        <v>47</v>
      </c>
      <c r="N56" s="1">
        <v>46030</v>
      </c>
      <c r="O56" s="1">
        <v>46030</v>
      </c>
      <c r="P56" t="s">
        <v>49</v>
      </c>
      <c r="Q56" t="s">
        <v>50</v>
      </c>
      <c r="R56">
        <v>3</v>
      </c>
      <c r="S56" t="b">
        <v>1</v>
      </c>
      <c r="T56" t="s">
        <v>47</v>
      </c>
      <c r="U56" t="s">
        <v>47</v>
      </c>
      <c r="V56" t="s">
        <v>47</v>
      </c>
      <c r="W56" t="s">
        <v>47</v>
      </c>
      <c r="X56" t="s">
        <v>51</v>
      </c>
      <c r="Y56" t="b">
        <v>0</v>
      </c>
      <c r="Z56" t="s">
        <v>47</v>
      </c>
      <c r="AA56" t="s">
        <v>47</v>
      </c>
      <c r="AB56">
        <v>0.6</v>
      </c>
      <c r="AC56" t="b">
        <v>1</v>
      </c>
      <c r="AD56" t="s">
        <v>52</v>
      </c>
      <c r="AE56" t="s">
        <v>472</v>
      </c>
      <c r="AF56" t="s">
        <v>470</v>
      </c>
      <c r="AG56" t="s">
        <v>473</v>
      </c>
      <c r="AH56" t="s">
        <v>55</v>
      </c>
      <c r="AI56" s="2">
        <v>46160.201388888891</v>
      </c>
      <c r="AJ56" t="s">
        <v>47</v>
      </c>
      <c r="AK56" t="s">
        <v>47</v>
      </c>
      <c r="AL56" s="2">
        <v>46160.430555555555</v>
      </c>
      <c r="AM56" s="2">
        <v>46160.430555555555</v>
      </c>
    </row>
    <row r="57" spans="1:39" x14ac:dyDescent="0.3">
      <c r="A57" t="s">
        <v>474</v>
      </c>
      <c r="B57" t="s">
        <v>475</v>
      </c>
      <c r="C57" t="s">
        <v>41</v>
      </c>
      <c r="D57" t="s">
        <v>476</v>
      </c>
      <c r="E57" t="s">
        <v>477</v>
      </c>
      <c r="F57" t="s">
        <v>127</v>
      </c>
      <c r="G57" t="s">
        <v>128</v>
      </c>
      <c r="H57" t="s">
        <v>129</v>
      </c>
      <c r="I57" t="s">
        <v>47</v>
      </c>
      <c r="J57" t="s">
        <v>47</v>
      </c>
      <c r="K57" t="s">
        <v>130</v>
      </c>
      <c r="L57" t="s">
        <v>47</v>
      </c>
      <c r="M57" t="s">
        <v>47</v>
      </c>
      <c r="N57" s="1">
        <v>46030</v>
      </c>
      <c r="O57" s="1">
        <v>46030</v>
      </c>
      <c r="P57" t="s">
        <v>49</v>
      </c>
      <c r="Q57" t="s">
        <v>50</v>
      </c>
      <c r="R57">
        <v>3</v>
      </c>
      <c r="S57" t="b">
        <v>1</v>
      </c>
      <c r="T57" t="s">
        <v>47</v>
      </c>
      <c r="U57" t="s">
        <v>47</v>
      </c>
      <c r="V57" t="s">
        <v>47</v>
      </c>
      <c r="W57" t="s">
        <v>47</v>
      </c>
      <c r="X57" t="s">
        <v>51</v>
      </c>
      <c r="Y57" t="b">
        <v>0</v>
      </c>
      <c r="Z57" t="s">
        <v>47</v>
      </c>
      <c r="AA57" t="s">
        <v>47</v>
      </c>
      <c r="AB57">
        <v>0.6</v>
      </c>
      <c r="AC57" t="b">
        <v>1</v>
      </c>
      <c r="AD57" t="s">
        <v>52</v>
      </c>
      <c r="AE57" t="s">
        <v>478</v>
      </c>
      <c r="AF57" t="s">
        <v>476</v>
      </c>
      <c r="AG57" t="s">
        <v>479</v>
      </c>
      <c r="AH57" t="s">
        <v>55</v>
      </c>
      <c r="AI57" s="2">
        <v>46160.201388888891</v>
      </c>
      <c r="AJ57" t="s">
        <v>47</v>
      </c>
      <c r="AK57" t="s">
        <v>47</v>
      </c>
      <c r="AL57" s="2">
        <v>46160.430555555555</v>
      </c>
      <c r="AM57" s="2">
        <v>46160.430555555555</v>
      </c>
    </row>
    <row r="58" spans="1:39" x14ac:dyDescent="0.3">
      <c r="A58" t="s">
        <v>480</v>
      </c>
      <c r="B58" t="s">
        <v>481</v>
      </c>
      <c r="C58" t="s">
        <v>41</v>
      </c>
      <c r="D58" t="s">
        <v>482</v>
      </c>
      <c r="E58" t="s">
        <v>483</v>
      </c>
      <c r="F58" t="s">
        <v>484</v>
      </c>
      <c r="G58" t="s">
        <v>485</v>
      </c>
      <c r="H58" t="s">
        <v>486</v>
      </c>
      <c r="I58" t="s">
        <v>47</v>
      </c>
      <c r="J58" t="s">
        <v>47</v>
      </c>
      <c r="K58" t="s">
        <v>130</v>
      </c>
      <c r="L58" t="s">
        <v>47</v>
      </c>
      <c r="M58" t="s">
        <v>47</v>
      </c>
      <c r="N58" s="1">
        <v>46030</v>
      </c>
      <c r="O58" s="1">
        <v>46030</v>
      </c>
      <c r="P58" t="s">
        <v>49</v>
      </c>
      <c r="Q58" t="s">
        <v>50</v>
      </c>
      <c r="R58">
        <v>3</v>
      </c>
      <c r="S58" t="b">
        <v>1</v>
      </c>
      <c r="T58" t="s">
        <v>47</v>
      </c>
      <c r="U58" t="s">
        <v>47</v>
      </c>
      <c r="V58" t="s">
        <v>47</v>
      </c>
      <c r="W58" t="s">
        <v>47</v>
      </c>
      <c r="X58" t="s">
        <v>51</v>
      </c>
      <c r="Y58" t="b">
        <v>0</v>
      </c>
      <c r="Z58" t="s">
        <v>47</v>
      </c>
      <c r="AA58" t="s">
        <v>47</v>
      </c>
      <c r="AB58">
        <v>0.6</v>
      </c>
      <c r="AC58" t="b">
        <v>1</v>
      </c>
      <c r="AD58" t="s">
        <v>52</v>
      </c>
      <c r="AE58" t="s">
        <v>487</v>
      </c>
      <c r="AF58" t="s">
        <v>482</v>
      </c>
      <c r="AG58" t="s">
        <v>488</v>
      </c>
      <c r="AH58" t="s">
        <v>55</v>
      </c>
      <c r="AI58" s="2">
        <v>46160.270833333336</v>
      </c>
      <c r="AJ58" t="s">
        <v>47</v>
      </c>
      <c r="AK58" t="s">
        <v>47</v>
      </c>
      <c r="AL58" s="2">
        <v>46160.5</v>
      </c>
      <c r="AM58" s="2">
        <v>46160.5</v>
      </c>
    </row>
    <row r="59" spans="1:39" x14ac:dyDescent="0.3">
      <c r="A59" t="s">
        <v>489</v>
      </c>
      <c r="B59" t="s">
        <v>490</v>
      </c>
      <c r="C59" t="s">
        <v>41</v>
      </c>
      <c r="D59" t="s">
        <v>491</v>
      </c>
      <c r="E59" t="s">
        <v>492</v>
      </c>
      <c r="F59" t="s">
        <v>107</v>
      </c>
      <c r="G59" t="s">
        <v>108</v>
      </c>
      <c r="H59" t="s">
        <v>109</v>
      </c>
      <c r="I59" t="s">
        <v>47</v>
      </c>
      <c r="J59" t="s">
        <v>47</v>
      </c>
      <c r="K59" t="s">
        <v>48</v>
      </c>
      <c r="L59" t="s">
        <v>47</v>
      </c>
      <c r="M59" t="s">
        <v>47</v>
      </c>
      <c r="N59" s="1">
        <v>46030</v>
      </c>
      <c r="O59" s="1">
        <v>46030</v>
      </c>
      <c r="P59" t="s">
        <v>49</v>
      </c>
      <c r="Q59" t="s">
        <v>50</v>
      </c>
      <c r="R59">
        <v>2</v>
      </c>
      <c r="S59" t="b">
        <v>0</v>
      </c>
      <c r="T59" t="s">
        <v>47</v>
      </c>
      <c r="U59" t="s">
        <v>47</v>
      </c>
      <c r="V59" t="s">
        <v>47</v>
      </c>
      <c r="W59" t="s">
        <v>47</v>
      </c>
      <c r="X59" t="s">
        <v>51</v>
      </c>
      <c r="Y59" t="b">
        <v>0</v>
      </c>
      <c r="Z59" t="s">
        <v>47</v>
      </c>
      <c r="AA59" t="s">
        <v>47</v>
      </c>
      <c r="AC59" t="b">
        <v>1</v>
      </c>
      <c r="AD59" t="s">
        <v>52</v>
      </c>
      <c r="AE59" t="s">
        <v>493</v>
      </c>
      <c r="AF59" t="s">
        <v>491</v>
      </c>
      <c r="AG59" t="s">
        <v>494</v>
      </c>
      <c r="AH59" t="s">
        <v>55</v>
      </c>
      <c r="AI59" s="2">
        <v>46160.229166666664</v>
      </c>
      <c r="AJ59" t="s">
        <v>47</v>
      </c>
      <c r="AK59" t="s">
        <v>47</v>
      </c>
      <c r="AL59" s="2">
        <v>46160.458333333336</v>
      </c>
      <c r="AM59" s="2">
        <v>46160.458333333336</v>
      </c>
    </row>
    <row r="60" spans="1:39" x14ac:dyDescent="0.3">
      <c r="A60" t="s">
        <v>495</v>
      </c>
      <c r="B60" t="s">
        <v>496</v>
      </c>
      <c r="C60" t="s">
        <v>41</v>
      </c>
      <c r="D60" t="s">
        <v>497</v>
      </c>
      <c r="E60" t="s">
        <v>498</v>
      </c>
      <c r="F60" t="s">
        <v>127</v>
      </c>
      <c r="G60" t="s">
        <v>128</v>
      </c>
      <c r="H60" t="s">
        <v>129</v>
      </c>
      <c r="I60" t="s">
        <v>47</v>
      </c>
      <c r="J60" t="s">
        <v>47</v>
      </c>
      <c r="K60" t="s">
        <v>130</v>
      </c>
      <c r="L60" t="s">
        <v>47</v>
      </c>
      <c r="M60" t="s">
        <v>47</v>
      </c>
      <c r="N60" s="1">
        <v>46030</v>
      </c>
      <c r="O60" s="1">
        <v>46030</v>
      </c>
      <c r="P60" t="s">
        <v>49</v>
      </c>
      <c r="Q60" t="s">
        <v>50</v>
      </c>
      <c r="R60">
        <v>3</v>
      </c>
      <c r="S60" t="b">
        <v>1</v>
      </c>
      <c r="T60" t="s">
        <v>47</v>
      </c>
      <c r="U60" t="s">
        <v>47</v>
      </c>
      <c r="V60" t="s">
        <v>47</v>
      </c>
      <c r="W60" t="s">
        <v>47</v>
      </c>
      <c r="X60" t="s">
        <v>51</v>
      </c>
      <c r="Y60" t="b">
        <v>0</v>
      </c>
      <c r="Z60" t="s">
        <v>47</v>
      </c>
      <c r="AA60" t="s">
        <v>47</v>
      </c>
      <c r="AB60">
        <v>0.6</v>
      </c>
      <c r="AC60" t="b">
        <v>1</v>
      </c>
      <c r="AD60" t="s">
        <v>52</v>
      </c>
      <c r="AE60" t="s">
        <v>499</v>
      </c>
      <c r="AF60" t="s">
        <v>497</v>
      </c>
      <c r="AG60" t="s">
        <v>500</v>
      </c>
      <c r="AH60" t="s">
        <v>55</v>
      </c>
      <c r="AI60" s="2">
        <v>46160.173611111109</v>
      </c>
      <c r="AJ60" t="s">
        <v>47</v>
      </c>
      <c r="AK60" t="s">
        <v>47</v>
      </c>
      <c r="AL60" s="2">
        <v>46160.402777777781</v>
      </c>
      <c r="AM60" s="2">
        <v>46160.402777777781</v>
      </c>
    </row>
    <row r="61" spans="1:39" x14ac:dyDescent="0.3">
      <c r="A61" t="s">
        <v>501</v>
      </c>
      <c r="B61" t="s">
        <v>502</v>
      </c>
      <c r="C61" t="s">
        <v>41</v>
      </c>
      <c r="D61" t="s">
        <v>503</v>
      </c>
      <c r="E61" t="s">
        <v>504</v>
      </c>
      <c r="F61" t="s">
        <v>83</v>
      </c>
      <c r="G61" t="s">
        <v>84</v>
      </c>
      <c r="H61" t="s">
        <v>85</v>
      </c>
      <c r="I61" t="s">
        <v>47</v>
      </c>
      <c r="J61" t="s">
        <v>47</v>
      </c>
      <c r="K61" t="s">
        <v>48</v>
      </c>
      <c r="L61" t="s">
        <v>47</v>
      </c>
      <c r="M61" s="1">
        <v>46030</v>
      </c>
      <c r="N61" s="1">
        <v>46030</v>
      </c>
      <c r="O61" s="1">
        <v>46030</v>
      </c>
      <c r="P61" t="s">
        <v>49</v>
      </c>
      <c r="Q61" t="s">
        <v>50</v>
      </c>
      <c r="R61">
        <v>2</v>
      </c>
      <c r="S61" t="b">
        <v>0</v>
      </c>
      <c r="T61" t="s">
        <v>47</v>
      </c>
      <c r="U61" t="s">
        <v>47</v>
      </c>
      <c r="V61" t="s">
        <v>47</v>
      </c>
      <c r="W61" t="s">
        <v>47</v>
      </c>
      <c r="X61" t="s">
        <v>51</v>
      </c>
      <c r="Y61" t="b">
        <v>0</v>
      </c>
      <c r="Z61" t="s">
        <v>47</v>
      </c>
      <c r="AA61" t="s">
        <v>47</v>
      </c>
      <c r="AB61" t="s">
        <v>47</v>
      </c>
      <c r="AC61" t="b">
        <v>1</v>
      </c>
      <c r="AD61" t="s">
        <v>52</v>
      </c>
      <c r="AE61" t="s">
        <v>505</v>
      </c>
      <c r="AF61" t="s">
        <v>503</v>
      </c>
      <c r="AG61" t="s">
        <v>47</v>
      </c>
      <c r="AH61" t="s">
        <v>87</v>
      </c>
      <c r="AI61" s="2">
        <v>46160.581724537034</v>
      </c>
      <c r="AJ61" t="s">
        <v>47</v>
      </c>
      <c r="AK61" t="s">
        <v>47</v>
      </c>
      <c r="AL61" s="2">
        <v>46160.581724537034</v>
      </c>
      <c r="AM61" s="2">
        <v>46160.581724537034</v>
      </c>
    </row>
    <row r="62" spans="1:39" x14ac:dyDescent="0.3">
      <c r="A62" t="s">
        <v>506</v>
      </c>
      <c r="B62" t="s">
        <v>507</v>
      </c>
      <c r="C62" t="s">
        <v>41</v>
      </c>
      <c r="D62" t="s">
        <v>508</v>
      </c>
      <c r="E62" t="s">
        <v>509</v>
      </c>
      <c r="F62" t="s">
        <v>83</v>
      </c>
      <c r="G62" t="s">
        <v>84</v>
      </c>
      <c r="H62" t="s">
        <v>85</v>
      </c>
      <c r="I62" t="s">
        <v>47</v>
      </c>
      <c r="J62" t="s">
        <v>47</v>
      </c>
      <c r="K62" t="s">
        <v>48</v>
      </c>
      <c r="L62" t="s">
        <v>47</v>
      </c>
      <c r="M62" s="1">
        <v>46030</v>
      </c>
      <c r="N62" s="1">
        <v>46030</v>
      </c>
      <c r="O62" s="1">
        <v>46030</v>
      </c>
      <c r="P62" t="s">
        <v>49</v>
      </c>
      <c r="Q62" t="s">
        <v>50</v>
      </c>
      <c r="R62">
        <v>2</v>
      </c>
      <c r="S62" t="b">
        <v>0</v>
      </c>
      <c r="T62" t="s">
        <v>47</v>
      </c>
      <c r="U62" t="s">
        <v>47</v>
      </c>
      <c r="V62" t="s">
        <v>47</v>
      </c>
      <c r="W62" t="s">
        <v>47</v>
      </c>
      <c r="X62" t="s">
        <v>51</v>
      </c>
      <c r="Y62" t="b">
        <v>0</v>
      </c>
      <c r="Z62" t="s">
        <v>47</v>
      </c>
      <c r="AA62" t="s">
        <v>47</v>
      </c>
      <c r="AB62" t="s">
        <v>47</v>
      </c>
      <c r="AC62" t="b">
        <v>1</v>
      </c>
      <c r="AD62" t="s">
        <v>52</v>
      </c>
      <c r="AE62" t="s">
        <v>510</v>
      </c>
      <c r="AF62" t="s">
        <v>508</v>
      </c>
      <c r="AG62" t="s">
        <v>47</v>
      </c>
      <c r="AH62" t="s">
        <v>87</v>
      </c>
      <c r="AI62" s="2">
        <v>46160.614004629628</v>
      </c>
      <c r="AJ62" t="s">
        <v>47</v>
      </c>
      <c r="AK62" t="s">
        <v>47</v>
      </c>
      <c r="AL62" s="2">
        <v>46160.614004629628</v>
      </c>
      <c r="AM62" s="2">
        <v>46160.614004629628</v>
      </c>
    </row>
    <row r="63" spans="1:39" x14ac:dyDescent="0.3">
      <c r="A63" t="s">
        <v>511</v>
      </c>
      <c r="B63" t="s">
        <v>512</v>
      </c>
      <c r="C63" t="s">
        <v>41</v>
      </c>
      <c r="D63" t="s">
        <v>513</v>
      </c>
      <c r="E63" t="s">
        <v>514</v>
      </c>
      <c r="F63" t="s">
        <v>83</v>
      </c>
      <c r="G63" t="s">
        <v>84</v>
      </c>
      <c r="H63" t="s">
        <v>85</v>
      </c>
      <c r="I63" t="s">
        <v>47</v>
      </c>
      <c r="J63" t="s">
        <v>47</v>
      </c>
      <c r="K63" t="s">
        <v>48</v>
      </c>
      <c r="L63" t="s">
        <v>47</v>
      </c>
      <c r="M63" s="1">
        <v>46030</v>
      </c>
      <c r="N63" s="1">
        <v>46030</v>
      </c>
      <c r="O63" s="1">
        <v>46030</v>
      </c>
      <c r="P63" t="s">
        <v>49</v>
      </c>
      <c r="Q63" t="s">
        <v>50</v>
      </c>
      <c r="R63">
        <v>2</v>
      </c>
      <c r="S63" t="b">
        <v>0</v>
      </c>
      <c r="T63" t="s">
        <v>47</v>
      </c>
      <c r="U63" t="s">
        <v>47</v>
      </c>
      <c r="V63" t="s">
        <v>47</v>
      </c>
      <c r="W63" t="s">
        <v>47</v>
      </c>
      <c r="X63" t="s">
        <v>51</v>
      </c>
      <c r="Y63" t="b">
        <v>0</v>
      </c>
      <c r="Z63" t="s">
        <v>47</v>
      </c>
      <c r="AA63" t="s">
        <v>47</v>
      </c>
      <c r="AB63" t="s">
        <v>47</v>
      </c>
      <c r="AC63" t="b">
        <v>1</v>
      </c>
      <c r="AD63" t="s">
        <v>52</v>
      </c>
      <c r="AE63" t="s">
        <v>515</v>
      </c>
      <c r="AF63" t="s">
        <v>513</v>
      </c>
      <c r="AG63" t="s">
        <v>47</v>
      </c>
      <c r="AH63" t="s">
        <v>87</v>
      </c>
      <c r="AI63" s="2">
        <v>46160.581724537034</v>
      </c>
      <c r="AJ63" t="s">
        <v>47</v>
      </c>
      <c r="AK63" t="s">
        <v>47</v>
      </c>
      <c r="AL63" s="2">
        <v>46160.581724537034</v>
      </c>
      <c r="AM63" s="2">
        <v>46160.581724537034</v>
      </c>
    </row>
    <row r="64" spans="1:39" x14ac:dyDescent="0.3">
      <c r="A64" t="s">
        <v>516</v>
      </c>
      <c r="B64" t="s">
        <v>517</v>
      </c>
      <c r="C64" t="s">
        <v>41</v>
      </c>
      <c r="D64" t="s">
        <v>518</v>
      </c>
      <c r="E64" t="s">
        <v>519</v>
      </c>
      <c r="F64" t="s">
        <v>107</v>
      </c>
      <c r="G64" t="s">
        <v>108</v>
      </c>
      <c r="H64" t="s">
        <v>520</v>
      </c>
      <c r="I64" t="s">
        <v>47</v>
      </c>
      <c r="J64" t="s">
        <v>47</v>
      </c>
      <c r="K64" t="s">
        <v>48</v>
      </c>
      <c r="L64" t="s">
        <v>47</v>
      </c>
      <c r="M64" t="s">
        <v>47</v>
      </c>
      <c r="N64" s="1">
        <v>46030</v>
      </c>
      <c r="O64" s="1">
        <v>46030</v>
      </c>
      <c r="P64" t="s">
        <v>49</v>
      </c>
      <c r="Q64" t="s">
        <v>50</v>
      </c>
      <c r="R64">
        <v>2</v>
      </c>
      <c r="S64" t="b">
        <v>0</v>
      </c>
      <c r="T64" t="s">
        <v>47</v>
      </c>
      <c r="U64" t="s">
        <v>47</v>
      </c>
      <c r="V64" t="s">
        <v>47</v>
      </c>
      <c r="W64" t="s">
        <v>47</v>
      </c>
      <c r="X64" t="s">
        <v>51</v>
      </c>
      <c r="Y64" t="b">
        <v>0</v>
      </c>
      <c r="Z64" t="s">
        <v>47</v>
      </c>
      <c r="AA64" t="s">
        <v>47</v>
      </c>
      <c r="AC64" t="b">
        <v>1</v>
      </c>
      <c r="AD64" t="s">
        <v>52</v>
      </c>
      <c r="AE64" t="s">
        <v>521</v>
      </c>
      <c r="AF64" t="s">
        <v>518</v>
      </c>
      <c r="AG64" t="s">
        <v>522</v>
      </c>
      <c r="AH64" t="s">
        <v>55</v>
      </c>
      <c r="AI64" s="2">
        <v>46160.270833333336</v>
      </c>
      <c r="AJ64" t="s">
        <v>47</v>
      </c>
      <c r="AK64" t="s">
        <v>47</v>
      </c>
      <c r="AL64" s="2">
        <v>46160.5</v>
      </c>
      <c r="AM64" s="2">
        <v>46160.5</v>
      </c>
    </row>
    <row r="65" spans="1:39" x14ac:dyDescent="0.3">
      <c r="A65" t="s">
        <v>523</v>
      </c>
      <c r="B65" t="s">
        <v>524</v>
      </c>
      <c r="C65" t="s">
        <v>41</v>
      </c>
      <c r="D65" t="s">
        <v>525</v>
      </c>
      <c r="E65" t="s">
        <v>526</v>
      </c>
      <c r="F65" t="s">
        <v>83</v>
      </c>
      <c r="G65" t="s">
        <v>84</v>
      </c>
      <c r="H65" t="s">
        <v>85</v>
      </c>
      <c r="I65" t="s">
        <v>47</v>
      </c>
      <c r="J65" t="s">
        <v>47</v>
      </c>
      <c r="K65" t="s">
        <v>48</v>
      </c>
      <c r="L65" t="s">
        <v>47</v>
      </c>
      <c r="M65" s="1">
        <v>46030</v>
      </c>
      <c r="N65" s="1">
        <v>46030</v>
      </c>
      <c r="O65" s="1">
        <v>46030</v>
      </c>
      <c r="P65" t="s">
        <v>49</v>
      </c>
      <c r="Q65" t="s">
        <v>50</v>
      </c>
      <c r="R65">
        <v>2</v>
      </c>
      <c r="S65" t="b">
        <v>0</v>
      </c>
      <c r="T65" t="s">
        <v>47</v>
      </c>
      <c r="U65" t="s">
        <v>47</v>
      </c>
      <c r="V65" t="s">
        <v>47</v>
      </c>
      <c r="W65" t="s">
        <v>47</v>
      </c>
      <c r="X65" t="s">
        <v>51</v>
      </c>
      <c r="Y65" t="b">
        <v>0</v>
      </c>
      <c r="Z65" t="s">
        <v>47</v>
      </c>
      <c r="AA65" t="s">
        <v>47</v>
      </c>
      <c r="AB65" t="s">
        <v>47</v>
      </c>
      <c r="AC65" t="b">
        <v>1</v>
      </c>
      <c r="AD65" t="s">
        <v>52</v>
      </c>
      <c r="AE65" t="s">
        <v>527</v>
      </c>
      <c r="AF65" t="s">
        <v>525</v>
      </c>
      <c r="AG65" t="s">
        <v>47</v>
      </c>
      <c r="AH65" t="s">
        <v>87</v>
      </c>
      <c r="AI65" s="2">
        <v>46160.598310185182</v>
      </c>
      <c r="AJ65" t="s">
        <v>47</v>
      </c>
      <c r="AK65" t="s">
        <v>47</v>
      </c>
      <c r="AL65" s="2">
        <v>46160.598310185182</v>
      </c>
      <c r="AM65" s="2">
        <v>46160.598310185182</v>
      </c>
    </row>
    <row r="66" spans="1:39" x14ac:dyDescent="0.3">
      <c r="A66" s="14" t="s">
        <v>3498</v>
      </c>
      <c r="B66" s="14" t="s">
        <v>3499</v>
      </c>
      <c r="C66" s="14" t="s">
        <v>41</v>
      </c>
      <c r="D66" s="14" t="s">
        <v>3500</v>
      </c>
      <c r="E66" s="14" t="s">
        <v>3501</v>
      </c>
      <c r="F66" s="14" t="s">
        <v>83</v>
      </c>
      <c r="G66" s="14" t="s">
        <v>84</v>
      </c>
      <c r="H66" s="14" t="s">
        <v>85</v>
      </c>
      <c r="I66" s="14" t="s">
        <v>47</v>
      </c>
      <c r="J66" s="14" t="s">
        <v>47</v>
      </c>
      <c r="K66" s="14" t="s">
        <v>48</v>
      </c>
      <c r="L66" s="14" t="s">
        <v>47</v>
      </c>
      <c r="M66" s="1">
        <v>46030</v>
      </c>
      <c r="N66" s="1">
        <v>46030</v>
      </c>
      <c r="O66" s="1">
        <v>46030</v>
      </c>
      <c r="P66" s="14" t="s">
        <v>49</v>
      </c>
      <c r="Q66" s="14" t="s">
        <v>50</v>
      </c>
      <c r="R66">
        <v>2</v>
      </c>
      <c r="S66" t="b">
        <v>0</v>
      </c>
      <c r="T66" s="14" t="s">
        <v>47</v>
      </c>
      <c r="U66" s="14" t="s">
        <v>47</v>
      </c>
      <c r="V66" s="14" t="s">
        <v>47</v>
      </c>
      <c r="W66" s="14" t="s">
        <v>47</v>
      </c>
      <c r="X66" s="14" t="s">
        <v>51</v>
      </c>
      <c r="Y66" t="b">
        <v>0</v>
      </c>
      <c r="Z66" s="14" t="s">
        <v>47</v>
      </c>
      <c r="AA66" s="14" t="s">
        <v>47</v>
      </c>
      <c r="AB66" s="14" t="s">
        <v>47</v>
      </c>
      <c r="AC66" t="b">
        <v>1</v>
      </c>
      <c r="AD66" s="14" t="s">
        <v>52</v>
      </c>
      <c r="AE66" s="14" t="s">
        <v>3502</v>
      </c>
      <c r="AF66" s="14" t="s">
        <v>3500</v>
      </c>
      <c r="AG66" s="14" t="s">
        <v>47</v>
      </c>
      <c r="AH66" s="14" t="s">
        <v>87</v>
      </c>
      <c r="AI66" s="2">
        <v>46160.757951388892</v>
      </c>
      <c r="AJ66" s="14" t="s">
        <v>47</v>
      </c>
      <c r="AK66" s="14" t="s">
        <v>47</v>
      </c>
      <c r="AL66" s="2">
        <v>46160.757951388892</v>
      </c>
      <c r="AM66" s="2">
        <v>46160.757951388892</v>
      </c>
    </row>
    <row r="67" spans="1:39" x14ac:dyDescent="0.3">
      <c r="A67" t="s">
        <v>528</v>
      </c>
      <c r="B67" t="s">
        <v>529</v>
      </c>
      <c r="C67" t="s">
        <v>41</v>
      </c>
      <c r="D67" t="s">
        <v>530</v>
      </c>
      <c r="E67" t="s">
        <v>531</v>
      </c>
      <c r="F67" t="s">
        <v>107</v>
      </c>
      <c r="G67" t="s">
        <v>108</v>
      </c>
      <c r="H67" t="s">
        <v>109</v>
      </c>
      <c r="I67" t="s">
        <v>47</v>
      </c>
      <c r="J67" t="s">
        <v>47</v>
      </c>
      <c r="K67" t="s">
        <v>48</v>
      </c>
      <c r="L67" t="s">
        <v>47</v>
      </c>
      <c r="M67" t="s">
        <v>47</v>
      </c>
      <c r="N67" s="1">
        <v>46030</v>
      </c>
      <c r="O67" s="1">
        <v>46030</v>
      </c>
      <c r="P67" t="s">
        <v>49</v>
      </c>
      <c r="Q67" t="s">
        <v>50</v>
      </c>
      <c r="R67">
        <v>2</v>
      </c>
      <c r="S67" t="b">
        <v>0</v>
      </c>
      <c r="T67" t="s">
        <v>47</v>
      </c>
      <c r="U67" t="s">
        <v>47</v>
      </c>
      <c r="V67" t="s">
        <v>47</v>
      </c>
      <c r="W67" t="s">
        <v>47</v>
      </c>
      <c r="X67" t="s">
        <v>51</v>
      </c>
      <c r="Y67" t="b">
        <v>0</v>
      </c>
      <c r="Z67" t="s">
        <v>47</v>
      </c>
      <c r="AA67" t="s">
        <v>47</v>
      </c>
      <c r="AC67" t="b">
        <v>1</v>
      </c>
      <c r="AD67" t="s">
        <v>52</v>
      </c>
      <c r="AE67" t="s">
        <v>532</v>
      </c>
      <c r="AF67" t="s">
        <v>530</v>
      </c>
      <c r="AG67" t="s">
        <v>533</v>
      </c>
      <c r="AH67" t="s">
        <v>55</v>
      </c>
      <c r="AI67" s="2">
        <v>46160.25</v>
      </c>
      <c r="AJ67" t="s">
        <v>47</v>
      </c>
      <c r="AK67" t="s">
        <v>47</v>
      </c>
      <c r="AL67" s="2">
        <v>46160.479166666664</v>
      </c>
      <c r="AM67" s="2">
        <v>46160.479166666664</v>
      </c>
    </row>
    <row r="68" spans="1:39" x14ac:dyDescent="0.3">
      <c r="A68" t="s">
        <v>534</v>
      </c>
      <c r="B68" t="s">
        <v>535</v>
      </c>
      <c r="C68" t="s">
        <v>41</v>
      </c>
      <c r="D68" t="s">
        <v>536</v>
      </c>
      <c r="E68" t="s">
        <v>537</v>
      </c>
      <c r="F68" t="s">
        <v>83</v>
      </c>
      <c r="G68" t="s">
        <v>84</v>
      </c>
      <c r="H68" t="s">
        <v>85</v>
      </c>
      <c r="I68" t="s">
        <v>47</v>
      </c>
      <c r="J68" t="s">
        <v>47</v>
      </c>
      <c r="K68" t="s">
        <v>48</v>
      </c>
      <c r="L68" t="s">
        <v>47</v>
      </c>
      <c r="M68" s="1">
        <v>46030</v>
      </c>
      <c r="N68" s="1">
        <v>46030</v>
      </c>
      <c r="O68" s="1">
        <v>46030</v>
      </c>
      <c r="P68" t="s">
        <v>49</v>
      </c>
      <c r="Q68" t="s">
        <v>50</v>
      </c>
      <c r="R68">
        <v>2</v>
      </c>
      <c r="S68" t="b">
        <v>0</v>
      </c>
      <c r="T68" t="s">
        <v>47</v>
      </c>
      <c r="U68" t="s">
        <v>47</v>
      </c>
      <c r="V68" t="s">
        <v>47</v>
      </c>
      <c r="W68" t="s">
        <v>47</v>
      </c>
      <c r="X68" t="s">
        <v>51</v>
      </c>
      <c r="Y68" t="b">
        <v>0</v>
      </c>
      <c r="Z68" t="s">
        <v>47</v>
      </c>
      <c r="AA68" t="s">
        <v>47</v>
      </c>
      <c r="AB68" t="s">
        <v>47</v>
      </c>
      <c r="AC68" t="b">
        <v>1</v>
      </c>
      <c r="AD68" t="s">
        <v>52</v>
      </c>
      <c r="AE68" t="s">
        <v>538</v>
      </c>
      <c r="AF68" t="s">
        <v>536</v>
      </c>
      <c r="AG68" t="s">
        <v>47</v>
      </c>
      <c r="AH68" t="s">
        <v>87</v>
      </c>
      <c r="AI68" s="2">
        <v>46160.614004629628</v>
      </c>
      <c r="AJ68" t="s">
        <v>47</v>
      </c>
      <c r="AK68" t="s">
        <v>47</v>
      </c>
      <c r="AL68" s="2">
        <v>46160.614004629628</v>
      </c>
      <c r="AM68" s="2">
        <v>46160.614004629628</v>
      </c>
    </row>
    <row r="69" spans="1:39" x14ac:dyDescent="0.3">
      <c r="A69" t="s">
        <v>539</v>
      </c>
      <c r="B69" t="s">
        <v>540</v>
      </c>
      <c r="C69" t="s">
        <v>41</v>
      </c>
      <c r="D69" t="s">
        <v>541</v>
      </c>
      <c r="E69" t="s">
        <v>542</v>
      </c>
      <c r="F69" t="s">
        <v>83</v>
      </c>
      <c r="G69" t="s">
        <v>84</v>
      </c>
      <c r="H69" t="s">
        <v>85</v>
      </c>
      <c r="I69" t="s">
        <v>47</v>
      </c>
      <c r="J69" t="s">
        <v>47</v>
      </c>
      <c r="K69" t="s">
        <v>48</v>
      </c>
      <c r="L69" t="s">
        <v>47</v>
      </c>
      <c r="M69" s="1">
        <v>46030</v>
      </c>
      <c r="N69" s="1">
        <v>46030</v>
      </c>
      <c r="O69" s="1">
        <v>46030</v>
      </c>
      <c r="P69" t="s">
        <v>49</v>
      </c>
      <c r="Q69" t="s">
        <v>50</v>
      </c>
      <c r="R69">
        <v>2</v>
      </c>
      <c r="S69" t="b">
        <v>0</v>
      </c>
      <c r="T69" t="s">
        <v>47</v>
      </c>
      <c r="U69" t="s">
        <v>47</v>
      </c>
      <c r="V69" t="s">
        <v>47</v>
      </c>
      <c r="W69" t="s">
        <v>47</v>
      </c>
      <c r="X69" t="s">
        <v>51</v>
      </c>
      <c r="Y69" t="b">
        <v>0</v>
      </c>
      <c r="Z69" t="s">
        <v>47</v>
      </c>
      <c r="AA69" t="s">
        <v>47</v>
      </c>
      <c r="AB69" t="s">
        <v>47</v>
      </c>
      <c r="AC69" t="b">
        <v>1</v>
      </c>
      <c r="AD69" t="s">
        <v>52</v>
      </c>
      <c r="AE69" t="s">
        <v>543</v>
      </c>
      <c r="AF69" t="s">
        <v>541</v>
      </c>
      <c r="AG69" t="s">
        <v>47</v>
      </c>
      <c r="AH69" t="s">
        <v>87</v>
      </c>
      <c r="AI69" s="2">
        <v>46160.565381944441</v>
      </c>
      <c r="AJ69" t="s">
        <v>47</v>
      </c>
      <c r="AK69" t="s">
        <v>47</v>
      </c>
      <c r="AL69" s="2">
        <v>46160.565381944441</v>
      </c>
      <c r="AM69" s="2">
        <v>46160.565381944441</v>
      </c>
    </row>
    <row r="70" spans="1:39" x14ac:dyDescent="0.3">
      <c r="A70" t="s">
        <v>544</v>
      </c>
      <c r="B70" t="s">
        <v>545</v>
      </c>
      <c r="C70" t="s">
        <v>41</v>
      </c>
      <c r="D70" t="s">
        <v>546</v>
      </c>
      <c r="E70" t="s">
        <v>547</v>
      </c>
      <c r="F70" t="s">
        <v>548</v>
      </c>
      <c r="G70" t="s">
        <v>549</v>
      </c>
      <c r="H70" t="s">
        <v>550</v>
      </c>
      <c r="I70" t="s">
        <v>47</v>
      </c>
      <c r="J70" t="s">
        <v>47</v>
      </c>
      <c r="K70" t="s">
        <v>551</v>
      </c>
      <c r="L70" t="s">
        <v>47</v>
      </c>
      <c r="M70" t="s">
        <v>47</v>
      </c>
      <c r="N70" s="1">
        <v>46030</v>
      </c>
      <c r="O70" s="1">
        <v>46030</v>
      </c>
      <c r="P70" t="s">
        <v>64</v>
      </c>
      <c r="Q70" t="s">
        <v>50</v>
      </c>
      <c r="R70">
        <v>2</v>
      </c>
      <c r="S70" t="b">
        <v>0</v>
      </c>
      <c r="T70" t="s">
        <v>47</v>
      </c>
      <c r="U70" t="s">
        <v>47</v>
      </c>
      <c r="V70" t="s">
        <v>47</v>
      </c>
      <c r="W70" t="s">
        <v>47</v>
      </c>
      <c r="X70" t="s">
        <v>51</v>
      </c>
      <c r="Y70" t="b">
        <v>0</v>
      </c>
      <c r="Z70" t="s">
        <v>47</v>
      </c>
      <c r="AA70" t="s">
        <v>47</v>
      </c>
      <c r="AC70" t="b">
        <v>1</v>
      </c>
      <c r="AD70" t="s">
        <v>52</v>
      </c>
      <c r="AE70" t="s">
        <v>552</v>
      </c>
      <c r="AF70" t="s">
        <v>546</v>
      </c>
      <c r="AG70" t="s">
        <v>553</v>
      </c>
      <c r="AH70" t="s">
        <v>55</v>
      </c>
      <c r="AI70" s="2">
        <v>46160.270833333336</v>
      </c>
      <c r="AJ70" t="s">
        <v>47</v>
      </c>
      <c r="AK70" t="s">
        <v>47</v>
      </c>
      <c r="AL70" s="2">
        <v>46160.5</v>
      </c>
      <c r="AM70" s="2">
        <v>46160.5</v>
      </c>
    </row>
    <row r="71" spans="1:39" x14ac:dyDescent="0.3">
      <c r="A71" t="s">
        <v>554</v>
      </c>
      <c r="B71" t="s">
        <v>555</v>
      </c>
      <c r="C71" t="s">
        <v>41</v>
      </c>
      <c r="D71" t="s">
        <v>556</v>
      </c>
      <c r="E71" t="s">
        <v>557</v>
      </c>
      <c r="F71" t="s">
        <v>558</v>
      </c>
      <c r="G71" t="s">
        <v>559</v>
      </c>
      <c r="H71" t="s">
        <v>560</v>
      </c>
      <c r="I71" t="s">
        <v>47</v>
      </c>
      <c r="J71" t="s">
        <v>47</v>
      </c>
      <c r="K71" t="s">
        <v>253</v>
      </c>
      <c r="L71" t="s">
        <v>47</v>
      </c>
      <c r="M71" s="1">
        <v>46030</v>
      </c>
      <c r="N71" s="1">
        <v>46030</v>
      </c>
      <c r="O71" s="1">
        <v>46030</v>
      </c>
      <c r="P71" t="s">
        <v>254</v>
      </c>
      <c r="Q71" t="s">
        <v>50</v>
      </c>
      <c r="R71">
        <v>1</v>
      </c>
      <c r="S71" t="b">
        <v>0</v>
      </c>
      <c r="T71" t="s">
        <v>47</v>
      </c>
      <c r="U71" t="s">
        <v>47</v>
      </c>
      <c r="V71" t="s">
        <v>47</v>
      </c>
      <c r="W71" t="s">
        <v>47</v>
      </c>
      <c r="X71" t="s">
        <v>51</v>
      </c>
      <c r="Y71" t="b">
        <v>0</v>
      </c>
      <c r="Z71" t="s">
        <v>47</v>
      </c>
      <c r="AA71" t="s">
        <v>47</v>
      </c>
      <c r="AB71" t="s">
        <v>47</v>
      </c>
      <c r="AC71" t="b">
        <v>1</v>
      </c>
      <c r="AD71" t="s">
        <v>52</v>
      </c>
      <c r="AE71" t="s">
        <v>561</v>
      </c>
      <c r="AF71" t="s">
        <v>556</v>
      </c>
      <c r="AG71" t="s">
        <v>47</v>
      </c>
      <c r="AH71" t="s">
        <v>87</v>
      </c>
      <c r="AI71" s="2">
        <v>46160.581724537034</v>
      </c>
      <c r="AJ71" t="s">
        <v>47</v>
      </c>
      <c r="AK71" t="s">
        <v>47</v>
      </c>
      <c r="AL71" s="2">
        <v>46160.581724537034</v>
      </c>
      <c r="AM71" s="2">
        <v>46160.581724537034</v>
      </c>
    </row>
    <row r="72" spans="1:39" x14ac:dyDescent="0.3">
      <c r="A72" t="s">
        <v>562</v>
      </c>
      <c r="B72" t="s">
        <v>563</v>
      </c>
      <c r="C72" t="s">
        <v>41</v>
      </c>
      <c r="D72" t="s">
        <v>564</v>
      </c>
      <c r="E72" t="s">
        <v>565</v>
      </c>
      <c r="F72" t="s">
        <v>83</v>
      </c>
      <c r="G72" t="s">
        <v>84</v>
      </c>
      <c r="H72" t="s">
        <v>85</v>
      </c>
      <c r="I72" t="s">
        <v>47</v>
      </c>
      <c r="J72" t="s">
        <v>47</v>
      </c>
      <c r="K72" t="s">
        <v>48</v>
      </c>
      <c r="L72" t="s">
        <v>47</v>
      </c>
      <c r="M72" s="1">
        <v>46030</v>
      </c>
      <c r="N72" s="1">
        <v>46030</v>
      </c>
      <c r="O72" s="1">
        <v>46030</v>
      </c>
      <c r="P72" t="s">
        <v>49</v>
      </c>
      <c r="Q72" t="s">
        <v>50</v>
      </c>
      <c r="R72">
        <v>2</v>
      </c>
      <c r="S72" t="b">
        <v>0</v>
      </c>
      <c r="T72" t="s">
        <v>47</v>
      </c>
      <c r="U72" t="s">
        <v>47</v>
      </c>
      <c r="V72" t="s">
        <v>47</v>
      </c>
      <c r="W72" t="s">
        <v>47</v>
      </c>
      <c r="X72" t="s">
        <v>51</v>
      </c>
      <c r="Y72" t="b">
        <v>0</v>
      </c>
      <c r="Z72" t="s">
        <v>47</v>
      </c>
      <c r="AA72" t="s">
        <v>47</v>
      </c>
      <c r="AB72" t="s">
        <v>47</v>
      </c>
      <c r="AC72" t="b">
        <v>1</v>
      </c>
      <c r="AD72" t="s">
        <v>52</v>
      </c>
      <c r="AE72" t="s">
        <v>566</v>
      </c>
      <c r="AF72" t="s">
        <v>564</v>
      </c>
      <c r="AG72" t="s">
        <v>47</v>
      </c>
      <c r="AH72" t="s">
        <v>87</v>
      </c>
      <c r="AI72" s="2">
        <v>46160.598310185182</v>
      </c>
      <c r="AJ72" t="s">
        <v>47</v>
      </c>
      <c r="AK72" t="s">
        <v>47</v>
      </c>
      <c r="AL72" s="2">
        <v>46160.598310185182</v>
      </c>
      <c r="AM72" s="2">
        <v>46160.598310185182</v>
      </c>
    </row>
    <row r="73" spans="1:39" x14ac:dyDescent="0.3">
      <c r="A73" t="s">
        <v>567</v>
      </c>
      <c r="B73" t="s">
        <v>568</v>
      </c>
      <c r="C73" t="s">
        <v>41</v>
      </c>
      <c r="D73" t="s">
        <v>569</v>
      </c>
      <c r="E73" t="s">
        <v>570</v>
      </c>
      <c r="F73" t="s">
        <v>83</v>
      </c>
      <c r="G73" t="s">
        <v>84</v>
      </c>
      <c r="H73" t="s">
        <v>85</v>
      </c>
      <c r="I73" t="s">
        <v>47</v>
      </c>
      <c r="J73" t="s">
        <v>47</v>
      </c>
      <c r="K73" t="s">
        <v>48</v>
      </c>
      <c r="L73" t="s">
        <v>47</v>
      </c>
      <c r="M73" s="1">
        <v>46030</v>
      </c>
      <c r="N73" s="1">
        <v>46030</v>
      </c>
      <c r="O73" s="1">
        <v>46030</v>
      </c>
      <c r="P73" t="s">
        <v>49</v>
      </c>
      <c r="Q73" t="s">
        <v>50</v>
      </c>
      <c r="R73">
        <v>2</v>
      </c>
      <c r="S73" t="b">
        <v>0</v>
      </c>
      <c r="T73" t="s">
        <v>47</v>
      </c>
      <c r="U73" t="s">
        <v>47</v>
      </c>
      <c r="V73" t="s">
        <v>47</v>
      </c>
      <c r="W73" t="s">
        <v>47</v>
      </c>
      <c r="X73" t="s">
        <v>51</v>
      </c>
      <c r="Y73" t="b">
        <v>0</v>
      </c>
      <c r="Z73" t="s">
        <v>47</v>
      </c>
      <c r="AA73" t="s">
        <v>47</v>
      </c>
      <c r="AB73" t="s">
        <v>47</v>
      </c>
      <c r="AC73" t="b">
        <v>1</v>
      </c>
      <c r="AD73" t="s">
        <v>52</v>
      </c>
      <c r="AE73" t="s">
        <v>571</v>
      </c>
      <c r="AF73" t="s">
        <v>569</v>
      </c>
      <c r="AG73" t="s">
        <v>47</v>
      </c>
      <c r="AH73" t="s">
        <v>87</v>
      </c>
      <c r="AI73" s="2">
        <v>46160.565381944441</v>
      </c>
      <c r="AJ73" t="s">
        <v>47</v>
      </c>
      <c r="AK73" t="s">
        <v>47</v>
      </c>
      <c r="AL73" s="2">
        <v>46160.565381944441</v>
      </c>
      <c r="AM73" s="2">
        <v>46160.565381944441</v>
      </c>
    </row>
    <row r="74" spans="1:39" x14ac:dyDescent="0.3">
      <c r="A74" t="s">
        <v>572</v>
      </c>
      <c r="B74" t="s">
        <v>573</v>
      </c>
      <c r="C74" t="s">
        <v>41</v>
      </c>
      <c r="D74" t="s">
        <v>574</v>
      </c>
      <c r="E74" t="s">
        <v>575</v>
      </c>
      <c r="F74" t="s">
        <v>83</v>
      </c>
      <c r="G74" t="s">
        <v>84</v>
      </c>
      <c r="H74" t="s">
        <v>85</v>
      </c>
      <c r="I74" t="s">
        <v>47</v>
      </c>
      <c r="J74" t="s">
        <v>47</v>
      </c>
      <c r="K74" t="s">
        <v>48</v>
      </c>
      <c r="L74" t="s">
        <v>47</v>
      </c>
      <c r="M74" s="1">
        <v>46030</v>
      </c>
      <c r="N74" s="1">
        <v>46030</v>
      </c>
      <c r="O74" s="1">
        <v>46030</v>
      </c>
      <c r="P74" t="s">
        <v>49</v>
      </c>
      <c r="Q74" t="s">
        <v>50</v>
      </c>
      <c r="R74">
        <v>2</v>
      </c>
      <c r="S74" t="b">
        <v>0</v>
      </c>
      <c r="T74" t="s">
        <v>47</v>
      </c>
      <c r="U74" t="s">
        <v>47</v>
      </c>
      <c r="V74" t="s">
        <v>47</v>
      </c>
      <c r="W74" t="s">
        <v>47</v>
      </c>
      <c r="X74" t="s">
        <v>51</v>
      </c>
      <c r="Y74" t="b">
        <v>0</v>
      </c>
      <c r="Z74" t="s">
        <v>47</v>
      </c>
      <c r="AA74" t="s">
        <v>47</v>
      </c>
      <c r="AB74" t="s">
        <v>47</v>
      </c>
      <c r="AC74" t="b">
        <v>1</v>
      </c>
      <c r="AD74" t="s">
        <v>52</v>
      </c>
      <c r="AE74" t="s">
        <v>576</v>
      </c>
      <c r="AF74" t="s">
        <v>574</v>
      </c>
      <c r="AG74" t="s">
        <v>47</v>
      </c>
      <c r="AH74" t="s">
        <v>87</v>
      </c>
      <c r="AI74" s="2">
        <v>46160.565381944441</v>
      </c>
      <c r="AJ74" t="s">
        <v>47</v>
      </c>
      <c r="AK74" t="s">
        <v>47</v>
      </c>
      <c r="AL74" s="2">
        <v>46160.565381944441</v>
      </c>
      <c r="AM74" s="2">
        <v>46160.565381944441</v>
      </c>
    </row>
    <row r="75" spans="1:39" x14ac:dyDescent="0.3">
      <c r="A75" t="s">
        <v>577</v>
      </c>
      <c r="B75" t="s">
        <v>578</v>
      </c>
      <c r="C75" t="s">
        <v>41</v>
      </c>
      <c r="D75" t="s">
        <v>579</v>
      </c>
      <c r="E75" t="s">
        <v>580</v>
      </c>
      <c r="F75" t="s">
        <v>107</v>
      </c>
      <c r="G75" t="s">
        <v>108</v>
      </c>
      <c r="H75" t="s">
        <v>109</v>
      </c>
      <c r="I75" t="s">
        <v>47</v>
      </c>
      <c r="J75" t="s">
        <v>47</v>
      </c>
      <c r="K75" t="s">
        <v>48</v>
      </c>
      <c r="L75" t="s">
        <v>47</v>
      </c>
      <c r="M75" t="s">
        <v>47</v>
      </c>
      <c r="N75" s="1">
        <v>46030</v>
      </c>
      <c r="O75" s="1">
        <v>46030</v>
      </c>
      <c r="P75" t="s">
        <v>49</v>
      </c>
      <c r="Q75" t="s">
        <v>50</v>
      </c>
      <c r="R75">
        <v>2</v>
      </c>
      <c r="S75" t="b">
        <v>0</v>
      </c>
      <c r="T75" t="s">
        <v>47</v>
      </c>
      <c r="U75" t="s">
        <v>47</v>
      </c>
      <c r="V75" t="s">
        <v>47</v>
      </c>
      <c r="W75" t="s">
        <v>47</v>
      </c>
      <c r="X75" t="s">
        <v>51</v>
      </c>
      <c r="Y75" t="b">
        <v>0</v>
      </c>
      <c r="Z75" t="s">
        <v>47</v>
      </c>
      <c r="AA75" t="s">
        <v>47</v>
      </c>
      <c r="AC75" t="b">
        <v>1</v>
      </c>
      <c r="AD75" t="s">
        <v>52</v>
      </c>
      <c r="AE75" t="s">
        <v>581</v>
      </c>
      <c r="AF75" t="s">
        <v>579</v>
      </c>
      <c r="AG75" t="s">
        <v>582</v>
      </c>
      <c r="AH75" t="s">
        <v>55</v>
      </c>
      <c r="AI75" s="2">
        <v>46160.25</v>
      </c>
      <c r="AJ75" t="s">
        <v>47</v>
      </c>
      <c r="AK75" t="s">
        <v>47</v>
      </c>
      <c r="AL75" s="2">
        <v>46160.479166666664</v>
      </c>
      <c r="AM75" s="2">
        <v>46160.479166666664</v>
      </c>
    </row>
    <row r="76" spans="1:39" x14ac:dyDescent="0.3">
      <c r="A76" t="s">
        <v>583</v>
      </c>
      <c r="B76" t="s">
        <v>584</v>
      </c>
      <c r="C76" t="s">
        <v>41</v>
      </c>
      <c r="D76" t="s">
        <v>585</v>
      </c>
      <c r="E76" t="s">
        <v>586</v>
      </c>
      <c r="F76" t="s">
        <v>127</v>
      </c>
      <c r="G76" t="s">
        <v>128</v>
      </c>
      <c r="H76" t="s">
        <v>129</v>
      </c>
      <c r="I76" t="s">
        <v>47</v>
      </c>
      <c r="J76" t="s">
        <v>47</v>
      </c>
      <c r="K76" t="s">
        <v>130</v>
      </c>
      <c r="L76" t="s">
        <v>47</v>
      </c>
      <c r="M76" t="s">
        <v>47</v>
      </c>
      <c r="N76" s="1">
        <v>46031</v>
      </c>
      <c r="O76" s="1">
        <v>46031</v>
      </c>
      <c r="P76" t="s">
        <v>49</v>
      </c>
      <c r="Q76" t="s">
        <v>50</v>
      </c>
      <c r="R76">
        <v>3</v>
      </c>
      <c r="S76" t="b">
        <v>1</v>
      </c>
      <c r="T76" t="s">
        <v>47</v>
      </c>
      <c r="U76" t="s">
        <v>47</v>
      </c>
      <c r="V76" t="s">
        <v>47</v>
      </c>
      <c r="W76" t="s">
        <v>47</v>
      </c>
      <c r="X76" t="s">
        <v>51</v>
      </c>
      <c r="Y76" t="b">
        <v>0</v>
      </c>
      <c r="Z76" t="s">
        <v>47</v>
      </c>
      <c r="AA76" t="s">
        <v>47</v>
      </c>
      <c r="AB76">
        <v>0.6</v>
      </c>
      <c r="AC76" t="b">
        <v>1</v>
      </c>
      <c r="AD76" t="s">
        <v>52</v>
      </c>
      <c r="AE76" t="s">
        <v>587</v>
      </c>
      <c r="AF76" t="s">
        <v>585</v>
      </c>
      <c r="AG76" t="s">
        <v>588</v>
      </c>
      <c r="AH76" t="s">
        <v>55</v>
      </c>
      <c r="AI76" s="2">
        <v>46160.173611111109</v>
      </c>
      <c r="AJ76" t="s">
        <v>47</v>
      </c>
      <c r="AK76" t="s">
        <v>47</v>
      </c>
      <c r="AL76" s="2">
        <v>46160.402777777781</v>
      </c>
      <c r="AM76" s="2">
        <v>46160.402777777781</v>
      </c>
    </row>
    <row r="77" spans="1:39" x14ac:dyDescent="0.3">
      <c r="A77" t="s">
        <v>589</v>
      </c>
      <c r="B77" t="s">
        <v>590</v>
      </c>
      <c r="C77" t="s">
        <v>41</v>
      </c>
      <c r="D77" t="s">
        <v>591</v>
      </c>
      <c r="E77" t="s">
        <v>592</v>
      </c>
      <c r="F77" t="s">
        <v>593</v>
      </c>
      <c r="G77" t="s">
        <v>594</v>
      </c>
      <c r="H77" t="s">
        <v>595</v>
      </c>
      <c r="I77" t="s">
        <v>47</v>
      </c>
      <c r="J77" t="s">
        <v>47</v>
      </c>
      <c r="K77" t="s">
        <v>130</v>
      </c>
      <c r="L77" t="s">
        <v>47</v>
      </c>
      <c r="M77" t="s">
        <v>47</v>
      </c>
      <c r="N77" s="1">
        <v>46031</v>
      </c>
      <c r="O77" s="1">
        <v>46031</v>
      </c>
      <c r="P77" t="s">
        <v>49</v>
      </c>
      <c r="Q77" t="s">
        <v>50</v>
      </c>
      <c r="R77">
        <v>3</v>
      </c>
      <c r="S77" t="b">
        <v>1</v>
      </c>
      <c r="T77" t="s">
        <v>47</v>
      </c>
      <c r="U77" t="s">
        <v>47</v>
      </c>
      <c r="V77" t="s">
        <v>47</v>
      </c>
      <c r="W77" t="s">
        <v>47</v>
      </c>
      <c r="X77" t="s">
        <v>51</v>
      </c>
      <c r="Y77" t="b">
        <v>0</v>
      </c>
      <c r="Z77" t="s">
        <v>47</v>
      </c>
      <c r="AA77" t="s">
        <v>47</v>
      </c>
      <c r="AB77">
        <v>0.6</v>
      </c>
      <c r="AC77" t="b">
        <v>1</v>
      </c>
      <c r="AD77" t="s">
        <v>52</v>
      </c>
      <c r="AE77" t="s">
        <v>596</v>
      </c>
      <c r="AF77" t="s">
        <v>591</v>
      </c>
      <c r="AG77" t="s">
        <v>597</v>
      </c>
      <c r="AH77" t="s">
        <v>55</v>
      </c>
      <c r="AI77" s="2">
        <v>46160.25</v>
      </c>
      <c r="AJ77" t="s">
        <v>47</v>
      </c>
      <c r="AK77" t="s">
        <v>47</v>
      </c>
      <c r="AL77" s="2">
        <v>46160.479166666664</v>
      </c>
      <c r="AM77" s="2">
        <v>46160.479166666664</v>
      </c>
    </row>
    <row r="78" spans="1:39" x14ac:dyDescent="0.3">
      <c r="A78" t="s">
        <v>598</v>
      </c>
      <c r="B78" t="s">
        <v>599</v>
      </c>
      <c r="C78" t="s">
        <v>41</v>
      </c>
      <c r="D78" t="s">
        <v>600</v>
      </c>
      <c r="E78" t="s">
        <v>601</v>
      </c>
      <c r="F78" t="s">
        <v>602</v>
      </c>
      <c r="G78" t="s">
        <v>603</v>
      </c>
      <c r="H78" t="s">
        <v>604</v>
      </c>
      <c r="I78" t="s">
        <v>47</v>
      </c>
      <c r="J78" t="s">
        <v>47</v>
      </c>
      <c r="K78" t="s">
        <v>605</v>
      </c>
      <c r="L78" t="s">
        <v>47</v>
      </c>
      <c r="M78" t="s">
        <v>47</v>
      </c>
      <c r="N78" s="1">
        <v>46031</v>
      </c>
      <c r="O78" s="1">
        <v>46031</v>
      </c>
      <c r="P78" t="s">
        <v>606</v>
      </c>
      <c r="Q78" t="s">
        <v>50</v>
      </c>
      <c r="R78">
        <v>2</v>
      </c>
      <c r="S78" t="b">
        <v>1</v>
      </c>
      <c r="T78" t="s">
        <v>47</v>
      </c>
      <c r="U78" t="s">
        <v>47</v>
      </c>
      <c r="V78" t="s">
        <v>47</v>
      </c>
      <c r="W78" t="s">
        <v>47</v>
      </c>
      <c r="X78" t="s">
        <v>51</v>
      </c>
      <c r="Y78" t="b">
        <v>0</v>
      </c>
      <c r="Z78" t="s">
        <v>47</v>
      </c>
      <c r="AA78" t="s">
        <v>47</v>
      </c>
      <c r="AB78">
        <v>0.5</v>
      </c>
      <c r="AC78" t="b">
        <v>1</v>
      </c>
      <c r="AD78" t="s">
        <v>52</v>
      </c>
      <c r="AE78" t="s">
        <v>607</v>
      </c>
      <c r="AF78" t="s">
        <v>600</v>
      </c>
      <c r="AG78" t="s">
        <v>608</v>
      </c>
      <c r="AH78" t="s">
        <v>55</v>
      </c>
      <c r="AI78" s="2">
        <v>46160.173611111109</v>
      </c>
      <c r="AJ78" t="s">
        <v>47</v>
      </c>
      <c r="AK78" t="s">
        <v>47</v>
      </c>
      <c r="AL78" s="2">
        <v>46160.402777777781</v>
      </c>
      <c r="AM78" s="2">
        <v>46160.402777777781</v>
      </c>
    </row>
    <row r="79" spans="1:39" x14ac:dyDescent="0.3">
      <c r="A79" t="s">
        <v>609</v>
      </c>
      <c r="B79" t="s">
        <v>610</v>
      </c>
      <c r="C79" t="s">
        <v>41</v>
      </c>
      <c r="D79" t="s">
        <v>611</v>
      </c>
      <c r="E79" t="s">
        <v>612</v>
      </c>
      <c r="F79" t="s">
        <v>83</v>
      </c>
      <c r="G79" t="s">
        <v>84</v>
      </c>
      <c r="H79" t="s">
        <v>85</v>
      </c>
      <c r="I79" t="s">
        <v>47</v>
      </c>
      <c r="J79" t="s">
        <v>47</v>
      </c>
      <c r="K79" t="s">
        <v>48</v>
      </c>
      <c r="L79" t="s">
        <v>47</v>
      </c>
      <c r="M79" s="1">
        <v>46031</v>
      </c>
      <c r="N79" s="1">
        <v>46031</v>
      </c>
      <c r="O79" s="1">
        <v>46031</v>
      </c>
      <c r="P79" t="s">
        <v>49</v>
      </c>
      <c r="Q79" t="s">
        <v>50</v>
      </c>
      <c r="R79">
        <v>2</v>
      </c>
      <c r="S79" t="b">
        <v>0</v>
      </c>
      <c r="T79" t="s">
        <v>47</v>
      </c>
      <c r="U79" t="s">
        <v>47</v>
      </c>
      <c r="V79" t="s">
        <v>47</v>
      </c>
      <c r="W79" t="s">
        <v>47</v>
      </c>
      <c r="X79" t="s">
        <v>51</v>
      </c>
      <c r="Y79" t="b">
        <v>0</v>
      </c>
      <c r="Z79" t="s">
        <v>47</v>
      </c>
      <c r="AA79" t="s">
        <v>47</v>
      </c>
      <c r="AB79" t="s">
        <v>47</v>
      </c>
      <c r="AC79" t="b">
        <v>1</v>
      </c>
      <c r="AD79" t="s">
        <v>52</v>
      </c>
      <c r="AE79" t="s">
        <v>613</v>
      </c>
      <c r="AF79" t="s">
        <v>611</v>
      </c>
      <c r="AG79" t="s">
        <v>47</v>
      </c>
      <c r="AH79" t="s">
        <v>87</v>
      </c>
      <c r="AI79" s="2">
        <v>46160.614004629628</v>
      </c>
      <c r="AJ79" t="s">
        <v>47</v>
      </c>
      <c r="AK79" t="s">
        <v>47</v>
      </c>
      <c r="AL79" s="2">
        <v>46160.614004629628</v>
      </c>
      <c r="AM79" s="2">
        <v>46160.614004629628</v>
      </c>
    </row>
    <row r="80" spans="1:39" x14ac:dyDescent="0.3">
      <c r="A80" t="s">
        <v>614</v>
      </c>
      <c r="B80" t="s">
        <v>615</v>
      </c>
      <c r="C80" t="s">
        <v>41</v>
      </c>
      <c r="D80" t="s">
        <v>616</v>
      </c>
      <c r="E80" t="s">
        <v>617</v>
      </c>
      <c r="F80" t="s">
        <v>618</v>
      </c>
      <c r="G80" t="s">
        <v>619</v>
      </c>
      <c r="H80" t="s">
        <v>620</v>
      </c>
      <c r="I80" t="s">
        <v>47</v>
      </c>
      <c r="J80" t="s">
        <v>47</v>
      </c>
      <c r="K80" t="s">
        <v>47</v>
      </c>
      <c r="L80" t="s">
        <v>47</v>
      </c>
      <c r="M80" t="s">
        <v>47</v>
      </c>
      <c r="N80" s="1">
        <v>46052</v>
      </c>
      <c r="O80" s="1">
        <v>46052</v>
      </c>
      <c r="P80" t="s">
        <v>621</v>
      </c>
      <c r="Q80" t="s">
        <v>184</v>
      </c>
      <c r="R80">
        <v>2</v>
      </c>
      <c r="S80" t="b">
        <v>1</v>
      </c>
      <c r="T80" t="s">
        <v>47</v>
      </c>
      <c r="U80" t="s">
        <v>47</v>
      </c>
      <c r="V80" t="s">
        <v>47</v>
      </c>
      <c r="W80" t="s">
        <v>47</v>
      </c>
      <c r="X80" t="s">
        <v>51</v>
      </c>
      <c r="Y80" t="b">
        <v>0</v>
      </c>
      <c r="Z80" t="s">
        <v>47</v>
      </c>
      <c r="AA80" t="s">
        <v>47</v>
      </c>
      <c r="AB80">
        <v>0.5</v>
      </c>
      <c r="AC80" t="b">
        <v>1</v>
      </c>
      <c r="AD80" t="s">
        <v>52</v>
      </c>
      <c r="AE80" t="s">
        <v>622</v>
      </c>
      <c r="AF80" t="s">
        <v>616</v>
      </c>
      <c r="AG80" t="s">
        <v>623</v>
      </c>
      <c r="AH80" t="s">
        <v>55</v>
      </c>
      <c r="AI80" s="2">
        <v>46160.229166666664</v>
      </c>
      <c r="AJ80" t="s">
        <v>47</v>
      </c>
      <c r="AK80" t="s">
        <v>47</v>
      </c>
      <c r="AL80" s="2">
        <v>46160.458333333336</v>
      </c>
      <c r="AM80" s="2">
        <v>46160.458333333336</v>
      </c>
    </row>
    <row r="81" spans="1:39" x14ac:dyDescent="0.3">
      <c r="A81" t="s">
        <v>624</v>
      </c>
      <c r="B81" t="s">
        <v>625</v>
      </c>
      <c r="C81" t="s">
        <v>41</v>
      </c>
      <c r="D81" t="s">
        <v>626</v>
      </c>
      <c r="E81" t="s">
        <v>627</v>
      </c>
      <c r="F81" t="s">
        <v>107</v>
      </c>
      <c r="G81" t="s">
        <v>108</v>
      </c>
      <c r="H81" t="s">
        <v>628</v>
      </c>
      <c r="I81" t="s">
        <v>47</v>
      </c>
      <c r="J81" t="s">
        <v>47</v>
      </c>
      <c r="K81" t="s">
        <v>48</v>
      </c>
      <c r="L81" t="s">
        <v>47</v>
      </c>
      <c r="M81" t="s">
        <v>47</v>
      </c>
      <c r="N81" s="1">
        <v>46032</v>
      </c>
      <c r="O81" s="1">
        <v>46032</v>
      </c>
      <c r="P81" t="s">
        <v>49</v>
      </c>
      <c r="Q81" t="s">
        <v>50</v>
      </c>
      <c r="R81">
        <v>2</v>
      </c>
      <c r="S81" t="b">
        <v>0</v>
      </c>
      <c r="T81" t="s">
        <v>47</v>
      </c>
      <c r="U81" t="s">
        <v>47</v>
      </c>
      <c r="V81" t="s">
        <v>47</v>
      </c>
      <c r="W81" t="s">
        <v>47</v>
      </c>
      <c r="X81" t="s">
        <v>51</v>
      </c>
      <c r="Y81" t="b">
        <v>0</v>
      </c>
      <c r="Z81" t="s">
        <v>47</v>
      </c>
      <c r="AA81" t="s">
        <v>47</v>
      </c>
      <c r="AC81" t="b">
        <v>1</v>
      </c>
      <c r="AD81" t="s">
        <v>52</v>
      </c>
      <c r="AE81" t="s">
        <v>629</v>
      </c>
      <c r="AF81" t="s">
        <v>626</v>
      </c>
      <c r="AG81" t="s">
        <v>630</v>
      </c>
      <c r="AH81" t="s">
        <v>55</v>
      </c>
      <c r="AI81" s="2">
        <v>46160.270833333336</v>
      </c>
      <c r="AJ81" t="s">
        <v>47</v>
      </c>
      <c r="AK81" t="s">
        <v>47</v>
      </c>
      <c r="AL81" s="2">
        <v>46160.5</v>
      </c>
      <c r="AM81" s="2">
        <v>46160.5</v>
      </c>
    </row>
    <row r="82" spans="1:39" x14ac:dyDescent="0.3">
      <c r="A82" t="s">
        <v>631</v>
      </c>
      <c r="B82" t="s">
        <v>632</v>
      </c>
      <c r="C82" t="s">
        <v>41</v>
      </c>
      <c r="D82" t="s">
        <v>633</v>
      </c>
      <c r="E82" t="s">
        <v>634</v>
      </c>
      <c r="F82" t="s">
        <v>107</v>
      </c>
      <c r="G82" t="s">
        <v>108</v>
      </c>
      <c r="H82" t="s">
        <v>109</v>
      </c>
      <c r="I82" t="s">
        <v>47</v>
      </c>
      <c r="J82" t="s">
        <v>47</v>
      </c>
      <c r="K82" t="s">
        <v>48</v>
      </c>
      <c r="L82" t="s">
        <v>47</v>
      </c>
      <c r="M82" t="s">
        <v>47</v>
      </c>
      <c r="N82" s="1">
        <v>46032</v>
      </c>
      <c r="O82" s="1">
        <v>46032</v>
      </c>
      <c r="P82" t="s">
        <v>49</v>
      </c>
      <c r="Q82" t="s">
        <v>50</v>
      </c>
      <c r="R82">
        <v>2</v>
      </c>
      <c r="S82" t="b">
        <v>0</v>
      </c>
      <c r="T82" t="s">
        <v>47</v>
      </c>
      <c r="U82" t="s">
        <v>47</v>
      </c>
      <c r="V82" t="s">
        <v>47</v>
      </c>
      <c r="W82" t="s">
        <v>47</v>
      </c>
      <c r="X82" t="s">
        <v>51</v>
      </c>
      <c r="Y82" t="b">
        <v>0</v>
      </c>
      <c r="Z82" t="s">
        <v>47</v>
      </c>
      <c r="AA82" t="s">
        <v>47</v>
      </c>
      <c r="AC82" t="b">
        <v>1</v>
      </c>
      <c r="AD82" t="s">
        <v>52</v>
      </c>
      <c r="AE82" t="s">
        <v>635</v>
      </c>
      <c r="AF82" t="s">
        <v>633</v>
      </c>
      <c r="AG82" t="s">
        <v>636</v>
      </c>
      <c r="AH82" t="s">
        <v>55</v>
      </c>
      <c r="AI82" s="2">
        <v>46160.25</v>
      </c>
      <c r="AJ82" t="s">
        <v>47</v>
      </c>
      <c r="AK82" t="s">
        <v>47</v>
      </c>
      <c r="AL82" s="2">
        <v>46160.479166666664</v>
      </c>
      <c r="AM82" s="2">
        <v>46160.479166666664</v>
      </c>
    </row>
    <row r="83" spans="1:39" x14ac:dyDescent="0.3">
      <c r="A83" t="s">
        <v>637</v>
      </c>
      <c r="B83" t="s">
        <v>638</v>
      </c>
      <c r="C83" t="s">
        <v>41</v>
      </c>
      <c r="D83" t="s">
        <v>639</v>
      </c>
      <c r="E83" t="s">
        <v>640</v>
      </c>
      <c r="F83" t="s">
        <v>107</v>
      </c>
      <c r="G83" t="s">
        <v>108</v>
      </c>
      <c r="H83" t="s">
        <v>641</v>
      </c>
      <c r="I83" t="s">
        <v>47</v>
      </c>
      <c r="J83" t="s">
        <v>47</v>
      </c>
      <c r="K83" t="s">
        <v>48</v>
      </c>
      <c r="L83" t="s">
        <v>47</v>
      </c>
      <c r="M83" t="s">
        <v>47</v>
      </c>
      <c r="N83" s="1">
        <v>46032</v>
      </c>
      <c r="O83" s="1">
        <v>46032</v>
      </c>
      <c r="P83" t="s">
        <v>49</v>
      </c>
      <c r="Q83" t="s">
        <v>50</v>
      </c>
      <c r="R83">
        <v>2</v>
      </c>
      <c r="S83" t="b">
        <v>0</v>
      </c>
      <c r="T83" t="s">
        <v>47</v>
      </c>
      <c r="U83" t="s">
        <v>47</v>
      </c>
      <c r="V83" t="s">
        <v>47</v>
      </c>
      <c r="W83" t="s">
        <v>47</v>
      </c>
      <c r="X83" t="s">
        <v>51</v>
      </c>
      <c r="Y83" t="b">
        <v>0</v>
      </c>
      <c r="Z83" t="s">
        <v>47</v>
      </c>
      <c r="AA83" t="s">
        <v>47</v>
      </c>
      <c r="AC83" t="b">
        <v>1</v>
      </c>
      <c r="AD83" t="s">
        <v>52</v>
      </c>
      <c r="AE83" t="s">
        <v>642</v>
      </c>
      <c r="AF83" t="s">
        <v>639</v>
      </c>
      <c r="AG83" t="s">
        <v>643</v>
      </c>
      <c r="AH83" t="s">
        <v>55</v>
      </c>
      <c r="AI83" s="2">
        <v>46160.270833333336</v>
      </c>
      <c r="AJ83" t="s">
        <v>47</v>
      </c>
      <c r="AK83" t="s">
        <v>47</v>
      </c>
      <c r="AL83" s="2">
        <v>46160.5</v>
      </c>
      <c r="AM83" s="2">
        <v>46160.5</v>
      </c>
    </row>
    <row r="84" spans="1:39" x14ac:dyDescent="0.3">
      <c r="A84" t="s">
        <v>644</v>
      </c>
      <c r="B84" t="s">
        <v>645</v>
      </c>
      <c r="C84" t="s">
        <v>41</v>
      </c>
      <c r="D84" t="s">
        <v>646</v>
      </c>
      <c r="E84" t="s">
        <v>647</v>
      </c>
      <c r="F84" t="s">
        <v>83</v>
      </c>
      <c r="G84" t="s">
        <v>84</v>
      </c>
      <c r="H84" t="s">
        <v>85</v>
      </c>
      <c r="I84" t="s">
        <v>47</v>
      </c>
      <c r="J84" t="s">
        <v>47</v>
      </c>
      <c r="K84" t="s">
        <v>48</v>
      </c>
      <c r="L84" t="s">
        <v>47</v>
      </c>
      <c r="M84" s="1">
        <v>46032</v>
      </c>
      <c r="N84" s="1">
        <v>46032</v>
      </c>
      <c r="O84" s="1">
        <v>46032</v>
      </c>
      <c r="P84" t="s">
        <v>49</v>
      </c>
      <c r="Q84" t="s">
        <v>50</v>
      </c>
      <c r="R84">
        <v>2</v>
      </c>
      <c r="S84" t="b">
        <v>0</v>
      </c>
      <c r="T84" t="s">
        <v>47</v>
      </c>
      <c r="U84" t="s">
        <v>47</v>
      </c>
      <c r="V84" t="s">
        <v>47</v>
      </c>
      <c r="W84" t="s">
        <v>47</v>
      </c>
      <c r="X84" t="s">
        <v>51</v>
      </c>
      <c r="Y84" t="b">
        <v>0</v>
      </c>
      <c r="Z84" t="s">
        <v>47</v>
      </c>
      <c r="AA84" t="s">
        <v>47</v>
      </c>
      <c r="AB84" t="s">
        <v>47</v>
      </c>
      <c r="AC84" t="b">
        <v>1</v>
      </c>
      <c r="AD84" t="s">
        <v>52</v>
      </c>
      <c r="AE84" t="s">
        <v>648</v>
      </c>
      <c r="AF84" t="s">
        <v>646</v>
      </c>
      <c r="AG84" t="s">
        <v>47</v>
      </c>
      <c r="AH84" t="s">
        <v>87</v>
      </c>
      <c r="AI84" s="2">
        <v>46160.598310185182</v>
      </c>
      <c r="AJ84" t="s">
        <v>47</v>
      </c>
      <c r="AK84" t="s">
        <v>47</v>
      </c>
      <c r="AL84" s="2">
        <v>46160.598310185182</v>
      </c>
      <c r="AM84" s="2">
        <v>46160.598310185182</v>
      </c>
    </row>
    <row r="85" spans="1:39" x14ac:dyDescent="0.3">
      <c r="A85" t="s">
        <v>649</v>
      </c>
      <c r="B85" t="s">
        <v>650</v>
      </c>
      <c r="C85" t="s">
        <v>41</v>
      </c>
      <c r="D85" t="s">
        <v>651</v>
      </c>
      <c r="E85" t="s">
        <v>652</v>
      </c>
      <c r="F85" t="s">
        <v>653</v>
      </c>
      <c r="G85" t="s">
        <v>654</v>
      </c>
      <c r="H85" t="s">
        <v>655</v>
      </c>
      <c r="I85" t="s">
        <v>47</v>
      </c>
      <c r="J85" t="s">
        <v>47</v>
      </c>
      <c r="K85" t="s">
        <v>47</v>
      </c>
      <c r="L85" t="s">
        <v>47</v>
      </c>
      <c r="M85" t="s">
        <v>47</v>
      </c>
      <c r="N85" s="1">
        <v>46034</v>
      </c>
      <c r="O85" s="1">
        <v>46034</v>
      </c>
      <c r="P85" t="s">
        <v>219</v>
      </c>
      <c r="Q85" t="s">
        <v>50</v>
      </c>
      <c r="R85">
        <v>2</v>
      </c>
      <c r="S85" t="b">
        <v>1</v>
      </c>
      <c r="T85" t="s">
        <v>47</v>
      </c>
      <c r="U85" t="s">
        <v>47</v>
      </c>
      <c r="V85" t="s">
        <v>47</v>
      </c>
      <c r="W85" t="s">
        <v>47</v>
      </c>
      <c r="X85" t="s">
        <v>51</v>
      </c>
      <c r="Y85" t="b">
        <v>0</v>
      </c>
      <c r="Z85" t="s">
        <v>47</v>
      </c>
      <c r="AA85" t="s">
        <v>47</v>
      </c>
      <c r="AB85">
        <v>0.55000000000000004</v>
      </c>
      <c r="AC85" t="b">
        <v>1</v>
      </c>
      <c r="AD85" t="s">
        <v>52</v>
      </c>
      <c r="AE85" t="s">
        <v>656</v>
      </c>
      <c r="AF85" t="s">
        <v>651</v>
      </c>
      <c r="AG85" t="s">
        <v>657</v>
      </c>
      <c r="AH85" t="s">
        <v>55</v>
      </c>
      <c r="AI85" s="2">
        <v>46160.25</v>
      </c>
      <c r="AJ85" t="s">
        <v>47</v>
      </c>
      <c r="AK85" t="s">
        <v>47</v>
      </c>
      <c r="AL85" s="2">
        <v>46160.479166666664</v>
      </c>
      <c r="AM85" s="2">
        <v>46160.479166666664</v>
      </c>
    </row>
    <row r="86" spans="1:39" x14ac:dyDescent="0.3">
      <c r="A86" t="s">
        <v>658</v>
      </c>
      <c r="B86" t="s">
        <v>659</v>
      </c>
      <c r="C86" t="s">
        <v>41</v>
      </c>
      <c r="D86" t="s">
        <v>660</v>
      </c>
      <c r="E86" t="s">
        <v>661</v>
      </c>
      <c r="F86" t="s">
        <v>107</v>
      </c>
      <c r="G86" t="s">
        <v>108</v>
      </c>
      <c r="H86" t="s">
        <v>109</v>
      </c>
      <c r="I86" t="s">
        <v>47</v>
      </c>
      <c r="J86" t="s">
        <v>47</v>
      </c>
      <c r="K86" t="s">
        <v>48</v>
      </c>
      <c r="L86" t="s">
        <v>47</v>
      </c>
      <c r="M86" t="s">
        <v>47</v>
      </c>
      <c r="N86" s="1">
        <v>46034</v>
      </c>
      <c r="O86" s="1">
        <v>46034</v>
      </c>
      <c r="P86" t="s">
        <v>49</v>
      </c>
      <c r="Q86" t="s">
        <v>50</v>
      </c>
      <c r="R86">
        <v>2</v>
      </c>
      <c r="S86" t="b">
        <v>0</v>
      </c>
      <c r="T86" t="s">
        <v>47</v>
      </c>
      <c r="U86" t="s">
        <v>47</v>
      </c>
      <c r="V86" t="s">
        <v>47</v>
      </c>
      <c r="W86" t="s">
        <v>47</v>
      </c>
      <c r="X86" t="s">
        <v>51</v>
      </c>
      <c r="Y86" t="b">
        <v>0</v>
      </c>
      <c r="Z86" t="s">
        <v>47</v>
      </c>
      <c r="AA86" t="s">
        <v>47</v>
      </c>
      <c r="AC86" t="b">
        <v>1</v>
      </c>
      <c r="AD86" t="s">
        <v>52</v>
      </c>
      <c r="AE86" t="s">
        <v>662</v>
      </c>
      <c r="AF86" t="s">
        <v>660</v>
      </c>
      <c r="AG86" t="s">
        <v>663</v>
      </c>
      <c r="AH86" t="s">
        <v>55</v>
      </c>
      <c r="AI86" s="2">
        <v>46160.229166666664</v>
      </c>
      <c r="AJ86" t="s">
        <v>47</v>
      </c>
      <c r="AK86" t="s">
        <v>47</v>
      </c>
      <c r="AL86" s="2">
        <v>46160.458333333336</v>
      </c>
      <c r="AM86" s="2">
        <v>46160.458333333336</v>
      </c>
    </row>
    <row r="87" spans="1:39" x14ac:dyDescent="0.3">
      <c r="A87" t="s">
        <v>664</v>
      </c>
      <c r="B87" t="s">
        <v>665</v>
      </c>
      <c r="C87" t="s">
        <v>41</v>
      </c>
      <c r="D87" t="s">
        <v>666</v>
      </c>
      <c r="E87" t="s">
        <v>667</v>
      </c>
      <c r="F87" t="s">
        <v>191</v>
      </c>
      <c r="G87" t="s">
        <v>128</v>
      </c>
      <c r="H87" t="s">
        <v>192</v>
      </c>
      <c r="I87" t="s">
        <v>47</v>
      </c>
      <c r="J87" t="s">
        <v>47</v>
      </c>
      <c r="K87" t="s">
        <v>130</v>
      </c>
      <c r="L87" t="s">
        <v>47</v>
      </c>
      <c r="M87" t="s">
        <v>47</v>
      </c>
      <c r="N87" s="1">
        <v>46034</v>
      </c>
      <c r="O87" s="1">
        <v>46034</v>
      </c>
      <c r="P87" t="s">
        <v>49</v>
      </c>
      <c r="Q87" t="s">
        <v>50</v>
      </c>
      <c r="R87">
        <v>3</v>
      </c>
      <c r="S87" t="b">
        <v>1</v>
      </c>
      <c r="T87" t="s">
        <v>47</v>
      </c>
      <c r="U87" t="s">
        <v>47</v>
      </c>
      <c r="V87" t="s">
        <v>47</v>
      </c>
      <c r="W87" t="s">
        <v>47</v>
      </c>
      <c r="X87" t="s">
        <v>51</v>
      </c>
      <c r="Y87" t="b">
        <v>0</v>
      </c>
      <c r="Z87" t="s">
        <v>47</v>
      </c>
      <c r="AA87" t="s">
        <v>47</v>
      </c>
      <c r="AB87">
        <v>0.6</v>
      </c>
      <c r="AC87" t="b">
        <v>1</v>
      </c>
      <c r="AD87" t="s">
        <v>52</v>
      </c>
      <c r="AE87" t="s">
        <v>668</v>
      </c>
      <c r="AF87" t="s">
        <v>666</v>
      </c>
      <c r="AG87" t="s">
        <v>669</v>
      </c>
      <c r="AH87" t="s">
        <v>55</v>
      </c>
      <c r="AI87" s="2">
        <v>46160.229166666664</v>
      </c>
      <c r="AJ87" t="s">
        <v>47</v>
      </c>
      <c r="AK87" t="s">
        <v>47</v>
      </c>
      <c r="AL87" s="2">
        <v>46160.458333333336</v>
      </c>
      <c r="AM87" s="2">
        <v>46160.458333333336</v>
      </c>
    </row>
    <row r="88" spans="1:39" x14ac:dyDescent="0.3">
      <c r="A88" t="s">
        <v>670</v>
      </c>
      <c r="B88" t="s">
        <v>671</v>
      </c>
      <c r="C88" t="s">
        <v>41</v>
      </c>
      <c r="D88" t="s">
        <v>672</v>
      </c>
      <c r="E88" t="s">
        <v>673</v>
      </c>
      <c r="F88" t="s">
        <v>107</v>
      </c>
      <c r="G88" t="s">
        <v>108</v>
      </c>
      <c r="H88" t="s">
        <v>109</v>
      </c>
      <c r="I88" t="s">
        <v>47</v>
      </c>
      <c r="J88" t="s">
        <v>47</v>
      </c>
      <c r="K88" t="s">
        <v>48</v>
      </c>
      <c r="L88" t="s">
        <v>47</v>
      </c>
      <c r="M88" t="s">
        <v>47</v>
      </c>
      <c r="N88" s="1">
        <v>46034</v>
      </c>
      <c r="O88" s="1">
        <v>46034</v>
      </c>
      <c r="P88" t="s">
        <v>49</v>
      </c>
      <c r="Q88" t="s">
        <v>50</v>
      </c>
      <c r="R88">
        <v>2</v>
      </c>
      <c r="S88" t="b">
        <v>0</v>
      </c>
      <c r="T88" t="s">
        <v>47</v>
      </c>
      <c r="U88" t="s">
        <v>47</v>
      </c>
      <c r="V88" t="s">
        <v>47</v>
      </c>
      <c r="W88" t="s">
        <v>47</v>
      </c>
      <c r="X88" t="s">
        <v>51</v>
      </c>
      <c r="Y88" t="b">
        <v>0</v>
      </c>
      <c r="Z88" t="s">
        <v>47</v>
      </c>
      <c r="AA88" t="s">
        <v>47</v>
      </c>
      <c r="AC88" t="b">
        <v>1</v>
      </c>
      <c r="AD88" t="s">
        <v>52</v>
      </c>
      <c r="AE88" t="s">
        <v>674</v>
      </c>
      <c r="AF88" t="s">
        <v>672</v>
      </c>
      <c r="AG88" t="s">
        <v>675</v>
      </c>
      <c r="AH88" t="s">
        <v>55</v>
      </c>
      <c r="AI88" s="2">
        <v>46160.201388888891</v>
      </c>
      <c r="AJ88" t="s">
        <v>47</v>
      </c>
      <c r="AK88" t="s">
        <v>47</v>
      </c>
      <c r="AL88" s="2">
        <v>46160.430555555555</v>
      </c>
      <c r="AM88" s="2">
        <v>46160.430555555555</v>
      </c>
    </row>
    <row r="89" spans="1:39" x14ac:dyDescent="0.3">
      <c r="A89" t="s">
        <v>676</v>
      </c>
      <c r="B89" t="s">
        <v>677</v>
      </c>
      <c r="C89" t="s">
        <v>41</v>
      </c>
      <c r="D89" t="s">
        <v>678</v>
      </c>
      <c r="E89" t="s">
        <v>679</v>
      </c>
      <c r="F89" t="s">
        <v>680</v>
      </c>
      <c r="G89" t="s">
        <v>681</v>
      </c>
      <c r="H89" t="s">
        <v>682</v>
      </c>
      <c r="I89" t="s">
        <v>47</v>
      </c>
      <c r="J89" t="s">
        <v>47</v>
      </c>
      <c r="K89" t="s">
        <v>130</v>
      </c>
      <c r="L89" t="s">
        <v>47</v>
      </c>
      <c r="M89" t="s">
        <v>47</v>
      </c>
      <c r="N89" s="1">
        <v>46034</v>
      </c>
      <c r="O89" s="1">
        <v>46034</v>
      </c>
      <c r="P89" t="s">
        <v>49</v>
      </c>
      <c r="Q89" t="s">
        <v>50</v>
      </c>
      <c r="R89">
        <v>3</v>
      </c>
      <c r="S89" t="b">
        <v>1</v>
      </c>
      <c r="T89" t="s">
        <v>47</v>
      </c>
      <c r="U89" t="s">
        <v>47</v>
      </c>
      <c r="V89" t="s">
        <v>47</v>
      </c>
      <c r="W89" t="s">
        <v>47</v>
      </c>
      <c r="X89" t="s">
        <v>51</v>
      </c>
      <c r="Y89" t="b">
        <v>0</v>
      </c>
      <c r="Z89" t="s">
        <v>47</v>
      </c>
      <c r="AA89" t="s">
        <v>47</v>
      </c>
      <c r="AB89">
        <v>0.6</v>
      </c>
      <c r="AC89" t="b">
        <v>1</v>
      </c>
      <c r="AD89" t="s">
        <v>52</v>
      </c>
      <c r="AE89" t="s">
        <v>683</v>
      </c>
      <c r="AF89" t="s">
        <v>678</v>
      </c>
      <c r="AG89" t="s">
        <v>684</v>
      </c>
      <c r="AH89" t="s">
        <v>55</v>
      </c>
      <c r="AI89" s="2">
        <v>46160.270833333336</v>
      </c>
      <c r="AJ89" t="s">
        <v>47</v>
      </c>
      <c r="AK89" t="s">
        <v>47</v>
      </c>
      <c r="AL89" s="2">
        <v>46160.5</v>
      </c>
      <c r="AM89" s="2">
        <v>46160.5</v>
      </c>
    </row>
    <row r="90" spans="1:39" x14ac:dyDescent="0.3">
      <c r="A90" t="s">
        <v>685</v>
      </c>
      <c r="B90" t="s">
        <v>686</v>
      </c>
      <c r="C90" t="s">
        <v>41</v>
      </c>
      <c r="D90" t="s">
        <v>687</v>
      </c>
      <c r="E90" t="s">
        <v>688</v>
      </c>
      <c r="F90" t="s">
        <v>191</v>
      </c>
      <c r="G90" t="s">
        <v>128</v>
      </c>
      <c r="H90" t="s">
        <v>192</v>
      </c>
      <c r="I90" t="s">
        <v>47</v>
      </c>
      <c r="J90" t="s">
        <v>47</v>
      </c>
      <c r="K90" t="s">
        <v>130</v>
      </c>
      <c r="L90" t="s">
        <v>47</v>
      </c>
      <c r="M90" t="s">
        <v>47</v>
      </c>
      <c r="N90" s="1">
        <v>46034</v>
      </c>
      <c r="O90" s="1">
        <v>46034</v>
      </c>
      <c r="P90" t="s">
        <v>49</v>
      </c>
      <c r="Q90" t="s">
        <v>50</v>
      </c>
      <c r="R90">
        <v>3</v>
      </c>
      <c r="S90" t="b">
        <v>1</v>
      </c>
      <c r="T90" t="s">
        <v>47</v>
      </c>
      <c r="U90" t="s">
        <v>47</v>
      </c>
      <c r="V90" t="s">
        <v>47</v>
      </c>
      <c r="W90" t="s">
        <v>47</v>
      </c>
      <c r="X90" t="s">
        <v>51</v>
      </c>
      <c r="Y90" t="b">
        <v>0</v>
      </c>
      <c r="Z90" t="s">
        <v>47</v>
      </c>
      <c r="AA90" t="s">
        <v>47</v>
      </c>
      <c r="AB90">
        <v>0.6</v>
      </c>
      <c r="AC90" t="b">
        <v>1</v>
      </c>
      <c r="AD90" t="s">
        <v>52</v>
      </c>
      <c r="AE90" t="s">
        <v>689</v>
      </c>
      <c r="AF90" t="s">
        <v>687</v>
      </c>
      <c r="AG90" t="s">
        <v>690</v>
      </c>
      <c r="AH90" t="s">
        <v>55</v>
      </c>
      <c r="AI90" s="2">
        <v>46160.229166666664</v>
      </c>
      <c r="AJ90" t="s">
        <v>47</v>
      </c>
      <c r="AK90" t="s">
        <v>47</v>
      </c>
      <c r="AL90" s="2">
        <v>46160.458333333336</v>
      </c>
      <c r="AM90" s="2">
        <v>46160.458333333336</v>
      </c>
    </row>
    <row r="91" spans="1:39" x14ac:dyDescent="0.3">
      <c r="A91" t="s">
        <v>691</v>
      </c>
      <c r="B91" t="s">
        <v>692</v>
      </c>
      <c r="C91" t="s">
        <v>41</v>
      </c>
      <c r="D91" t="s">
        <v>693</v>
      </c>
      <c r="E91" t="s">
        <v>694</v>
      </c>
      <c r="F91" t="s">
        <v>172</v>
      </c>
      <c r="G91" t="s">
        <v>173</v>
      </c>
      <c r="H91" t="s">
        <v>174</v>
      </c>
      <c r="I91" t="s">
        <v>47</v>
      </c>
      <c r="J91" t="s">
        <v>47</v>
      </c>
      <c r="K91" t="s">
        <v>130</v>
      </c>
      <c r="L91" t="s">
        <v>47</v>
      </c>
      <c r="M91" s="1">
        <v>46034</v>
      </c>
      <c r="N91" s="1">
        <v>46034</v>
      </c>
      <c r="O91" s="1">
        <v>46034</v>
      </c>
      <c r="P91" t="s">
        <v>49</v>
      </c>
      <c r="Q91" t="s">
        <v>50</v>
      </c>
      <c r="R91">
        <v>3</v>
      </c>
      <c r="S91" t="b">
        <v>1</v>
      </c>
      <c r="T91" t="s">
        <v>47</v>
      </c>
      <c r="U91" t="s">
        <v>47</v>
      </c>
      <c r="V91" t="s">
        <v>47</v>
      </c>
      <c r="W91" t="s">
        <v>47</v>
      </c>
      <c r="X91" t="s">
        <v>51</v>
      </c>
      <c r="Y91" t="b">
        <v>0</v>
      </c>
      <c r="Z91" t="s">
        <v>47</v>
      </c>
      <c r="AA91" t="s">
        <v>47</v>
      </c>
      <c r="AB91" t="s">
        <v>47</v>
      </c>
      <c r="AC91" t="b">
        <v>1</v>
      </c>
      <c r="AD91" t="s">
        <v>52</v>
      </c>
      <c r="AE91" t="s">
        <v>695</v>
      </c>
      <c r="AF91" t="s">
        <v>693</v>
      </c>
      <c r="AG91" t="s">
        <v>47</v>
      </c>
      <c r="AH91" t="s">
        <v>87</v>
      </c>
      <c r="AI91" s="2">
        <v>46160.581724537034</v>
      </c>
      <c r="AJ91" t="s">
        <v>47</v>
      </c>
      <c r="AK91" t="s">
        <v>47</v>
      </c>
      <c r="AL91" s="2">
        <v>46160.581724537034</v>
      </c>
      <c r="AM91" s="2">
        <v>46160.581724537034</v>
      </c>
    </row>
    <row r="92" spans="1:39" x14ac:dyDescent="0.3">
      <c r="A92" t="s">
        <v>696</v>
      </c>
      <c r="B92" t="s">
        <v>697</v>
      </c>
      <c r="C92" t="s">
        <v>41</v>
      </c>
      <c r="D92" t="s">
        <v>698</v>
      </c>
      <c r="E92" t="s">
        <v>699</v>
      </c>
      <c r="F92" t="s">
        <v>127</v>
      </c>
      <c r="G92" t="s">
        <v>128</v>
      </c>
      <c r="H92" t="s">
        <v>129</v>
      </c>
      <c r="I92" t="s">
        <v>47</v>
      </c>
      <c r="J92" t="s">
        <v>47</v>
      </c>
      <c r="K92" t="s">
        <v>130</v>
      </c>
      <c r="L92" t="s">
        <v>47</v>
      </c>
      <c r="M92" t="s">
        <v>47</v>
      </c>
      <c r="N92" s="1">
        <v>46034</v>
      </c>
      <c r="O92" s="1">
        <v>46034</v>
      </c>
      <c r="P92" t="s">
        <v>49</v>
      </c>
      <c r="Q92" t="s">
        <v>50</v>
      </c>
      <c r="R92">
        <v>3</v>
      </c>
      <c r="S92" t="b">
        <v>1</v>
      </c>
      <c r="T92" t="s">
        <v>47</v>
      </c>
      <c r="U92" t="s">
        <v>47</v>
      </c>
      <c r="V92" t="s">
        <v>47</v>
      </c>
      <c r="W92" t="s">
        <v>47</v>
      </c>
      <c r="X92" t="s">
        <v>51</v>
      </c>
      <c r="Y92" t="b">
        <v>0</v>
      </c>
      <c r="Z92" t="s">
        <v>47</v>
      </c>
      <c r="AA92" t="s">
        <v>47</v>
      </c>
      <c r="AB92">
        <v>0.6</v>
      </c>
      <c r="AC92" t="b">
        <v>1</v>
      </c>
      <c r="AD92" t="s">
        <v>52</v>
      </c>
      <c r="AE92" t="s">
        <v>700</v>
      </c>
      <c r="AF92" t="s">
        <v>698</v>
      </c>
      <c r="AG92" t="s">
        <v>701</v>
      </c>
      <c r="AH92" t="s">
        <v>55</v>
      </c>
      <c r="AI92" s="2">
        <v>46160.201388888891</v>
      </c>
      <c r="AJ92" t="s">
        <v>47</v>
      </c>
      <c r="AK92" t="s">
        <v>47</v>
      </c>
      <c r="AL92" s="2">
        <v>46160.430555555555</v>
      </c>
      <c r="AM92" s="2">
        <v>46160.430555555555</v>
      </c>
    </row>
    <row r="93" spans="1:39" x14ac:dyDescent="0.3">
      <c r="A93" t="s">
        <v>702</v>
      </c>
      <c r="B93" t="s">
        <v>703</v>
      </c>
      <c r="C93" t="s">
        <v>41</v>
      </c>
      <c r="D93" t="s">
        <v>704</v>
      </c>
      <c r="E93" t="s">
        <v>705</v>
      </c>
      <c r="F93" t="s">
        <v>127</v>
      </c>
      <c r="G93" t="s">
        <v>128</v>
      </c>
      <c r="H93" t="s">
        <v>706</v>
      </c>
      <c r="I93" t="s">
        <v>47</v>
      </c>
      <c r="J93" t="s">
        <v>47</v>
      </c>
      <c r="K93" t="s">
        <v>130</v>
      </c>
      <c r="L93" t="s">
        <v>47</v>
      </c>
      <c r="M93" t="s">
        <v>47</v>
      </c>
      <c r="N93" s="1">
        <v>46034</v>
      </c>
      <c r="O93" s="1">
        <v>46034</v>
      </c>
      <c r="P93" t="s">
        <v>49</v>
      </c>
      <c r="Q93" t="s">
        <v>50</v>
      </c>
      <c r="R93">
        <v>3</v>
      </c>
      <c r="S93" t="b">
        <v>1</v>
      </c>
      <c r="T93" t="s">
        <v>47</v>
      </c>
      <c r="U93" t="s">
        <v>47</v>
      </c>
      <c r="V93" t="s">
        <v>47</v>
      </c>
      <c r="W93" t="s">
        <v>47</v>
      </c>
      <c r="X93" t="s">
        <v>51</v>
      </c>
      <c r="Y93" t="b">
        <v>0</v>
      </c>
      <c r="Z93" t="s">
        <v>47</v>
      </c>
      <c r="AA93" t="s">
        <v>47</v>
      </c>
      <c r="AB93">
        <v>0.6</v>
      </c>
      <c r="AC93" t="b">
        <v>1</v>
      </c>
      <c r="AD93" t="s">
        <v>52</v>
      </c>
      <c r="AE93" t="s">
        <v>707</v>
      </c>
      <c r="AF93" t="s">
        <v>704</v>
      </c>
      <c r="AG93" t="s">
        <v>708</v>
      </c>
      <c r="AH93" t="s">
        <v>55</v>
      </c>
      <c r="AI93" s="2">
        <v>46160.201388888891</v>
      </c>
      <c r="AJ93" t="s">
        <v>47</v>
      </c>
      <c r="AK93" t="s">
        <v>47</v>
      </c>
      <c r="AL93" s="2">
        <v>46160.430555555555</v>
      </c>
      <c r="AM93" s="2">
        <v>46160.430555555555</v>
      </c>
    </row>
    <row r="94" spans="1:39" x14ac:dyDescent="0.3">
      <c r="A94" t="s">
        <v>709</v>
      </c>
      <c r="B94" t="s">
        <v>710</v>
      </c>
      <c r="C94" t="s">
        <v>41</v>
      </c>
      <c r="D94" t="s">
        <v>711</v>
      </c>
      <c r="E94" t="s">
        <v>712</v>
      </c>
      <c r="F94" t="s">
        <v>83</v>
      </c>
      <c r="G94" t="s">
        <v>84</v>
      </c>
      <c r="H94" t="s">
        <v>85</v>
      </c>
      <c r="I94" t="s">
        <v>47</v>
      </c>
      <c r="J94" t="s">
        <v>47</v>
      </c>
      <c r="K94" t="s">
        <v>48</v>
      </c>
      <c r="L94" t="s">
        <v>47</v>
      </c>
      <c r="M94" s="1">
        <v>46034</v>
      </c>
      <c r="N94" s="1">
        <v>46034</v>
      </c>
      <c r="O94" s="1">
        <v>46034</v>
      </c>
      <c r="P94" t="s">
        <v>49</v>
      </c>
      <c r="Q94" t="s">
        <v>50</v>
      </c>
      <c r="R94">
        <v>2</v>
      </c>
      <c r="S94" t="b">
        <v>0</v>
      </c>
      <c r="T94" t="s">
        <v>47</v>
      </c>
      <c r="U94" t="s">
        <v>47</v>
      </c>
      <c r="V94" t="s">
        <v>47</v>
      </c>
      <c r="W94" t="s">
        <v>47</v>
      </c>
      <c r="X94" t="s">
        <v>51</v>
      </c>
      <c r="Y94" t="b">
        <v>0</v>
      </c>
      <c r="Z94" t="s">
        <v>47</v>
      </c>
      <c r="AA94" t="s">
        <v>47</v>
      </c>
      <c r="AB94" t="s">
        <v>47</v>
      </c>
      <c r="AC94" t="b">
        <v>1</v>
      </c>
      <c r="AD94" t="s">
        <v>52</v>
      </c>
      <c r="AE94" t="s">
        <v>713</v>
      </c>
      <c r="AF94" t="s">
        <v>711</v>
      </c>
      <c r="AG94" t="s">
        <v>47</v>
      </c>
      <c r="AH94" t="s">
        <v>87</v>
      </c>
      <c r="AI94" s="2">
        <v>46160.565381944441</v>
      </c>
      <c r="AJ94" t="s">
        <v>47</v>
      </c>
      <c r="AK94" t="s">
        <v>47</v>
      </c>
      <c r="AL94" s="2">
        <v>46160.565381944441</v>
      </c>
      <c r="AM94" s="2">
        <v>46160.565381944441</v>
      </c>
    </row>
    <row r="95" spans="1:39" x14ac:dyDescent="0.3">
      <c r="A95" t="s">
        <v>714</v>
      </c>
      <c r="B95" t="s">
        <v>715</v>
      </c>
      <c r="C95" t="s">
        <v>41</v>
      </c>
      <c r="D95" t="s">
        <v>716</v>
      </c>
      <c r="E95" t="s">
        <v>717</v>
      </c>
      <c r="F95" t="s">
        <v>718</v>
      </c>
      <c r="G95" t="s">
        <v>719</v>
      </c>
      <c r="H95" t="s">
        <v>720</v>
      </c>
      <c r="I95" t="s">
        <v>47</v>
      </c>
      <c r="J95" t="s">
        <v>47</v>
      </c>
      <c r="K95" t="s">
        <v>721</v>
      </c>
      <c r="L95" t="s">
        <v>47</v>
      </c>
      <c r="M95" s="1">
        <v>46035</v>
      </c>
      <c r="N95" s="1">
        <v>46035</v>
      </c>
      <c r="O95" s="1">
        <v>46035</v>
      </c>
      <c r="P95" t="s">
        <v>722</v>
      </c>
      <c r="Q95" t="s">
        <v>50</v>
      </c>
      <c r="R95">
        <v>3</v>
      </c>
      <c r="S95" t="b">
        <v>1</v>
      </c>
      <c r="T95" t="s">
        <v>47</v>
      </c>
      <c r="U95" t="s">
        <v>47</v>
      </c>
      <c r="V95" t="s">
        <v>47</v>
      </c>
      <c r="W95" t="s">
        <v>47</v>
      </c>
      <c r="X95" t="s">
        <v>51</v>
      </c>
      <c r="Y95" t="b">
        <v>0</v>
      </c>
      <c r="Z95" t="s">
        <v>47</v>
      </c>
      <c r="AA95" t="s">
        <v>47</v>
      </c>
      <c r="AB95" t="s">
        <v>47</v>
      </c>
      <c r="AC95" t="b">
        <v>1</v>
      </c>
      <c r="AD95" t="s">
        <v>52</v>
      </c>
      <c r="AE95" t="s">
        <v>723</v>
      </c>
      <c r="AF95" t="s">
        <v>716</v>
      </c>
      <c r="AG95" t="s">
        <v>47</v>
      </c>
      <c r="AH95" t="s">
        <v>87</v>
      </c>
      <c r="AI95" s="2">
        <v>46160.581724537034</v>
      </c>
      <c r="AJ95" t="s">
        <v>47</v>
      </c>
      <c r="AK95" t="s">
        <v>47</v>
      </c>
      <c r="AL95" s="2">
        <v>46160.581724537034</v>
      </c>
      <c r="AM95" s="2">
        <v>46160.581724537034</v>
      </c>
    </row>
    <row r="96" spans="1:39" x14ac:dyDescent="0.3">
      <c r="A96" t="s">
        <v>724</v>
      </c>
      <c r="B96" t="s">
        <v>725</v>
      </c>
      <c r="C96" t="s">
        <v>41</v>
      </c>
      <c r="D96" t="s">
        <v>726</v>
      </c>
      <c r="E96" t="s">
        <v>727</v>
      </c>
      <c r="F96" t="s">
        <v>107</v>
      </c>
      <c r="G96" t="s">
        <v>108</v>
      </c>
      <c r="H96" t="s">
        <v>109</v>
      </c>
      <c r="I96" t="s">
        <v>47</v>
      </c>
      <c r="J96" t="s">
        <v>47</v>
      </c>
      <c r="K96" t="s">
        <v>48</v>
      </c>
      <c r="L96" t="s">
        <v>47</v>
      </c>
      <c r="M96" t="s">
        <v>47</v>
      </c>
      <c r="N96" s="1">
        <v>46035</v>
      </c>
      <c r="O96" s="1">
        <v>46035</v>
      </c>
      <c r="P96" t="s">
        <v>49</v>
      </c>
      <c r="Q96" t="s">
        <v>50</v>
      </c>
      <c r="R96">
        <v>2</v>
      </c>
      <c r="S96" t="b">
        <v>0</v>
      </c>
      <c r="T96" t="s">
        <v>47</v>
      </c>
      <c r="U96" t="s">
        <v>47</v>
      </c>
      <c r="V96" t="s">
        <v>47</v>
      </c>
      <c r="W96" t="s">
        <v>47</v>
      </c>
      <c r="X96" t="s">
        <v>51</v>
      </c>
      <c r="Y96" t="b">
        <v>0</v>
      </c>
      <c r="Z96" t="s">
        <v>47</v>
      </c>
      <c r="AA96" t="s">
        <v>47</v>
      </c>
      <c r="AC96" t="b">
        <v>1</v>
      </c>
      <c r="AD96" t="s">
        <v>52</v>
      </c>
      <c r="AE96" t="s">
        <v>728</v>
      </c>
      <c r="AF96" t="s">
        <v>726</v>
      </c>
      <c r="AG96" t="s">
        <v>729</v>
      </c>
      <c r="AH96" t="s">
        <v>55</v>
      </c>
      <c r="AI96" s="2">
        <v>46160.201388888891</v>
      </c>
      <c r="AJ96" t="s">
        <v>47</v>
      </c>
      <c r="AK96" t="s">
        <v>47</v>
      </c>
      <c r="AL96" s="2">
        <v>46160.430555555555</v>
      </c>
      <c r="AM96" s="2">
        <v>46160.430555555555</v>
      </c>
    </row>
    <row r="97" spans="1:39" x14ac:dyDescent="0.3">
      <c r="A97" t="s">
        <v>730</v>
      </c>
      <c r="B97" t="s">
        <v>731</v>
      </c>
      <c r="C97" t="s">
        <v>41</v>
      </c>
      <c r="D97" t="s">
        <v>732</v>
      </c>
      <c r="E97" t="s">
        <v>733</v>
      </c>
      <c r="F97" t="s">
        <v>83</v>
      </c>
      <c r="G97" t="s">
        <v>84</v>
      </c>
      <c r="H97" t="s">
        <v>85</v>
      </c>
      <c r="I97" t="s">
        <v>47</v>
      </c>
      <c r="J97" t="s">
        <v>47</v>
      </c>
      <c r="K97" t="s">
        <v>48</v>
      </c>
      <c r="L97" t="s">
        <v>47</v>
      </c>
      <c r="M97" s="1">
        <v>46035</v>
      </c>
      <c r="N97" s="1">
        <v>46035</v>
      </c>
      <c r="O97" s="1">
        <v>46035</v>
      </c>
      <c r="P97" t="s">
        <v>49</v>
      </c>
      <c r="Q97" t="s">
        <v>50</v>
      </c>
      <c r="R97">
        <v>2</v>
      </c>
      <c r="S97" t="b">
        <v>0</v>
      </c>
      <c r="T97" t="s">
        <v>47</v>
      </c>
      <c r="U97" t="s">
        <v>47</v>
      </c>
      <c r="V97" t="s">
        <v>47</v>
      </c>
      <c r="W97" t="s">
        <v>47</v>
      </c>
      <c r="X97" t="s">
        <v>51</v>
      </c>
      <c r="Y97" t="b">
        <v>0</v>
      </c>
      <c r="Z97" t="s">
        <v>47</v>
      </c>
      <c r="AA97" t="s">
        <v>47</v>
      </c>
      <c r="AB97" t="s">
        <v>47</v>
      </c>
      <c r="AC97" t="b">
        <v>1</v>
      </c>
      <c r="AD97" t="s">
        <v>52</v>
      </c>
      <c r="AE97" t="s">
        <v>734</v>
      </c>
      <c r="AF97" t="s">
        <v>732</v>
      </c>
      <c r="AG97" t="s">
        <v>47</v>
      </c>
      <c r="AH97" t="s">
        <v>87</v>
      </c>
      <c r="AI97" s="2">
        <v>46160.614004629628</v>
      </c>
      <c r="AJ97" t="s">
        <v>47</v>
      </c>
      <c r="AK97" t="s">
        <v>47</v>
      </c>
      <c r="AL97" s="2">
        <v>46160.614004629628</v>
      </c>
      <c r="AM97" s="2">
        <v>46160.614004629628</v>
      </c>
    </row>
    <row r="98" spans="1:39" x14ac:dyDescent="0.3">
      <c r="A98" t="s">
        <v>735</v>
      </c>
      <c r="B98" t="s">
        <v>736</v>
      </c>
      <c r="C98" t="s">
        <v>41</v>
      </c>
      <c r="D98" t="s">
        <v>737</v>
      </c>
      <c r="E98" t="s">
        <v>738</v>
      </c>
      <c r="F98" t="s">
        <v>739</v>
      </c>
      <c r="G98" t="s">
        <v>128</v>
      </c>
      <c r="H98" t="s">
        <v>740</v>
      </c>
      <c r="I98" t="s">
        <v>47</v>
      </c>
      <c r="J98" t="s">
        <v>47</v>
      </c>
      <c r="K98" t="s">
        <v>130</v>
      </c>
      <c r="L98" t="s">
        <v>47</v>
      </c>
      <c r="M98" t="s">
        <v>47</v>
      </c>
      <c r="N98" s="1">
        <v>46035</v>
      </c>
      <c r="O98" s="1">
        <v>46035</v>
      </c>
      <c r="P98" t="s">
        <v>49</v>
      </c>
      <c r="Q98" t="s">
        <v>50</v>
      </c>
      <c r="R98">
        <v>3</v>
      </c>
      <c r="S98" t="b">
        <v>1</v>
      </c>
      <c r="T98" t="s">
        <v>47</v>
      </c>
      <c r="U98" t="s">
        <v>47</v>
      </c>
      <c r="V98" t="s">
        <v>47</v>
      </c>
      <c r="W98" t="s">
        <v>47</v>
      </c>
      <c r="X98" t="s">
        <v>51</v>
      </c>
      <c r="Y98" t="b">
        <v>0</v>
      </c>
      <c r="Z98" t="s">
        <v>47</v>
      </c>
      <c r="AA98" t="s">
        <v>47</v>
      </c>
      <c r="AB98">
        <v>0.6</v>
      </c>
      <c r="AC98" t="b">
        <v>1</v>
      </c>
      <c r="AD98" t="s">
        <v>52</v>
      </c>
      <c r="AE98" t="s">
        <v>741</v>
      </c>
      <c r="AF98" t="s">
        <v>737</v>
      </c>
      <c r="AG98" t="s">
        <v>742</v>
      </c>
      <c r="AH98" t="s">
        <v>55</v>
      </c>
      <c r="AI98" s="2">
        <v>46160.149305555555</v>
      </c>
      <c r="AJ98" t="s">
        <v>47</v>
      </c>
      <c r="AK98" t="s">
        <v>47</v>
      </c>
      <c r="AL98" s="2">
        <v>46160.171903877315</v>
      </c>
      <c r="AM98" s="2">
        <v>46160.171903877315</v>
      </c>
    </row>
    <row r="99" spans="1:39" x14ac:dyDescent="0.3">
      <c r="A99" t="s">
        <v>743</v>
      </c>
      <c r="B99" t="s">
        <v>744</v>
      </c>
      <c r="C99" t="s">
        <v>41</v>
      </c>
      <c r="D99" t="s">
        <v>745</v>
      </c>
      <c r="E99" t="s">
        <v>746</v>
      </c>
      <c r="F99" t="s">
        <v>83</v>
      </c>
      <c r="G99" t="s">
        <v>84</v>
      </c>
      <c r="H99" t="s">
        <v>85</v>
      </c>
      <c r="I99" t="s">
        <v>47</v>
      </c>
      <c r="J99" t="s">
        <v>47</v>
      </c>
      <c r="K99" t="s">
        <v>48</v>
      </c>
      <c r="L99" t="s">
        <v>47</v>
      </c>
      <c r="M99" s="1">
        <v>46035</v>
      </c>
      <c r="N99" s="1">
        <v>46035</v>
      </c>
      <c r="O99" s="1">
        <v>46035</v>
      </c>
      <c r="P99" t="s">
        <v>49</v>
      </c>
      <c r="Q99" t="s">
        <v>50</v>
      </c>
      <c r="R99">
        <v>2</v>
      </c>
      <c r="S99" t="b">
        <v>0</v>
      </c>
      <c r="T99" t="s">
        <v>47</v>
      </c>
      <c r="U99" t="s">
        <v>47</v>
      </c>
      <c r="V99" t="s">
        <v>47</v>
      </c>
      <c r="W99" t="s">
        <v>47</v>
      </c>
      <c r="X99" t="s">
        <v>51</v>
      </c>
      <c r="Y99" t="b">
        <v>0</v>
      </c>
      <c r="Z99" t="s">
        <v>47</v>
      </c>
      <c r="AA99" t="s">
        <v>47</v>
      </c>
      <c r="AB99" t="s">
        <v>47</v>
      </c>
      <c r="AC99" t="b">
        <v>1</v>
      </c>
      <c r="AD99" t="s">
        <v>52</v>
      </c>
      <c r="AE99" t="s">
        <v>747</v>
      </c>
      <c r="AF99" t="s">
        <v>745</v>
      </c>
      <c r="AG99" t="s">
        <v>47</v>
      </c>
      <c r="AH99" t="s">
        <v>87</v>
      </c>
      <c r="AI99" s="2">
        <v>46160.598310185182</v>
      </c>
      <c r="AJ99" t="s">
        <v>47</v>
      </c>
      <c r="AK99" t="s">
        <v>47</v>
      </c>
      <c r="AL99" s="2">
        <v>46160.598310185182</v>
      </c>
      <c r="AM99" s="2">
        <v>46160.598310185182</v>
      </c>
    </row>
    <row r="100" spans="1:39" x14ac:dyDescent="0.3">
      <c r="A100" t="s">
        <v>748</v>
      </c>
      <c r="B100" t="s">
        <v>749</v>
      </c>
      <c r="C100" t="s">
        <v>41</v>
      </c>
      <c r="D100" t="s">
        <v>750</v>
      </c>
      <c r="E100" t="s">
        <v>751</v>
      </c>
      <c r="F100" t="s">
        <v>83</v>
      </c>
      <c r="G100" t="s">
        <v>84</v>
      </c>
      <c r="H100" t="s">
        <v>85</v>
      </c>
      <c r="I100" t="s">
        <v>47</v>
      </c>
      <c r="J100" t="s">
        <v>47</v>
      </c>
      <c r="K100" t="s">
        <v>48</v>
      </c>
      <c r="L100" t="s">
        <v>47</v>
      </c>
      <c r="M100" s="1">
        <v>46035</v>
      </c>
      <c r="N100" s="1">
        <v>46035</v>
      </c>
      <c r="O100" s="1">
        <v>46035</v>
      </c>
      <c r="P100" t="s">
        <v>49</v>
      </c>
      <c r="Q100" t="s">
        <v>50</v>
      </c>
      <c r="R100">
        <v>2</v>
      </c>
      <c r="S100" t="b">
        <v>0</v>
      </c>
      <c r="T100" t="s">
        <v>47</v>
      </c>
      <c r="U100" t="s">
        <v>47</v>
      </c>
      <c r="V100" t="s">
        <v>47</v>
      </c>
      <c r="W100" t="s">
        <v>47</v>
      </c>
      <c r="X100" t="s">
        <v>51</v>
      </c>
      <c r="Y100" t="b">
        <v>0</v>
      </c>
      <c r="Z100" t="s">
        <v>47</v>
      </c>
      <c r="AA100" t="s">
        <v>47</v>
      </c>
      <c r="AB100" t="s">
        <v>47</v>
      </c>
      <c r="AC100" t="b">
        <v>1</v>
      </c>
      <c r="AD100" t="s">
        <v>52</v>
      </c>
      <c r="AE100" t="s">
        <v>752</v>
      </c>
      <c r="AF100" t="s">
        <v>750</v>
      </c>
      <c r="AG100" t="s">
        <v>47</v>
      </c>
      <c r="AH100" t="s">
        <v>87</v>
      </c>
      <c r="AI100" s="2">
        <v>46160.598310185182</v>
      </c>
      <c r="AJ100" t="s">
        <v>47</v>
      </c>
      <c r="AK100" t="s">
        <v>47</v>
      </c>
      <c r="AL100" s="2">
        <v>46160.598310185182</v>
      </c>
      <c r="AM100" s="2">
        <v>46160.598310185182</v>
      </c>
    </row>
    <row r="101" spans="1:39" x14ac:dyDescent="0.3">
      <c r="A101" t="s">
        <v>753</v>
      </c>
      <c r="B101" t="s">
        <v>754</v>
      </c>
      <c r="C101" t="s">
        <v>41</v>
      </c>
      <c r="D101" t="s">
        <v>755</v>
      </c>
      <c r="E101" t="s">
        <v>756</v>
      </c>
      <c r="F101" t="s">
        <v>107</v>
      </c>
      <c r="G101" t="s">
        <v>108</v>
      </c>
      <c r="H101" t="s">
        <v>757</v>
      </c>
      <c r="I101" t="s">
        <v>47</v>
      </c>
      <c r="J101" t="s">
        <v>47</v>
      </c>
      <c r="K101" t="s">
        <v>48</v>
      </c>
      <c r="L101" t="s">
        <v>47</v>
      </c>
      <c r="M101" t="s">
        <v>47</v>
      </c>
      <c r="N101" s="1">
        <v>46035</v>
      </c>
      <c r="O101" s="1">
        <v>46035</v>
      </c>
      <c r="P101" t="s">
        <v>49</v>
      </c>
      <c r="Q101" t="s">
        <v>50</v>
      </c>
      <c r="R101">
        <v>2</v>
      </c>
      <c r="S101" t="b">
        <v>0</v>
      </c>
      <c r="T101" t="s">
        <v>47</v>
      </c>
      <c r="U101" t="s">
        <v>47</v>
      </c>
      <c r="V101" t="s">
        <v>47</v>
      </c>
      <c r="W101" t="s">
        <v>47</v>
      </c>
      <c r="X101" t="s">
        <v>51</v>
      </c>
      <c r="Y101" t="b">
        <v>0</v>
      </c>
      <c r="Z101" t="s">
        <v>47</v>
      </c>
      <c r="AA101" t="s">
        <v>47</v>
      </c>
      <c r="AC101" t="b">
        <v>1</v>
      </c>
      <c r="AD101" t="s">
        <v>52</v>
      </c>
      <c r="AE101" t="s">
        <v>758</v>
      </c>
      <c r="AF101" t="s">
        <v>755</v>
      </c>
      <c r="AG101" t="s">
        <v>759</v>
      </c>
      <c r="AH101" t="s">
        <v>55</v>
      </c>
      <c r="AI101" s="2">
        <v>46160.25</v>
      </c>
      <c r="AJ101" t="s">
        <v>47</v>
      </c>
      <c r="AK101" t="s">
        <v>47</v>
      </c>
      <c r="AL101" s="2">
        <v>46160.479166666664</v>
      </c>
      <c r="AM101" s="2">
        <v>46160.479166666664</v>
      </c>
    </row>
    <row r="102" spans="1:39" x14ac:dyDescent="0.3">
      <c r="A102" t="s">
        <v>760</v>
      </c>
      <c r="B102" t="s">
        <v>761</v>
      </c>
      <c r="C102" t="s">
        <v>41</v>
      </c>
      <c r="D102" t="s">
        <v>762</v>
      </c>
      <c r="E102" t="s">
        <v>763</v>
      </c>
      <c r="F102" t="s">
        <v>83</v>
      </c>
      <c r="G102" t="s">
        <v>84</v>
      </c>
      <c r="H102" t="s">
        <v>85</v>
      </c>
      <c r="I102" t="s">
        <v>47</v>
      </c>
      <c r="J102" t="s">
        <v>47</v>
      </c>
      <c r="K102" t="s">
        <v>48</v>
      </c>
      <c r="L102" t="s">
        <v>47</v>
      </c>
      <c r="M102" s="1">
        <v>46035</v>
      </c>
      <c r="N102" s="1">
        <v>46035</v>
      </c>
      <c r="O102" s="1">
        <v>46035</v>
      </c>
      <c r="P102" t="s">
        <v>49</v>
      </c>
      <c r="Q102" t="s">
        <v>50</v>
      </c>
      <c r="R102">
        <v>2</v>
      </c>
      <c r="S102" t="b">
        <v>0</v>
      </c>
      <c r="T102" t="s">
        <v>47</v>
      </c>
      <c r="U102" t="s">
        <v>47</v>
      </c>
      <c r="V102" t="s">
        <v>47</v>
      </c>
      <c r="W102" t="s">
        <v>47</v>
      </c>
      <c r="X102" t="s">
        <v>51</v>
      </c>
      <c r="Y102" t="b">
        <v>0</v>
      </c>
      <c r="Z102" t="s">
        <v>47</v>
      </c>
      <c r="AA102" t="s">
        <v>47</v>
      </c>
      <c r="AB102" t="s">
        <v>47</v>
      </c>
      <c r="AC102" t="b">
        <v>1</v>
      </c>
      <c r="AD102" t="s">
        <v>52</v>
      </c>
      <c r="AE102" t="s">
        <v>764</v>
      </c>
      <c r="AF102" t="s">
        <v>762</v>
      </c>
      <c r="AG102" t="s">
        <v>47</v>
      </c>
      <c r="AH102" t="s">
        <v>87</v>
      </c>
      <c r="AI102" s="2">
        <v>46160.598310185182</v>
      </c>
      <c r="AJ102" t="s">
        <v>47</v>
      </c>
      <c r="AK102" t="s">
        <v>47</v>
      </c>
      <c r="AL102" s="2">
        <v>46160.598310185182</v>
      </c>
      <c r="AM102" s="2">
        <v>46160.598310185182</v>
      </c>
    </row>
    <row r="103" spans="1:39" x14ac:dyDescent="0.3">
      <c r="A103" t="s">
        <v>765</v>
      </c>
      <c r="B103" t="s">
        <v>766</v>
      </c>
      <c r="C103" t="s">
        <v>41</v>
      </c>
      <c r="D103" t="s">
        <v>767</v>
      </c>
      <c r="E103" t="s">
        <v>768</v>
      </c>
      <c r="F103" t="s">
        <v>83</v>
      </c>
      <c r="G103" t="s">
        <v>84</v>
      </c>
      <c r="H103" t="s">
        <v>85</v>
      </c>
      <c r="I103" t="s">
        <v>47</v>
      </c>
      <c r="J103" t="s">
        <v>47</v>
      </c>
      <c r="K103" t="s">
        <v>48</v>
      </c>
      <c r="L103" t="s">
        <v>47</v>
      </c>
      <c r="M103" s="1">
        <v>46035</v>
      </c>
      <c r="N103" s="1">
        <v>46035</v>
      </c>
      <c r="O103" s="1">
        <v>46035</v>
      </c>
      <c r="P103" t="s">
        <v>49</v>
      </c>
      <c r="Q103" t="s">
        <v>50</v>
      </c>
      <c r="R103">
        <v>2</v>
      </c>
      <c r="S103" t="b">
        <v>0</v>
      </c>
      <c r="T103" t="s">
        <v>47</v>
      </c>
      <c r="U103" t="s">
        <v>47</v>
      </c>
      <c r="V103" t="s">
        <v>47</v>
      </c>
      <c r="W103" t="s">
        <v>47</v>
      </c>
      <c r="X103" t="s">
        <v>51</v>
      </c>
      <c r="Y103" t="b">
        <v>0</v>
      </c>
      <c r="Z103" t="s">
        <v>47</v>
      </c>
      <c r="AA103" t="s">
        <v>47</v>
      </c>
      <c r="AB103" t="s">
        <v>47</v>
      </c>
      <c r="AC103" t="b">
        <v>1</v>
      </c>
      <c r="AD103" t="s">
        <v>52</v>
      </c>
      <c r="AE103" t="s">
        <v>769</v>
      </c>
      <c r="AF103" t="s">
        <v>767</v>
      </c>
      <c r="AG103" t="s">
        <v>47</v>
      </c>
      <c r="AH103" t="s">
        <v>87</v>
      </c>
      <c r="AI103" s="2">
        <v>46160.581724537034</v>
      </c>
      <c r="AJ103" t="s">
        <v>47</v>
      </c>
      <c r="AK103" t="s">
        <v>47</v>
      </c>
      <c r="AL103" s="2">
        <v>46160.581724537034</v>
      </c>
      <c r="AM103" s="2">
        <v>46160.581724537034</v>
      </c>
    </row>
    <row r="104" spans="1:39" x14ac:dyDescent="0.3">
      <c r="A104" t="s">
        <v>770</v>
      </c>
      <c r="B104" t="s">
        <v>771</v>
      </c>
      <c r="C104" t="s">
        <v>41</v>
      </c>
      <c r="D104" t="s">
        <v>772</v>
      </c>
      <c r="E104" t="s">
        <v>773</v>
      </c>
      <c r="F104" t="s">
        <v>83</v>
      </c>
      <c r="G104" t="s">
        <v>84</v>
      </c>
      <c r="H104" t="s">
        <v>85</v>
      </c>
      <c r="I104" t="s">
        <v>47</v>
      </c>
      <c r="J104" t="s">
        <v>47</v>
      </c>
      <c r="K104" t="s">
        <v>48</v>
      </c>
      <c r="L104" t="s">
        <v>47</v>
      </c>
      <c r="M104" s="1">
        <v>46035</v>
      </c>
      <c r="N104" s="1">
        <v>46035</v>
      </c>
      <c r="O104" s="1">
        <v>46035</v>
      </c>
      <c r="P104" t="s">
        <v>49</v>
      </c>
      <c r="Q104" t="s">
        <v>50</v>
      </c>
      <c r="R104">
        <v>2</v>
      </c>
      <c r="S104" t="b">
        <v>0</v>
      </c>
      <c r="T104" t="s">
        <v>47</v>
      </c>
      <c r="U104" t="s">
        <v>47</v>
      </c>
      <c r="V104" t="s">
        <v>47</v>
      </c>
      <c r="W104" t="s">
        <v>47</v>
      </c>
      <c r="X104" t="s">
        <v>51</v>
      </c>
      <c r="Y104" t="b">
        <v>0</v>
      </c>
      <c r="Z104" t="s">
        <v>47</v>
      </c>
      <c r="AA104" t="s">
        <v>47</v>
      </c>
      <c r="AB104" t="s">
        <v>47</v>
      </c>
      <c r="AC104" t="b">
        <v>1</v>
      </c>
      <c r="AD104" t="s">
        <v>52</v>
      </c>
      <c r="AE104" t="s">
        <v>774</v>
      </c>
      <c r="AF104" t="s">
        <v>772</v>
      </c>
      <c r="AG104" t="s">
        <v>47</v>
      </c>
      <c r="AH104" t="s">
        <v>87</v>
      </c>
      <c r="AI104" s="2">
        <v>46160.581724537034</v>
      </c>
      <c r="AJ104" t="s">
        <v>47</v>
      </c>
      <c r="AK104" t="s">
        <v>47</v>
      </c>
      <c r="AL104" s="2">
        <v>46160.581724537034</v>
      </c>
      <c r="AM104" s="2">
        <v>46160.581724537034</v>
      </c>
    </row>
    <row r="105" spans="1:39" x14ac:dyDescent="0.3">
      <c r="A105" t="s">
        <v>775</v>
      </c>
      <c r="B105" t="s">
        <v>776</v>
      </c>
      <c r="C105" t="s">
        <v>41</v>
      </c>
      <c r="D105" t="s">
        <v>777</v>
      </c>
      <c r="E105" t="s">
        <v>778</v>
      </c>
      <c r="F105" t="s">
        <v>322</v>
      </c>
      <c r="G105" t="s">
        <v>323</v>
      </c>
      <c r="H105" t="s">
        <v>779</v>
      </c>
      <c r="I105" t="s">
        <v>47</v>
      </c>
      <c r="J105" t="s">
        <v>47</v>
      </c>
      <c r="K105" t="s">
        <v>253</v>
      </c>
      <c r="L105" t="s">
        <v>47</v>
      </c>
      <c r="M105" t="s">
        <v>47</v>
      </c>
      <c r="N105" s="1">
        <v>46036</v>
      </c>
      <c r="O105" s="1">
        <v>46036</v>
      </c>
      <c r="P105" t="s">
        <v>254</v>
      </c>
      <c r="Q105" t="s">
        <v>50</v>
      </c>
      <c r="R105">
        <v>1</v>
      </c>
      <c r="S105" t="b">
        <v>0</v>
      </c>
      <c r="T105" t="s">
        <v>47</v>
      </c>
      <c r="U105" t="s">
        <v>47</v>
      </c>
      <c r="V105" t="s">
        <v>47</v>
      </c>
      <c r="W105" t="s">
        <v>47</v>
      </c>
      <c r="X105" t="s">
        <v>51</v>
      </c>
      <c r="Y105" t="b">
        <v>0</v>
      </c>
      <c r="Z105" t="s">
        <v>47</v>
      </c>
      <c r="AA105" t="s">
        <v>47</v>
      </c>
      <c r="AC105" t="b">
        <v>1</v>
      </c>
      <c r="AD105" t="s">
        <v>52</v>
      </c>
      <c r="AE105" t="s">
        <v>780</v>
      </c>
      <c r="AF105" t="s">
        <v>777</v>
      </c>
      <c r="AG105" t="s">
        <v>781</v>
      </c>
      <c r="AH105" t="s">
        <v>55</v>
      </c>
      <c r="AI105" s="2">
        <v>46160.201388888891</v>
      </c>
      <c r="AJ105" t="s">
        <v>47</v>
      </c>
      <c r="AK105" t="s">
        <v>47</v>
      </c>
      <c r="AL105" s="2">
        <v>46160.430555555555</v>
      </c>
      <c r="AM105" s="2">
        <v>46160.430555555555</v>
      </c>
    </row>
    <row r="106" spans="1:39" x14ac:dyDescent="0.3">
      <c r="A106" t="s">
        <v>782</v>
      </c>
      <c r="B106" t="s">
        <v>783</v>
      </c>
      <c r="C106" t="s">
        <v>41</v>
      </c>
      <c r="D106" t="s">
        <v>784</v>
      </c>
      <c r="E106" t="s">
        <v>785</v>
      </c>
      <c r="F106" t="s">
        <v>786</v>
      </c>
      <c r="G106" t="s">
        <v>787</v>
      </c>
      <c r="H106" t="s">
        <v>788</v>
      </c>
      <c r="I106" t="s">
        <v>47</v>
      </c>
      <c r="J106" t="s">
        <v>47</v>
      </c>
      <c r="K106" t="s">
        <v>551</v>
      </c>
      <c r="L106" t="s">
        <v>47</v>
      </c>
      <c r="M106" s="1">
        <v>46035</v>
      </c>
      <c r="N106" s="1">
        <v>46035</v>
      </c>
      <c r="O106" s="1">
        <v>46035</v>
      </c>
      <c r="P106" t="s">
        <v>64</v>
      </c>
      <c r="Q106" t="s">
        <v>50</v>
      </c>
      <c r="R106">
        <v>1</v>
      </c>
      <c r="S106" t="b">
        <v>0</v>
      </c>
      <c r="T106" t="s">
        <v>47</v>
      </c>
      <c r="U106" t="s">
        <v>47</v>
      </c>
      <c r="V106" t="s">
        <v>47</v>
      </c>
      <c r="W106" t="s">
        <v>47</v>
      </c>
      <c r="X106" t="s">
        <v>51</v>
      </c>
      <c r="Y106" t="b">
        <v>0</v>
      </c>
      <c r="Z106" t="s">
        <v>47</v>
      </c>
      <c r="AA106" t="s">
        <v>47</v>
      </c>
      <c r="AB106" t="s">
        <v>47</v>
      </c>
      <c r="AC106" t="b">
        <v>1</v>
      </c>
      <c r="AD106" t="s">
        <v>52</v>
      </c>
      <c r="AE106" t="s">
        <v>789</v>
      </c>
      <c r="AF106" t="s">
        <v>784</v>
      </c>
      <c r="AG106" t="s">
        <v>47</v>
      </c>
      <c r="AH106" t="s">
        <v>87</v>
      </c>
      <c r="AI106" s="2">
        <v>46160.565381944441</v>
      </c>
      <c r="AJ106" t="s">
        <v>47</v>
      </c>
      <c r="AK106" t="s">
        <v>47</v>
      </c>
      <c r="AL106" s="2">
        <v>46160.565381944441</v>
      </c>
      <c r="AM106" s="2">
        <v>46160.565381944441</v>
      </c>
    </row>
    <row r="107" spans="1:39" x14ac:dyDescent="0.3">
      <c r="A107" t="s">
        <v>790</v>
      </c>
      <c r="B107" t="s">
        <v>791</v>
      </c>
      <c r="C107" t="s">
        <v>41</v>
      </c>
      <c r="D107" t="s">
        <v>792</v>
      </c>
      <c r="E107" t="s">
        <v>793</v>
      </c>
      <c r="F107" t="s">
        <v>680</v>
      </c>
      <c r="G107" t="s">
        <v>681</v>
      </c>
      <c r="H107" t="s">
        <v>682</v>
      </c>
      <c r="I107" t="s">
        <v>47</v>
      </c>
      <c r="J107" t="s">
        <v>47</v>
      </c>
      <c r="K107" t="s">
        <v>130</v>
      </c>
      <c r="L107" t="s">
        <v>47</v>
      </c>
      <c r="M107" t="s">
        <v>47</v>
      </c>
      <c r="N107" s="1">
        <v>46036</v>
      </c>
      <c r="O107" s="1">
        <v>46036</v>
      </c>
      <c r="P107" t="s">
        <v>49</v>
      </c>
      <c r="Q107" t="s">
        <v>50</v>
      </c>
      <c r="R107">
        <v>3</v>
      </c>
      <c r="S107" t="b">
        <v>1</v>
      </c>
      <c r="T107" t="s">
        <v>47</v>
      </c>
      <c r="U107" t="s">
        <v>47</v>
      </c>
      <c r="V107" t="s">
        <v>47</v>
      </c>
      <c r="W107" t="s">
        <v>47</v>
      </c>
      <c r="X107" t="s">
        <v>51</v>
      </c>
      <c r="Y107" t="b">
        <v>0</v>
      </c>
      <c r="Z107" t="s">
        <v>47</v>
      </c>
      <c r="AA107" t="s">
        <v>47</v>
      </c>
      <c r="AB107">
        <v>0.6</v>
      </c>
      <c r="AC107" t="b">
        <v>1</v>
      </c>
      <c r="AD107" t="s">
        <v>52</v>
      </c>
      <c r="AE107" t="s">
        <v>794</v>
      </c>
      <c r="AF107" t="s">
        <v>792</v>
      </c>
      <c r="AG107" t="s">
        <v>795</v>
      </c>
      <c r="AH107" t="s">
        <v>55</v>
      </c>
      <c r="AI107" s="2">
        <v>46160.270833333336</v>
      </c>
      <c r="AJ107" t="s">
        <v>47</v>
      </c>
      <c r="AK107" t="s">
        <v>47</v>
      </c>
      <c r="AL107" s="2">
        <v>46160.5</v>
      </c>
      <c r="AM107" s="2">
        <v>46160.5</v>
      </c>
    </row>
    <row r="108" spans="1:39" x14ac:dyDescent="0.3">
      <c r="A108" t="s">
        <v>796</v>
      </c>
      <c r="B108" t="s">
        <v>797</v>
      </c>
      <c r="C108" t="s">
        <v>41</v>
      </c>
      <c r="D108" t="s">
        <v>798</v>
      </c>
      <c r="E108" t="s">
        <v>799</v>
      </c>
      <c r="F108" t="s">
        <v>800</v>
      </c>
      <c r="G108" t="s">
        <v>801</v>
      </c>
      <c r="H108" t="s">
        <v>802</v>
      </c>
      <c r="I108" t="s">
        <v>47</v>
      </c>
      <c r="J108" t="s">
        <v>47</v>
      </c>
      <c r="K108" t="s">
        <v>48</v>
      </c>
      <c r="L108" t="s">
        <v>47</v>
      </c>
      <c r="M108" t="s">
        <v>47</v>
      </c>
      <c r="N108" s="1">
        <v>46035</v>
      </c>
      <c r="O108" s="1">
        <v>46035</v>
      </c>
      <c r="P108" t="s">
        <v>49</v>
      </c>
      <c r="Q108" t="s">
        <v>50</v>
      </c>
      <c r="R108">
        <v>2</v>
      </c>
      <c r="S108" t="b">
        <v>0</v>
      </c>
      <c r="T108" t="s">
        <v>47</v>
      </c>
      <c r="U108" t="s">
        <v>47</v>
      </c>
      <c r="V108" t="s">
        <v>47</v>
      </c>
      <c r="W108" t="s">
        <v>47</v>
      </c>
      <c r="X108" t="s">
        <v>51</v>
      </c>
      <c r="Y108" t="b">
        <v>0</v>
      </c>
      <c r="Z108" t="s">
        <v>47</v>
      </c>
      <c r="AA108" t="s">
        <v>47</v>
      </c>
      <c r="AC108" t="b">
        <v>1</v>
      </c>
      <c r="AD108" t="s">
        <v>52</v>
      </c>
      <c r="AE108" t="s">
        <v>803</v>
      </c>
      <c r="AF108" t="s">
        <v>798</v>
      </c>
      <c r="AG108" t="s">
        <v>804</v>
      </c>
      <c r="AH108" t="s">
        <v>55</v>
      </c>
      <c r="AI108" s="2">
        <v>46160.270833333336</v>
      </c>
      <c r="AJ108" t="s">
        <v>47</v>
      </c>
      <c r="AK108" t="s">
        <v>47</v>
      </c>
      <c r="AL108" s="2">
        <v>46160.5</v>
      </c>
      <c r="AM108" s="2">
        <v>46160.5</v>
      </c>
    </row>
    <row r="109" spans="1:39" x14ac:dyDescent="0.3">
      <c r="A109" t="s">
        <v>805</v>
      </c>
      <c r="B109" t="s">
        <v>806</v>
      </c>
      <c r="C109" t="s">
        <v>41</v>
      </c>
      <c r="D109" t="s">
        <v>807</v>
      </c>
      <c r="E109" t="s">
        <v>808</v>
      </c>
      <c r="F109" t="s">
        <v>83</v>
      </c>
      <c r="G109" t="s">
        <v>84</v>
      </c>
      <c r="H109" t="s">
        <v>85</v>
      </c>
      <c r="I109" t="s">
        <v>47</v>
      </c>
      <c r="J109" t="s">
        <v>47</v>
      </c>
      <c r="K109" t="s">
        <v>48</v>
      </c>
      <c r="L109" t="s">
        <v>47</v>
      </c>
      <c r="M109" s="1">
        <v>46035</v>
      </c>
      <c r="N109" s="1">
        <v>46035</v>
      </c>
      <c r="O109" s="1">
        <v>46035</v>
      </c>
      <c r="P109" t="s">
        <v>49</v>
      </c>
      <c r="Q109" t="s">
        <v>50</v>
      </c>
      <c r="R109">
        <v>2</v>
      </c>
      <c r="S109" t="b">
        <v>0</v>
      </c>
      <c r="T109" t="s">
        <v>47</v>
      </c>
      <c r="U109" t="s">
        <v>47</v>
      </c>
      <c r="V109" t="s">
        <v>47</v>
      </c>
      <c r="W109" t="s">
        <v>47</v>
      </c>
      <c r="X109" t="s">
        <v>51</v>
      </c>
      <c r="Y109" t="b">
        <v>0</v>
      </c>
      <c r="Z109" t="s">
        <v>47</v>
      </c>
      <c r="AA109" t="s">
        <v>47</v>
      </c>
      <c r="AB109" t="s">
        <v>47</v>
      </c>
      <c r="AC109" t="b">
        <v>1</v>
      </c>
      <c r="AD109" t="s">
        <v>52</v>
      </c>
      <c r="AE109" t="s">
        <v>809</v>
      </c>
      <c r="AF109" t="s">
        <v>807</v>
      </c>
      <c r="AG109" t="s">
        <v>47</v>
      </c>
      <c r="AH109" t="s">
        <v>87</v>
      </c>
      <c r="AI109" s="2">
        <v>46160.565381944441</v>
      </c>
      <c r="AJ109" t="s">
        <v>47</v>
      </c>
      <c r="AK109" t="s">
        <v>47</v>
      </c>
      <c r="AL109" s="2">
        <v>46160.565381944441</v>
      </c>
      <c r="AM109" s="2">
        <v>46160.565381944441</v>
      </c>
    </row>
    <row r="110" spans="1:39" x14ac:dyDescent="0.3">
      <c r="A110" t="s">
        <v>810</v>
      </c>
      <c r="B110" t="s">
        <v>811</v>
      </c>
      <c r="C110" t="s">
        <v>41</v>
      </c>
      <c r="D110" t="s">
        <v>812</v>
      </c>
      <c r="E110" t="s">
        <v>813</v>
      </c>
      <c r="F110" t="s">
        <v>83</v>
      </c>
      <c r="G110" t="s">
        <v>84</v>
      </c>
      <c r="H110" t="s">
        <v>85</v>
      </c>
      <c r="I110" t="s">
        <v>47</v>
      </c>
      <c r="J110" t="s">
        <v>47</v>
      </c>
      <c r="K110" t="s">
        <v>48</v>
      </c>
      <c r="L110" t="s">
        <v>47</v>
      </c>
      <c r="M110" s="1">
        <v>46035</v>
      </c>
      <c r="N110" s="1">
        <v>46035</v>
      </c>
      <c r="O110" s="1">
        <v>46035</v>
      </c>
      <c r="P110" t="s">
        <v>49</v>
      </c>
      <c r="Q110" t="s">
        <v>50</v>
      </c>
      <c r="R110">
        <v>2</v>
      </c>
      <c r="S110" t="b">
        <v>0</v>
      </c>
      <c r="T110" t="s">
        <v>47</v>
      </c>
      <c r="U110" t="s">
        <v>47</v>
      </c>
      <c r="V110" t="s">
        <v>47</v>
      </c>
      <c r="W110" t="s">
        <v>47</v>
      </c>
      <c r="X110" t="s">
        <v>51</v>
      </c>
      <c r="Y110" t="b">
        <v>0</v>
      </c>
      <c r="Z110" t="s">
        <v>47</v>
      </c>
      <c r="AA110" t="s">
        <v>47</v>
      </c>
      <c r="AB110" t="s">
        <v>47</v>
      </c>
      <c r="AC110" t="b">
        <v>1</v>
      </c>
      <c r="AD110" t="s">
        <v>52</v>
      </c>
      <c r="AE110" t="s">
        <v>814</v>
      </c>
      <c r="AF110" t="s">
        <v>812</v>
      </c>
      <c r="AG110" t="s">
        <v>47</v>
      </c>
      <c r="AH110" t="s">
        <v>87</v>
      </c>
      <c r="AI110" s="2">
        <v>46160.565381944441</v>
      </c>
      <c r="AJ110" t="s">
        <v>47</v>
      </c>
      <c r="AK110" t="s">
        <v>47</v>
      </c>
      <c r="AL110" s="2">
        <v>46160.565381944441</v>
      </c>
      <c r="AM110" s="2">
        <v>46160.565381944441</v>
      </c>
    </row>
    <row r="111" spans="1:39" x14ac:dyDescent="0.3">
      <c r="A111" t="s">
        <v>815</v>
      </c>
      <c r="B111" t="s">
        <v>816</v>
      </c>
      <c r="C111" t="s">
        <v>41</v>
      </c>
      <c r="D111" t="s">
        <v>817</v>
      </c>
      <c r="E111" t="s">
        <v>818</v>
      </c>
      <c r="F111" t="s">
        <v>83</v>
      </c>
      <c r="G111" t="s">
        <v>84</v>
      </c>
      <c r="H111" t="s">
        <v>85</v>
      </c>
      <c r="I111" t="s">
        <v>47</v>
      </c>
      <c r="J111" t="s">
        <v>47</v>
      </c>
      <c r="K111" t="s">
        <v>48</v>
      </c>
      <c r="L111" t="s">
        <v>47</v>
      </c>
      <c r="M111" s="1">
        <v>46035</v>
      </c>
      <c r="N111" s="1">
        <v>46035</v>
      </c>
      <c r="O111" s="1">
        <v>46035</v>
      </c>
      <c r="P111" t="s">
        <v>49</v>
      </c>
      <c r="Q111" t="s">
        <v>50</v>
      </c>
      <c r="R111">
        <v>2</v>
      </c>
      <c r="S111" t="b">
        <v>0</v>
      </c>
      <c r="T111" t="s">
        <v>47</v>
      </c>
      <c r="U111" t="s">
        <v>47</v>
      </c>
      <c r="V111" t="s">
        <v>47</v>
      </c>
      <c r="W111" t="s">
        <v>47</v>
      </c>
      <c r="X111" t="s">
        <v>51</v>
      </c>
      <c r="Y111" t="b">
        <v>0</v>
      </c>
      <c r="Z111" t="s">
        <v>47</v>
      </c>
      <c r="AA111" t="s">
        <v>47</v>
      </c>
      <c r="AB111" t="s">
        <v>47</v>
      </c>
      <c r="AC111" t="b">
        <v>1</v>
      </c>
      <c r="AD111" t="s">
        <v>52</v>
      </c>
      <c r="AE111" t="s">
        <v>819</v>
      </c>
      <c r="AF111" t="s">
        <v>817</v>
      </c>
      <c r="AG111" t="s">
        <v>47</v>
      </c>
      <c r="AH111" t="s">
        <v>87</v>
      </c>
      <c r="AI111" s="2">
        <v>46160.598310185182</v>
      </c>
      <c r="AJ111" t="s">
        <v>47</v>
      </c>
      <c r="AK111" t="s">
        <v>47</v>
      </c>
      <c r="AL111" s="2">
        <v>46160.598310185182</v>
      </c>
      <c r="AM111" s="2">
        <v>46160.598310185182</v>
      </c>
    </row>
    <row r="112" spans="1:39" x14ac:dyDescent="0.3">
      <c r="A112" t="s">
        <v>820</v>
      </c>
      <c r="B112" t="s">
        <v>821</v>
      </c>
      <c r="C112" t="s">
        <v>41</v>
      </c>
      <c r="D112" t="s">
        <v>822</v>
      </c>
      <c r="E112" t="s">
        <v>823</v>
      </c>
      <c r="F112" t="s">
        <v>83</v>
      </c>
      <c r="G112" t="s">
        <v>84</v>
      </c>
      <c r="H112" t="s">
        <v>85</v>
      </c>
      <c r="I112" t="s">
        <v>47</v>
      </c>
      <c r="J112" t="s">
        <v>47</v>
      </c>
      <c r="K112" t="s">
        <v>48</v>
      </c>
      <c r="L112" t="s">
        <v>47</v>
      </c>
      <c r="M112" s="1">
        <v>46035</v>
      </c>
      <c r="N112" s="1">
        <v>46035</v>
      </c>
      <c r="O112" s="1">
        <v>46035</v>
      </c>
      <c r="P112" t="s">
        <v>49</v>
      </c>
      <c r="Q112" t="s">
        <v>50</v>
      </c>
      <c r="R112">
        <v>2</v>
      </c>
      <c r="S112" t="b">
        <v>0</v>
      </c>
      <c r="T112" t="s">
        <v>47</v>
      </c>
      <c r="U112" t="s">
        <v>47</v>
      </c>
      <c r="V112" t="s">
        <v>47</v>
      </c>
      <c r="W112" t="s">
        <v>47</v>
      </c>
      <c r="X112" t="s">
        <v>51</v>
      </c>
      <c r="Y112" t="b">
        <v>0</v>
      </c>
      <c r="Z112" t="s">
        <v>47</v>
      </c>
      <c r="AA112" t="s">
        <v>47</v>
      </c>
      <c r="AB112" t="s">
        <v>47</v>
      </c>
      <c r="AC112" t="b">
        <v>1</v>
      </c>
      <c r="AD112" t="s">
        <v>52</v>
      </c>
      <c r="AE112" t="s">
        <v>824</v>
      </c>
      <c r="AF112" t="s">
        <v>822</v>
      </c>
      <c r="AG112" t="s">
        <v>47</v>
      </c>
      <c r="AH112" t="s">
        <v>87</v>
      </c>
      <c r="AI112" s="2">
        <v>46160.614004629628</v>
      </c>
      <c r="AJ112" t="s">
        <v>47</v>
      </c>
      <c r="AK112" t="s">
        <v>47</v>
      </c>
      <c r="AL112" s="2">
        <v>46160.614004629628</v>
      </c>
      <c r="AM112" s="2">
        <v>46160.614004629628</v>
      </c>
    </row>
    <row r="113" spans="1:39" x14ac:dyDescent="0.3">
      <c r="A113" t="s">
        <v>825</v>
      </c>
      <c r="B113" t="s">
        <v>826</v>
      </c>
      <c r="C113" t="s">
        <v>41</v>
      </c>
      <c r="D113" t="s">
        <v>827</v>
      </c>
      <c r="E113" t="s">
        <v>828</v>
      </c>
      <c r="F113" t="s">
        <v>83</v>
      </c>
      <c r="G113" t="s">
        <v>84</v>
      </c>
      <c r="H113" t="s">
        <v>85</v>
      </c>
      <c r="I113" t="s">
        <v>47</v>
      </c>
      <c r="J113" t="s">
        <v>47</v>
      </c>
      <c r="K113" t="s">
        <v>48</v>
      </c>
      <c r="L113" t="s">
        <v>47</v>
      </c>
      <c r="M113" s="1">
        <v>46035</v>
      </c>
      <c r="N113" s="1">
        <v>46035</v>
      </c>
      <c r="O113" s="1">
        <v>46035</v>
      </c>
      <c r="P113" t="s">
        <v>49</v>
      </c>
      <c r="Q113" t="s">
        <v>50</v>
      </c>
      <c r="R113">
        <v>2</v>
      </c>
      <c r="S113" t="b">
        <v>0</v>
      </c>
      <c r="T113" t="s">
        <v>47</v>
      </c>
      <c r="U113" t="s">
        <v>47</v>
      </c>
      <c r="V113" t="s">
        <v>47</v>
      </c>
      <c r="W113" t="s">
        <v>47</v>
      </c>
      <c r="X113" t="s">
        <v>51</v>
      </c>
      <c r="Y113" t="b">
        <v>0</v>
      </c>
      <c r="Z113" t="s">
        <v>47</v>
      </c>
      <c r="AA113" t="s">
        <v>47</v>
      </c>
      <c r="AB113" t="s">
        <v>47</v>
      </c>
      <c r="AC113" t="b">
        <v>1</v>
      </c>
      <c r="AD113" t="s">
        <v>52</v>
      </c>
      <c r="AE113" t="s">
        <v>829</v>
      </c>
      <c r="AF113" t="s">
        <v>827</v>
      </c>
      <c r="AG113" t="s">
        <v>47</v>
      </c>
      <c r="AH113" t="s">
        <v>87</v>
      </c>
      <c r="AI113" s="2">
        <v>46160.565381944441</v>
      </c>
      <c r="AJ113" t="s">
        <v>47</v>
      </c>
      <c r="AK113" t="s">
        <v>47</v>
      </c>
      <c r="AL113" s="2">
        <v>46160.565381944441</v>
      </c>
      <c r="AM113" s="2">
        <v>46160.565381944441</v>
      </c>
    </row>
    <row r="114" spans="1:39" x14ac:dyDescent="0.3">
      <c r="A114" t="s">
        <v>830</v>
      </c>
      <c r="B114" t="s">
        <v>831</v>
      </c>
      <c r="C114" t="s">
        <v>41</v>
      </c>
      <c r="D114" t="s">
        <v>832</v>
      </c>
      <c r="E114" t="s">
        <v>833</v>
      </c>
      <c r="F114" t="s">
        <v>83</v>
      </c>
      <c r="G114" t="s">
        <v>84</v>
      </c>
      <c r="H114" t="s">
        <v>85</v>
      </c>
      <c r="I114" t="s">
        <v>47</v>
      </c>
      <c r="J114" t="s">
        <v>47</v>
      </c>
      <c r="K114" t="s">
        <v>48</v>
      </c>
      <c r="L114" t="s">
        <v>47</v>
      </c>
      <c r="M114" s="1">
        <v>46035</v>
      </c>
      <c r="N114" s="1">
        <v>46035</v>
      </c>
      <c r="O114" s="1">
        <v>46035</v>
      </c>
      <c r="P114" t="s">
        <v>49</v>
      </c>
      <c r="Q114" t="s">
        <v>50</v>
      </c>
      <c r="R114">
        <v>2</v>
      </c>
      <c r="S114" t="b">
        <v>0</v>
      </c>
      <c r="T114" t="s">
        <v>47</v>
      </c>
      <c r="U114" t="s">
        <v>47</v>
      </c>
      <c r="V114" t="s">
        <v>47</v>
      </c>
      <c r="W114" t="s">
        <v>47</v>
      </c>
      <c r="X114" t="s">
        <v>51</v>
      </c>
      <c r="Y114" t="b">
        <v>0</v>
      </c>
      <c r="Z114" t="s">
        <v>47</v>
      </c>
      <c r="AA114" t="s">
        <v>47</v>
      </c>
      <c r="AB114" t="s">
        <v>47</v>
      </c>
      <c r="AC114" t="b">
        <v>1</v>
      </c>
      <c r="AD114" t="s">
        <v>52</v>
      </c>
      <c r="AE114" t="s">
        <v>834</v>
      </c>
      <c r="AF114" t="s">
        <v>832</v>
      </c>
      <c r="AG114" t="s">
        <v>47</v>
      </c>
      <c r="AH114" t="s">
        <v>87</v>
      </c>
      <c r="AI114" s="2">
        <v>46160.565381944441</v>
      </c>
      <c r="AJ114" t="s">
        <v>47</v>
      </c>
      <c r="AK114" t="s">
        <v>47</v>
      </c>
      <c r="AL114" s="2">
        <v>46160.565381944441</v>
      </c>
      <c r="AM114" s="2">
        <v>46160.565381944441</v>
      </c>
    </row>
    <row r="115" spans="1:39" x14ac:dyDescent="0.3">
      <c r="A115" t="s">
        <v>835</v>
      </c>
      <c r="B115" t="s">
        <v>836</v>
      </c>
      <c r="C115" t="s">
        <v>41</v>
      </c>
      <c r="D115" t="s">
        <v>837</v>
      </c>
      <c r="E115" t="s">
        <v>838</v>
      </c>
      <c r="F115" t="s">
        <v>839</v>
      </c>
      <c r="G115" t="s">
        <v>840</v>
      </c>
      <c r="H115" t="s">
        <v>841</v>
      </c>
      <c r="I115" t="s">
        <v>47</v>
      </c>
      <c r="J115" t="s">
        <v>47</v>
      </c>
      <c r="K115" t="s">
        <v>842</v>
      </c>
      <c r="L115" t="s">
        <v>47</v>
      </c>
      <c r="M115" t="s">
        <v>47</v>
      </c>
      <c r="N115" s="1">
        <v>46035</v>
      </c>
      <c r="O115" s="1">
        <v>46035</v>
      </c>
      <c r="P115" t="s">
        <v>183</v>
      </c>
      <c r="Q115" t="s">
        <v>50</v>
      </c>
      <c r="R115">
        <v>3</v>
      </c>
      <c r="S115" t="b">
        <v>0</v>
      </c>
      <c r="T115" t="s">
        <v>47</v>
      </c>
      <c r="U115" t="s">
        <v>47</v>
      </c>
      <c r="V115" t="s">
        <v>47</v>
      </c>
      <c r="W115" t="s">
        <v>47</v>
      </c>
      <c r="X115" t="s">
        <v>51</v>
      </c>
      <c r="Y115" t="b">
        <v>0</v>
      </c>
      <c r="Z115" t="s">
        <v>47</v>
      </c>
      <c r="AA115" t="s">
        <v>47</v>
      </c>
      <c r="AC115" t="b">
        <v>1</v>
      </c>
      <c r="AD115" t="s">
        <v>52</v>
      </c>
      <c r="AE115" t="s">
        <v>843</v>
      </c>
      <c r="AF115" t="s">
        <v>837</v>
      </c>
      <c r="AG115" t="s">
        <v>844</v>
      </c>
      <c r="AH115" t="s">
        <v>55</v>
      </c>
      <c r="AI115" s="2">
        <v>46160.270833333336</v>
      </c>
      <c r="AJ115" t="s">
        <v>47</v>
      </c>
      <c r="AK115" t="s">
        <v>47</v>
      </c>
      <c r="AL115" s="2">
        <v>46160.5</v>
      </c>
      <c r="AM115" s="2">
        <v>46160.5</v>
      </c>
    </row>
    <row r="116" spans="1:39" x14ac:dyDescent="0.3">
      <c r="A116" t="s">
        <v>845</v>
      </c>
      <c r="B116" t="s">
        <v>846</v>
      </c>
      <c r="C116" t="s">
        <v>41</v>
      </c>
      <c r="D116" t="s">
        <v>847</v>
      </c>
      <c r="E116" t="s">
        <v>848</v>
      </c>
      <c r="F116" t="s">
        <v>322</v>
      </c>
      <c r="G116" t="s">
        <v>323</v>
      </c>
      <c r="H116" t="s">
        <v>379</v>
      </c>
      <c r="I116" t="s">
        <v>47</v>
      </c>
      <c r="J116" t="s">
        <v>47</v>
      </c>
      <c r="K116" t="s">
        <v>253</v>
      </c>
      <c r="L116" t="s">
        <v>47</v>
      </c>
      <c r="M116" t="s">
        <v>47</v>
      </c>
      <c r="N116" s="1">
        <v>46036</v>
      </c>
      <c r="O116" s="1">
        <v>46036</v>
      </c>
      <c r="P116" t="s">
        <v>254</v>
      </c>
      <c r="Q116" t="s">
        <v>50</v>
      </c>
      <c r="R116">
        <v>1</v>
      </c>
      <c r="S116" t="b">
        <v>0</v>
      </c>
      <c r="T116" t="s">
        <v>47</v>
      </c>
      <c r="U116" t="s">
        <v>47</v>
      </c>
      <c r="V116" t="s">
        <v>47</v>
      </c>
      <c r="W116" t="s">
        <v>47</v>
      </c>
      <c r="X116" t="s">
        <v>51</v>
      </c>
      <c r="Y116" t="b">
        <v>0</v>
      </c>
      <c r="Z116" t="s">
        <v>47</v>
      </c>
      <c r="AA116" t="s">
        <v>47</v>
      </c>
      <c r="AC116" t="b">
        <v>1</v>
      </c>
      <c r="AD116" t="s">
        <v>52</v>
      </c>
      <c r="AE116" t="s">
        <v>849</v>
      </c>
      <c r="AF116" t="s">
        <v>847</v>
      </c>
      <c r="AG116" t="s">
        <v>850</v>
      </c>
      <c r="AH116" t="s">
        <v>55</v>
      </c>
      <c r="AI116" s="2">
        <v>46160.173611111109</v>
      </c>
      <c r="AJ116" t="s">
        <v>47</v>
      </c>
      <c r="AK116" t="s">
        <v>47</v>
      </c>
      <c r="AL116" s="2">
        <v>46160.402777777781</v>
      </c>
      <c r="AM116" s="2">
        <v>46160.402777777781</v>
      </c>
    </row>
    <row r="117" spans="1:39" x14ac:dyDescent="0.3">
      <c r="A117" t="s">
        <v>851</v>
      </c>
      <c r="B117" t="s">
        <v>852</v>
      </c>
      <c r="C117" t="s">
        <v>41</v>
      </c>
      <c r="D117" t="s">
        <v>853</v>
      </c>
      <c r="E117" t="s">
        <v>854</v>
      </c>
      <c r="F117" t="s">
        <v>83</v>
      </c>
      <c r="G117" t="s">
        <v>84</v>
      </c>
      <c r="H117" t="s">
        <v>85</v>
      </c>
      <c r="I117" t="s">
        <v>47</v>
      </c>
      <c r="J117" t="s">
        <v>47</v>
      </c>
      <c r="K117" t="s">
        <v>48</v>
      </c>
      <c r="L117" t="s">
        <v>47</v>
      </c>
      <c r="M117" s="1">
        <v>46036</v>
      </c>
      <c r="N117" s="1">
        <v>46036</v>
      </c>
      <c r="O117" s="1">
        <v>46036</v>
      </c>
      <c r="P117" t="s">
        <v>49</v>
      </c>
      <c r="Q117" t="s">
        <v>50</v>
      </c>
      <c r="R117">
        <v>2</v>
      </c>
      <c r="S117" t="b">
        <v>0</v>
      </c>
      <c r="T117" t="s">
        <v>47</v>
      </c>
      <c r="U117" t="s">
        <v>47</v>
      </c>
      <c r="V117" t="s">
        <v>47</v>
      </c>
      <c r="W117" t="s">
        <v>47</v>
      </c>
      <c r="X117" t="s">
        <v>51</v>
      </c>
      <c r="Y117" t="b">
        <v>0</v>
      </c>
      <c r="Z117" t="s">
        <v>47</v>
      </c>
      <c r="AA117" t="s">
        <v>47</v>
      </c>
      <c r="AB117" t="s">
        <v>47</v>
      </c>
      <c r="AC117" t="b">
        <v>1</v>
      </c>
      <c r="AD117" t="s">
        <v>52</v>
      </c>
      <c r="AE117" t="s">
        <v>855</v>
      </c>
      <c r="AF117" t="s">
        <v>853</v>
      </c>
      <c r="AG117" t="s">
        <v>47</v>
      </c>
      <c r="AH117" t="s">
        <v>87</v>
      </c>
      <c r="AI117" s="2">
        <v>46160.565381944441</v>
      </c>
      <c r="AJ117" t="s">
        <v>47</v>
      </c>
      <c r="AK117" t="s">
        <v>47</v>
      </c>
      <c r="AL117" s="2">
        <v>46160.565381944441</v>
      </c>
      <c r="AM117" s="2">
        <v>46160.565381944441</v>
      </c>
    </row>
    <row r="118" spans="1:39" x14ac:dyDescent="0.3">
      <c r="A118" t="s">
        <v>856</v>
      </c>
      <c r="B118" t="s">
        <v>857</v>
      </c>
      <c r="C118" t="s">
        <v>41</v>
      </c>
      <c r="D118" t="s">
        <v>858</v>
      </c>
      <c r="E118" t="s">
        <v>859</v>
      </c>
      <c r="F118" t="s">
        <v>107</v>
      </c>
      <c r="G118" t="s">
        <v>108</v>
      </c>
      <c r="H118" t="s">
        <v>109</v>
      </c>
      <c r="I118" t="s">
        <v>47</v>
      </c>
      <c r="J118" t="s">
        <v>47</v>
      </c>
      <c r="K118" t="s">
        <v>48</v>
      </c>
      <c r="L118" t="s">
        <v>47</v>
      </c>
      <c r="M118" t="s">
        <v>47</v>
      </c>
      <c r="N118" s="1">
        <v>46036</v>
      </c>
      <c r="O118" s="1">
        <v>46036</v>
      </c>
      <c r="P118" t="s">
        <v>49</v>
      </c>
      <c r="Q118" t="s">
        <v>50</v>
      </c>
      <c r="R118">
        <v>2</v>
      </c>
      <c r="S118" t="b">
        <v>0</v>
      </c>
      <c r="T118" t="s">
        <v>47</v>
      </c>
      <c r="U118" t="s">
        <v>47</v>
      </c>
      <c r="V118" t="s">
        <v>47</v>
      </c>
      <c r="W118" t="s">
        <v>47</v>
      </c>
      <c r="X118" t="s">
        <v>51</v>
      </c>
      <c r="Y118" t="b">
        <v>0</v>
      </c>
      <c r="Z118" t="s">
        <v>47</v>
      </c>
      <c r="AA118" t="s">
        <v>47</v>
      </c>
      <c r="AC118" t="b">
        <v>1</v>
      </c>
      <c r="AD118" t="s">
        <v>52</v>
      </c>
      <c r="AE118" t="s">
        <v>860</v>
      </c>
      <c r="AF118" t="s">
        <v>858</v>
      </c>
      <c r="AG118" t="s">
        <v>861</v>
      </c>
      <c r="AH118" t="s">
        <v>55</v>
      </c>
      <c r="AI118" s="2">
        <v>46160.25</v>
      </c>
      <c r="AJ118" t="s">
        <v>47</v>
      </c>
      <c r="AK118" t="s">
        <v>47</v>
      </c>
      <c r="AL118" s="2">
        <v>46160.479166666664</v>
      </c>
      <c r="AM118" s="2">
        <v>46160.479166666664</v>
      </c>
    </row>
    <row r="119" spans="1:39" x14ac:dyDescent="0.3">
      <c r="A119" t="s">
        <v>862</v>
      </c>
      <c r="B119" t="s">
        <v>863</v>
      </c>
      <c r="C119" t="s">
        <v>41</v>
      </c>
      <c r="D119" t="s">
        <v>864</v>
      </c>
      <c r="E119" t="s">
        <v>865</v>
      </c>
      <c r="F119" t="s">
        <v>107</v>
      </c>
      <c r="G119" t="s">
        <v>108</v>
      </c>
      <c r="H119" t="s">
        <v>109</v>
      </c>
      <c r="I119" t="s">
        <v>47</v>
      </c>
      <c r="J119" t="s">
        <v>47</v>
      </c>
      <c r="K119" t="s">
        <v>48</v>
      </c>
      <c r="L119" t="s">
        <v>47</v>
      </c>
      <c r="M119" t="s">
        <v>47</v>
      </c>
      <c r="N119" s="1">
        <v>46036</v>
      </c>
      <c r="O119" s="1">
        <v>46036</v>
      </c>
      <c r="P119" t="s">
        <v>49</v>
      </c>
      <c r="Q119" t="s">
        <v>50</v>
      </c>
      <c r="R119">
        <v>2</v>
      </c>
      <c r="S119" t="b">
        <v>0</v>
      </c>
      <c r="T119" t="s">
        <v>47</v>
      </c>
      <c r="U119" t="s">
        <v>47</v>
      </c>
      <c r="V119" t="s">
        <v>47</v>
      </c>
      <c r="W119" t="s">
        <v>47</v>
      </c>
      <c r="X119" t="s">
        <v>51</v>
      </c>
      <c r="Y119" t="b">
        <v>0</v>
      </c>
      <c r="Z119" t="s">
        <v>47</v>
      </c>
      <c r="AA119" t="s">
        <v>47</v>
      </c>
      <c r="AC119" t="b">
        <v>1</v>
      </c>
      <c r="AD119" t="s">
        <v>52</v>
      </c>
      <c r="AE119" t="s">
        <v>866</v>
      </c>
      <c r="AF119" t="s">
        <v>864</v>
      </c>
      <c r="AG119" t="s">
        <v>867</v>
      </c>
      <c r="AH119" t="s">
        <v>55</v>
      </c>
      <c r="AI119" s="2">
        <v>46160.25</v>
      </c>
      <c r="AJ119" t="s">
        <v>47</v>
      </c>
      <c r="AK119" t="s">
        <v>47</v>
      </c>
      <c r="AL119" s="2">
        <v>46160.479166666664</v>
      </c>
      <c r="AM119" s="2">
        <v>46160.479166666664</v>
      </c>
    </row>
    <row r="120" spans="1:39" x14ac:dyDescent="0.3">
      <c r="A120" t="s">
        <v>868</v>
      </c>
      <c r="B120" t="s">
        <v>869</v>
      </c>
      <c r="C120" t="s">
        <v>41</v>
      </c>
      <c r="D120" t="s">
        <v>870</v>
      </c>
      <c r="E120" t="s">
        <v>871</v>
      </c>
      <c r="F120" t="s">
        <v>83</v>
      </c>
      <c r="G120" t="s">
        <v>84</v>
      </c>
      <c r="H120" t="s">
        <v>85</v>
      </c>
      <c r="I120" t="s">
        <v>47</v>
      </c>
      <c r="J120" t="s">
        <v>47</v>
      </c>
      <c r="K120" t="s">
        <v>48</v>
      </c>
      <c r="L120" t="s">
        <v>47</v>
      </c>
      <c r="M120" s="1">
        <v>46036</v>
      </c>
      <c r="N120" s="1">
        <v>46036</v>
      </c>
      <c r="O120" s="1">
        <v>46036</v>
      </c>
      <c r="P120" t="s">
        <v>49</v>
      </c>
      <c r="Q120" t="s">
        <v>50</v>
      </c>
      <c r="R120">
        <v>2</v>
      </c>
      <c r="S120" t="b">
        <v>0</v>
      </c>
      <c r="T120" t="s">
        <v>47</v>
      </c>
      <c r="U120" t="s">
        <v>47</v>
      </c>
      <c r="V120" t="s">
        <v>47</v>
      </c>
      <c r="W120" t="s">
        <v>47</v>
      </c>
      <c r="X120" t="s">
        <v>51</v>
      </c>
      <c r="Y120" t="b">
        <v>0</v>
      </c>
      <c r="Z120" t="s">
        <v>47</v>
      </c>
      <c r="AA120" t="s">
        <v>47</v>
      </c>
      <c r="AB120" t="s">
        <v>47</v>
      </c>
      <c r="AC120" t="b">
        <v>1</v>
      </c>
      <c r="AD120" t="s">
        <v>52</v>
      </c>
      <c r="AE120" t="s">
        <v>872</v>
      </c>
      <c r="AF120" t="s">
        <v>870</v>
      </c>
      <c r="AG120" t="s">
        <v>47</v>
      </c>
      <c r="AH120" t="s">
        <v>87</v>
      </c>
      <c r="AI120" s="2">
        <v>46160.598310185182</v>
      </c>
      <c r="AJ120" t="s">
        <v>47</v>
      </c>
      <c r="AK120" t="s">
        <v>47</v>
      </c>
      <c r="AL120" s="2">
        <v>46160.598310185182</v>
      </c>
      <c r="AM120" s="2">
        <v>46160.598310185182</v>
      </c>
    </row>
    <row r="121" spans="1:39" x14ac:dyDescent="0.3">
      <c r="A121" t="s">
        <v>873</v>
      </c>
      <c r="B121" t="s">
        <v>874</v>
      </c>
      <c r="C121" t="s">
        <v>41</v>
      </c>
      <c r="D121" t="s">
        <v>875</v>
      </c>
      <c r="E121" t="s">
        <v>876</v>
      </c>
      <c r="F121" t="s">
        <v>107</v>
      </c>
      <c r="G121" t="s">
        <v>108</v>
      </c>
      <c r="H121" t="s">
        <v>877</v>
      </c>
      <c r="I121" t="s">
        <v>47</v>
      </c>
      <c r="J121" t="s">
        <v>47</v>
      </c>
      <c r="K121" t="s">
        <v>48</v>
      </c>
      <c r="L121" t="s">
        <v>47</v>
      </c>
      <c r="M121" t="s">
        <v>47</v>
      </c>
      <c r="N121" s="1">
        <v>46036</v>
      </c>
      <c r="O121" s="1">
        <v>46036</v>
      </c>
      <c r="P121" t="s">
        <v>49</v>
      </c>
      <c r="Q121" t="s">
        <v>50</v>
      </c>
      <c r="R121">
        <v>2</v>
      </c>
      <c r="S121" t="b">
        <v>0</v>
      </c>
      <c r="T121" t="s">
        <v>47</v>
      </c>
      <c r="U121" t="s">
        <v>47</v>
      </c>
      <c r="V121" t="s">
        <v>47</v>
      </c>
      <c r="W121" t="s">
        <v>47</v>
      </c>
      <c r="X121" t="s">
        <v>51</v>
      </c>
      <c r="Y121" t="b">
        <v>0</v>
      </c>
      <c r="Z121" t="s">
        <v>47</v>
      </c>
      <c r="AA121" t="s">
        <v>47</v>
      </c>
      <c r="AC121" t="b">
        <v>1</v>
      </c>
      <c r="AD121" t="s">
        <v>52</v>
      </c>
      <c r="AE121" t="s">
        <v>878</v>
      </c>
      <c r="AF121" t="s">
        <v>875</v>
      </c>
      <c r="AG121" t="s">
        <v>879</v>
      </c>
      <c r="AH121" t="s">
        <v>55</v>
      </c>
      <c r="AI121" s="2">
        <v>46160.25</v>
      </c>
      <c r="AJ121" t="s">
        <v>47</v>
      </c>
      <c r="AK121" t="s">
        <v>47</v>
      </c>
      <c r="AL121" s="2">
        <v>46160.479166666664</v>
      </c>
      <c r="AM121" s="2">
        <v>46160.479166666664</v>
      </c>
    </row>
    <row r="122" spans="1:39" x14ac:dyDescent="0.3">
      <c r="A122" t="s">
        <v>880</v>
      </c>
      <c r="B122" t="s">
        <v>881</v>
      </c>
      <c r="C122" t="s">
        <v>41</v>
      </c>
      <c r="D122" t="s">
        <v>882</v>
      </c>
      <c r="E122" t="s">
        <v>883</v>
      </c>
      <c r="F122" t="s">
        <v>83</v>
      </c>
      <c r="G122" t="s">
        <v>84</v>
      </c>
      <c r="H122" t="s">
        <v>85</v>
      </c>
      <c r="I122" t="s">
        <v>47</v>
      </c>
      <c r="J122" t="s">
        <v>47</v>
      </c>
      <c r="K122" t="s">
        <v>48</v>
      </c>
      <c r="L122" t="s">
        <v>47</v>
      </c>
      <c r="M122" s="1">
        <v>46036</v>
      </c>
      <c r="N122" s="1">
        <v>46036</v>
      </c>
      <c r="O122" s="1">
        <v>46036</v>
      </c>
      <c r="P122" t="s">
        <v>49</v>
      </c>
      <c r="Q122" t="s">
        <v>50</v>
      </c>
      <c r="R122">
        <v>2</v>
      </c>
      <c r="S122" t="b">
        <v>0</v>
      </c>
      <c r="T122" t="s">
        <v>47</v>
      </c>
      <c r="U122" t="s">
        <v>47</v>
      </c>
      <c r="V122" t="s">
        <v>47</v>
      </c>
      <c r="W122" t="s">
        <v>47</v>
      </c>
      <c r="X122" t="s">
        <v>51</v>
      </c>
      <c r="Y122" t="b">
        <v>0</v>
      </c>
      <c r="Z122" t="s">
        <v>47</v>
      </c>
      <c r="AA122" t="s">
        <v>47</v>
      </c>
      <c r="AB122" t="s">
        <v>47</v>
      </c>
      <c r="AC122" t="b">
        <v>1</v>
      </c>
      <c r="AD122" t="s">
        <v>52</v>
      </c>
      <c r="AE122" t="s">
        <v>884</v>
      </c>
      <c r="AF122" t="s">
        <v>882</v>
      </c>
      <c r="AG122" t="s">
        <v>47</v>
      </c>
      <c r="AH122" t="s">
        <v>87</v>
      </c>
      <c r="AI122" s="2">
        <v>46160.565381944441</v>
      </c>
      <c r="AJ122" t="s">
        <v>47</v>
      </c>
      <c r="AK122" t="s">
        <v>47</v>
      </c>
      <c r="AL122" s="2">
        <v>46160.565381944441</v>
      </c>
      <c r="AM122" s="2">
        <v>46160.565381944441</v>
      </c>
    </row>
    <row r="123" spans="1:39" x14ac:dyDescent="0.3">
      <c r="A123" t="s">
        <v>885</v>
      </c>
      <c r="B123" t="s">
        <v>886</v>
      </c>
      <c r="C123" t="s">
        <v>41</v>
      </c>
      <c r="D123" t="s">
        <v>887</v>
      </c>
      <c r="E123" t="s">
        <v>888</v>
      </c>
      <c r="F123" t="s">
        <v>83</v>
      </c>
      <c r="G123" t="s">
        <v>84</v>
      </c>
      <c r="H123" t="s">
        <v>85</v>
      </c>
      <c r="I123" t="s">
        <v>47</v>
      </c>
      <c r="J123" t="s">
        <v>47</v>
      </c>
      <c r="K123" t="s">
        <v>48</v>
      </c>
      <c r="L123" t="s">
        <v>47</v>
      </c>
      <c r="M123" s="1">
        <v>46036</v>
      </c>
      <c r="N123" s="1">
        <v>46036</v>
      </c>
      <c r="O123" s="1">
        <v>46036</v>
      </c>
      <c r="P123" t="s">
        <v>49</v>
      </c>
      <c r="Q123" t="s">
        <v>50</v>
      </c>
      <c r="R123">
        <v>2</v>
      </c>
      <c r="S123" t="b">
        <v>0</v>
      </c>
      <c r="T123" t="s">
        <v>47</v>
      </c>
      <c r="U123" t="s">
        <v>47</v>
      </c>
      <c r="V123" t="s">
        <v>47</v>
      </c>
      <c r="W123" t="s">
        <v>47</v>
      </c>
      <c r="X123" t="s">
        <v>51</v>
      </c>
      <c r="Y123" t="b">
        <v>0</v>
      </c>
      <c r="Z123" t="s">
        <v>47</v>
      </c>
      <c r="AA123" t="s">
        <v>47</v>
      </c>
      <c r="AB123" t="s">
        <v>47</v>
      </c>
      <c r="AC123" t="b">
        <v>1</v>
      </c>
      <c r="AD123" t="s">
        <v>52</v>
      </c>
      <c r="AE123" t="s">
        <v>889</v>
      </c>
      <c r="AF123" t="s">
        <v>887</v>
      </c>
      <c r="AG123" t="s">
        <v>47</v>
      </c>
      <c r="AH123" t="s">
        <v>87</v>
      </c>
      <c r="AI123" s="2">
        <v>46160.614004629628</v>
      </c>
      <c r="AJ123" t="s">
        <v>47</v>
      </c>
      <c r="AK123" t="s">
        <v>47</v>
      </c>
      <c r="AL123" s="2">
        <v>46160.614004629628</v>
      </c>
      <c r="AM123" s="2">
        <v>46160.614004629628</v>
      </c>
    </row>
    <row r="124" spans="1:39" x14ac:dyDescent="0.3">
      <c r="A124" t="s">
        <v>890</v>
      </c>
      <c r="B124" t="s">
        <v>891</v>
      </c>
      <c r="C124" t="s">
        <v>41</v>
      </c>
      <c r="D124" t="s">
        <v>892</v>
      </c>
      <c r="E124" t="s">
        <v>893</v>
      </c>
      <c r="F124" t="s">
        <v>83</v>
      </c>
      <c r="G124" t="s">
        <v>84</v>
      </c>
      <c r="H124" t="s">
        <v>85</v>
      </c>
      <c r="I124" t="s">
        <v>47</v>
      </c>
      <c r="J124" t="s">
        <v>47</v>
      </c>
      <c r="K124" t="s">
        <v>48</v>
      </c>
      <c r="L124" t="s">
        <v>47</v>
      </c>
      <c r="M124" s="1">
        <v>46036</v>
      </c>
      <c r="N124" s="1">
        <v>46036</v>
      </c>
      <c r="O124" s="1">
        <v>46036</v>
      </c>
      <c r="P124" t="s">
        <v>49</v>
      </c>
      <c r="Q124" t="s">
        <v>50</v>
      </c>
      <c r="R124">
        <v>2</v>
      </c>
      <c r="S124" t="b">
        <v>0</v>
      </c>
      <c r="T124" t="s">
        <v>47</v>
      </c>
      <c r="U124" t="s">
        <v>47</v>
      </c>
      <c r="V124" t="s">
        <v>47</v>
      </c>
      <c r="W124" t="s">
        <v>47</v>
      </c>
      <c r="X124" t="s">
        <v>51</v>
      </c>
      <c r="Y124" t="b">
        <v>0</v>
      </c>
      <c r="Z124" t="s">
        <v>47</v>
      </c>
      <c r="AA124" t="s">
        <v>47</v>
      </c>
      <c r="AB124" t="s">
        <v>47</v>
      </c>
      <c r="AC124" t="b">
        <v>1</v>
      </c>
      <c r="AD124" t="s">
        <v>52</v>
      </c>
      <c r="AE124" t="s">
        <v>894</v>
      </c>
      <c r="AF124" t="s">
        <v>892</v>
      </c>
      <c r="AG124" t="s">
        <v>47</v>
      </c>
      <c r="AH124" t="s">
        <v>87</v>
      </c>
      <c r="AI124" s="2">
        <v>46160.565381944441</v>
      </c>
      <c r="AJ124" t="s">
        <v>47</v>
      </c>
      <c r="AK124" t="s">
        <v>47</v>
      </c>
      <c r="AL124" s="2">
        <v>46160.565381944441</v>
      </c>
      <c r="AM124" s="2">
        <v>46160.565381944441</v>
      </c>
    </row>
    <row r="125" spans="1:39" x14ac:dyDescent="0.3">
      <c r="A125" t="s">
        <v>895</v>
      </c>
      <c r="B125" t="s">
        <v>896</v>
      </c>
      <c r="C125" t="s">
        <v>41</v>
      </c>
      <c r="D125" t="s">
        <v>897</v>
      </c>
      <c r="E125" t="s">
        <v>898</v>
      </c>
      <c r="F125" t="s">
        <v>83</v>
      </c>
      <c r="G125" t="s">
        <v>84</v>
      </c>
      <c r="H125" t="s">
        <v>85</v>
      </c>
      <c r="I125" t="s">
        <v>47</v>
      </c>
      <c r="J125" t="s">
        <v>47</v>
      </c>
      <c r="K125" t="s">
        <v>48</v>
      </c>
      <c r="L125" t="s">
        <v>47</v>
      </c>
      <c r="M125" s="1">
        <v>46036</v>
      </c>
      <c r="N125" s="1">
        <v>46036</v>
      </c>
      <c r="O125" s="1">
        <v>46036</v>
      </c>
      <c r="P125" t="s">
        <v>49</v>
      </c>
      <c r="Q125" t="s">
        <v>50</v>
      </c>
      <c r="R125">
        <v>2</v>
      </c>
      <c r="S125" t="b">
        <v>0</v>
      </c>
      <c r="T125" t="s">
        <v>47</v>
      </c>
      <c r="U125" t="s">
        <v>47</v>
      </c>
      <c r="V125" t="s">
        <v>47</v>
      </c>
      <c r="W125" t="s">
        <v>47</v>
      </c>
      <c r="X125" t="s">
        <v>51</v>
      </c>
      <c r="Y125" t="b">
        <v>0</v>
      </c>
      <c r="Z125" t="s">
        <v>47</v>
      </c>
      <c r="AA125" t="s">
        <v>47</v>
      </c>
      <c r="AB125" t="s">
        <v>47</v>
      </c>
      <c r="AC125" t="b">
        <v>1</v>
      </c>
      <c r="AD125" t="s">
        <v>52</v>
      </c>
      <c r="AE125" t="s">
        <v>899</v>
      </c>
      <c r="AF125" t="s">
        <v>897</v>
      </c>
      <c r="AG125" t="s">
        <v>47</v>
      </c>
      <c r="AH125" t="s">
        <v>87</v>
      </c>
      <c r="AI125" s="2">
        <v>46160.565381944441</v>
      </c>
      <c r="AJ125" t="s">
        <v>47</v>
      </c>
      <c r="AK125" t="s">
        <v>47</v>
      </c>
      <c r="AL125" s="2">
        <v>46160.565381944441</v>
      </c>
      <c r="AM125" s="2">
        <v>46160.565381944441</v>
      </c>
    </row>
    <row r="126" spans="1:39" x14ac:dyDescent="0.3">
      <c r="A126" t="s">
        <v>900</v>
      </c>
      <c r="B126" t="s">
        <v>901</v>
      </c>
      <c r="C126" t="s">
        <v>41</v>
      </c>
      <c r="D126" t="s">
        <v>902</v>
      </c>
      <c r="E126" t="s">
        <v>903</v>
      </c>
      <c r="F126" t="s">
        <v>83</v>
      </c>
      <c r="G126" t="s">
        <v>84</v>
      </c>
      <c r="H126" t="s">
        <v>85</v>
      </c>
      <c r="I126" t="s">
        <v>47</v>
      </c>
      <c r="J126" t="s">
        <v>47</v>
      </c>
      <c r="K126" t="s">
        <v>48</v>
      </c>
      <c r="L126" t="s">
        <v>47</v>
      </c>
      <c r="M126" s="1">
        <v>46036</v>
      </c>
      <c r="N126" s="1">
        <v>46036</v>
      </c>
      <c r="O126" s="1">
        <v>46036</v>
      </c>
      <c r="P126" t="s">
        <v>49</v>
      </c>
      <c r="Q126" t="s">
        <v>50</v>
      </c>
      <c r="R126">
        <v>2</v>
      </c>
      <c r="S126" t="b">
        <v>0</v>
      </c>
      <c r="T126" t="s">
        <v>47</v>
      </c>
      <c r="U126" t="s">
        <v>47</v>
      </c>
      <c r="V126" t="s">
        <v>47</v>
      </c>
      <c r="W126" t="s">
        <v>47</v>
      </c>
      <c r="X126" t="s">
        <v>51</v>
      </c>
      <c r="Y126" t="b">
        <v>0</v>
      </c>
      <c r="Z126" t="s">
        <v>47</v>
      </c>
      <c r="AA126" t="s">
        <v>47</v>
      </c>
      <c r="AB126" t="s">
        <v>47</v>
      </c>
      <c r="AC126" t="b">
        <v>1</v>
      </c>
      <c r="AD126" t="s">
        <v>52</v>
      </c>
      <c r="AE126" t="s">
        <v>904</v>
      </c>
      <c r="AF126" t="s">
        <v>902</v>
      </c>
      <c r="AG126" t="s">
        <v>47</v>
      </c>
      <c r="AH126" t="s">
        <v>87</v>
      </c>
      <c r="AI126" s="2">
        <v>46160.614004629628</v>
      </c>
      <c r="AJ126" t="s">
        <v>47</v>
      </c>
      <c r="AK126" t="s">
        <v>47</v>
      </c>
      <c r="AL126" s="2">
        <v>46160.614004629628</v>
      </c>
      <c r="AM126" s="2">
        <v>46160.614004629628</v>
      </c>
    </row>
    <row r="127" spans="1:39" x14ac:dyDescent="0.3">
      <c r="A127" t="s">
        <v>905</v>
      </c>
      <c r="B127" t="s">
        <v>906</v>
      </c>
      <c r="C127" t="s">
        <v>41</v>
      </c>
      <c r="D127" t="s">
        <v>907</v>
      </c>
      <c r="E127" t="s">
        <v>908</v>
      </c>
      <c r="F127" t="s">
        <v>107</v>
      </c>
      <c r="G127" t="s">
        <v>108</v>
      </c>
      <c r="H127" t="s">
        <v>109</v>
      </c>
      <c r="I127" t="s">
        <v>47</v>
      </c>
      <c r="J127" t="s">
        <v>47</v>
      </c>
      <c r="K127" t="s">
        <v>48</v>
      </c>
      <c r="L127" t="s">
        <v>47</v>
      </c>
      <c r="M127" t="s">
        <v>47</v>
      </c>
      <c r="N127" s="1">
        <v>46036</v>
      </c>
      <c r="O127" s="1">
        <v>46036</v>
      </c>
      <c r="P127" t="s">
        <v>49</v>
      </c>
      <c r="Q127" t="s">
        <v>50</v>
      </c>
      <c r="R127">
        <v>2</v>
      </c>
      <c r="S127" t="b">
        <v>0</v>
      </c>
      <c r="T127" t="s">
        <v>47</v>
      </c>
      <c r="U127" t="s">
        <v>47</v>
      </c>
      <c r="V127" t="s">
        <v>47</v>
      </c>
      <c r="W127" t="s">
        <v>47</v>
      </c>
      <c r="X127" t="s">
        <v>51</v>
      </c>
      <c r="Y127" t="b">
        <v>0</v>
      </c>
      <c r="Z127" t="s">
        <v>47</v>
      </c>
      <c r="AA127" t="s">
        <v>47</v>
      </c>
      <c r="AC127" t="b">
        <v>1</v>
      </c>
      <c r="AD127" t="s">
        <v>52</v>
      </c>
      <c r="AE127" t="s">
        <v>909</v>
      </c>
      <c r="AF127" t="s">
        <v>907</v>
      </c>
      <c r="AG127" t="s">
        <v>910</v>
      </c>
      <c r="AH127" t="s">
        <v>55</v>
      </c>
      <c r="AI127" s="2">
        <v>46160.25</v>
      </c>
      <c r="AJ127" t="s">
        <v>47</v>
      </c>
      <c r="AK127" t="s">
        <v>47</v>
      </c>
      <c r="AL127" s="2">
        <v>46160.479166666664</v>
      </c>
      <c r="AM127" s="2">
        <v>46160.479166666664</v>
      </c>
    </row>
    <row r="128" spans="1:39" x14ac:dyDescent="0.3">
      <c r="A128" t="s">
        <v>911</v>
      </c>
      <c r="B128" t="s">
        <v>912</v>
      </c>
      <c r="C128" t="s">
        <v>41</v>
      </c>
      <c r="D128" t="s">
        <v>913</v>
      </c>
      <c r="E128" t="s">
        <v>914</v>
      </c>
      <c r="F128" t="s">
        <v>83</v>
      </c>
      <c r="G128" t="s">
        <v>84</v>
      </c>
      <c r="H128" t="s">
        <v>85</v>
      </c>
      <c r="I128" t="s">
        <v>47</v>
      </c>
      <c r="J128" t="s">
        <v>47</v>
      </c>
      <c r="K128" t="s">
        <v>48</v>
      </c>
      <c r="L128" t="s">
        <v>47</v>
      </c>
      <c r="M128" s="1">
        <v>46036</v>
      </c>
      <c r="N128" s="1">
        <v>46036</v>
      </c>
      <c r="O128" s="1">
        <v>46036</v>
      </c>
      <c r="P128" t="s">
        <v>49</v>
      </c>
      <c r="Q128" t="s">
        <v>50</v>
      </c>
      <c r="R128">
        <v>2</v>
      </c>
      <c r="S128" t="b">
        <v>0</v>
      </c>
      <c r="T128" t="s">
        <v>47</v>
      </c>
      <c r="U128" t="s">
        <v>47</v>
      </c>
      <c r="V128" t="s">
        <v>47</v>
      </c>
      <c r="W128" t="s">
        <v>47</v>
      </c>
      <c r="X128" t="s">
        <v>51</v>
      </c>
      <c r="Y128" t="b">
        <v>0</v>
      </c>
      <c r="Z128" t="s">
        <v>47</v>
      </c>
      <c r="AA128" t="s">
        <v>47</v>
      </c>
      <c r="AB128" t="s">
        <v>47</v>
      </c>
      <c r="AC128" t="b">
        <v>1</v>
      </c>
      <c r="AD128" t="s">
        <v>52</v>
      </c>
      <c r="AE128" t="s">
        <v>915</v>
      </c>
      <c r="AF128" t="s">
        <v>913</v>
      </c>
      <c r="AG128" t="s">
        <v>47</v>
      </c>
      <c r="AH128" t="s">
        <v>87</v>
      </c>
      <c r="AI128" s="2">
        <v>46160.565381944441</v>
      </c>
      <c r="AJ128" t="s">
        <v>47</v>
      </c>
      <c r="AK128" t="s">
        <v>47</v>
      </c>
      <c r="AL128" s="2">
        <v>46160.565381944441</v>
      </c>
      <c r="AM128" s="2">
        <v>46160.565381944441</v>
      </c>
    </row>
    <row r="129" spans="1:39" x14ac:dyDescent="0.3">
      <c r="A129" t="s">
        <v>916</v>
      </c>
      <c r="B129" t="s">
        <v>917</v>
      </c>
      <c r="C129" t="s">
        <v>41</v>
      </c>
      <c r="D129" t="s">
        <v>918</v>
      </c>
      <c r="E129" t="s">
        <v>919</v>
      </c>
      <c r="F129" t="s">
        <v>83</v>
      </c>
      <c r="G129" t="s">
        <v>84</v>
      </c>
      <c r="H129" t="s">
        <v>85</v>
      </c>
      <c r="I129" t="s">
        <v>47</v>
      </c>
      <c r="J129" t="s">
        <v>47</v>
      </c>
      <c r="K129" t="s">
        <v>48</v>
      </c>
      <c r="L129" t="s">
        <v>47</v>
      </c>
      <c r="M129" s="1">
        <v>46036</v>
      </c>
      <c r="N129" s="1">
        <v>46036</v>
      </c>
      <c r="O129" s="1">
        <v>46036</v>
      </c>
      <c r="P129" t="s">
        <v>49</v>
      </c>
      <c r="Q129" t="s">
        <v>50</v>
      </c>
      <c r="R129">
        <v>2</v>
      </c>
      <c r="S129" t="b">
        <v>0</v>
      </c>
      <c r="T129" t="s">
        <v>47</v>
      </c>
      <c r="U129" t="s">
        <v>47</v>
      </c>
      <c r="V129" t="s">
        <v>47</v>
      </c>
      <c r="W129" t="s">
        <v>47</v>
      </c>
      <c r="X129" t="s">
        <v>51</v>
      </c>
      <c r="Y129" t="b">
        <v>0</v>
      </c>
      <c r="Z129" t="s">
        <v>47</v>
      </c>
      <c r="AA129" t="s">
        <v>47</v>
      </c>
      <c r="AB129" t="s">
        <v>47</v>
      </c>
      <c r="AC129" t="b">
        <v>1</v>
      </c>
      <c r="AD129" t="s">
        <v>52</v>
      </c>
      <c r="AE129" t="s">
        <v>920</v>
      </c>
      <c r="AF129" t="s">
        <v>918</v>
      </c>
      <c r="AG129" t="s">
        <v>47</v>
      </c>
      <c r="AH129" t="s">
        <v>87</v>
      </c>
      <c r="AI129" s="2">
        <v>46160.598310185182</v>
      </c>
      <c r="AJ129" t="s">
        <v>47</v>
      </c>
      <c r="AK129" t="s">
        <v>47</v>
      </c>
      <c r="AL129" s="2">
        <v>46160.598310185182</v>
      </c>
      <c r="AM129" s="2">
        <v>46160.598310185182</v>
      </c>
    </row>
    <row r="130" spans="1:39" x14ac:dyDescent="0.3">
      <c r="A130" t="s">
        <v>921</v>
      </c>
      <c r="B130" t="s">
        <v>922</v>
      </c>
      <c r="C130" t="s">
        <v>41</v>
      </c>
      <c r="D130" t="s">
        <v>923</v>
      </c>
      <c r="E130" t="s">
        <v>924</v>
      </c>
      <c r="F130" t="s">
        <v>83</v>
      </c>
      <c r="G130" t="s">
        <v>84</v>
      </c>
      <c r="H130" t="s">
        <v>85</v>
      </c>
      <c r="I130" t="s">
        <v>47</v>
      </c>
      <c r="J130" t="s">
        <v>47</v>
      </c>
      <c r="K130" t="s">
        <v>48</v>
      </c>
      <c r="L130" t="s">
        <v>47</v>
      </c>
      <c r="M130" s="1">
        <v>46036</v>
      </c>
      <c r="N130" s="1">
        <v>46036</v>
      </c>
      <c r="O130" s="1">
        <v>46036</v>
      </c>
      <c r="P130" t="s">
        <v>49</v>
      </c>
      <c r="Q130" t="s">
        <v>50</v>
      </c>
      <c r="R130">
        <v>2</v>
      </c>
      <c r="S130" t="b">
        <v>0</v>
      </c>
      <c r="T130" t="s">
        <v>47</v>
      </c>
      <c r="U130" t="s">
        <v>47</v>
      </c>
      <c r="V130" t="s">
        <v>47</v>
      </c>
      <c r="W130" t="s">
        <v>47</v>
      </c>
      <c r="X130" t="s">
        <v>51</v>
      </c>
      <c r="Y130" t="b">
        <v>0</v>
      </c>
      <c r="Z130" t="s">
        <v>47</v>
      </c>
      <c r="AA130" t="s">
        <v>47</v>
      </c>
      <c r="AB130" t="s">
        <v>47</v>
      </c>
      <c r="AC130" t="b">
        <v>1</v>
      </c>
      <c r="AD130" t="s">
        <v>52</v>
      </c>
      <c r="AE130" t="s">
        <v>925</v>
      </c>
      <c r="AF130" t="s">
        <v>923</v>
      </c>
      <c r="AG130" t="s">
        <v>47</v>
      </c>
      <c r="AH130" t="s">
        <v>87</v>
      </c>
      <c r="AI130" s="2">
        <v>46160.565381944441</v>
      </c>
      <c r="AJ130" t="s">
        <v>47</v>
      </c>
      <c r="AK130" t="s">
        <v>47</v>
      </c>
      <c r="AL130" s="2">
        <v>46160.565381944441</v>
      </c>
      <c r="AM130" s="2">
        <v>46160.565381944441</v>
      </c>
    </row>
    <row r="131" spans="1:39" x14ac:dyDescent="0.3">
      <c r="A131" t="s">
        <v>926</v>
      </c>
      <c r="B131" t="s">
        <v>927</v>
      </c>
      <c r="C131" t="s">
        <v>41</v>
      </c>
      <c r="D131" t="s">
        <v>928</v>
      </c>
      <c r="E131" t="s">
        <v>929</v>
      </c>
      <c r="F131" t="s">
        <v>107</v>
      </c>
      <c r="G131" t="s">
        <v>108</v>
      </c>
      <c r="H131" t="s">
        <v>930</v>
      </c>
      <c r="I131" t="s">
        <v>47</v>
      </c>
      <c r="J131" t="s">
        <v>47</v>
      </c>
      <c r="K131" t="s">
        <v>48</v>
      </c>
      <c r="L131" t="s">
        <v>47</v>
      </c>
      <c r="M131" t="s">
        <v>47</v>
      </c>
      <c r="N131" s="1">
        <v>46036</v>
      </c>
      <c r="O131" s="1">
        <v>46036</v>
      </c>
      <c r="P131" t="s">
        <v>49</v>
      </c>
      <c r="Q131" t="s">
        <v>50</v>
      </c>
      <c r="R131">
        <v>2</v>
      </c>
      <c r="S131" t="b">
        <v>0</v>
      </c>
      <c r="T131" t="s">
        <v>47</v>
      </c>
      <c r="U131" t="s">
        <v>47</v>
      </c>
      <c r="V131" t="s">
        <v>47</v>
      </c>
      <c r="W131" t="s">
        <v>47</v>
      </c>
      <c r="X131" t="s">
        <v>51</v>
      </c>
      <c r="Y131" t="b">
        <v>0</v>
      </c>
      <c r="Z131" t="s">
        <v>47</v>
      </c>
      <c r="AA131" t="s">
        <v>47</v>
      </c>
      <c r="AC131" t="b">
        <v>1</v>
      </c>
      <c r="AD131" t="s">
        <v>52</v>
      </c>
      <c r="AE131" t="s">
        <v>931</v>
      </c>
      <c r="AF131" t="s">
        <v>928</v>
      </c>
      <c r="AG131" t="s">
        <v>932</v>
      </c>
      <c r="AH131" t="s">
        <v>55</v>
      </c>
      <c r="AI131" s="2">
        <v>46160.270833333336</v>
      </c>
      <c r="AJ131" t="s">
        <v>47</v>
      </c>
      <c r="AK131" t="s">
        <v>47</v>
      </c>
      <c r="AL131" s="2">
        <v>46160.5</v>
      </c>
      <c r="AM131" s="2">
        <v>46160.5</v>
      </c>
    </row>
    <row r="132" spans="1:39" x14ac:dyDescent="0.3">
      <c r="A132" t="s">
        <v>933</v>
      </c>
      <c r="B132" t="s">
        <v>934</v>
      </c>
      <c r="C132" t="s">
        <v>41</v>
      </c>
      <c r="D132" t="s">
        <v>935</v>
      </c>
      <c r="E132" t="s">
        <v>936</v>
      </c>
      <c r="F132" t="s">
        <v>558</v>
      </c>
      <c r="G132" t="s">
        <v>559</v>
      </c>
      <c r="H132" t="s">
        <v>560</v>
      </c>
      <c r="I132" t="s">
        <v>47</v>
      </c>
      <c r="J132" t="s">
        <v>47</v>
      </c>
      <c r="K132" t="s">
        <v>253</v>
      </c>
      <c r="L132" t="s">
        <v>47</v>
      </c>
      <c r="M132" s="1">
        <v>46036</v>
      </c>
      <c r="N132" s="1">
        <v>46036</v>
      </c>
      <c r="O132" s="1">
        <v>46036</v>
      </c>
      <c r="P132" t="s">
        <v>254</v>
      </c>
      <c r="Q132" t="s">
        <v>50</v>
      </c>
      <c r="R132">
        <v>1</v>
      </c>
      <c r="S132" t="b">
        <v>0</v>
      </c>
      <c r="T132" t="s">
        <v>47</v>
      </c>
      <c r="U132" t="s">
        <v>47</v>
      </c>
      <c r="V132" t="s">
        <v>47</v>
      </c>
      <c r="W132" t="s">
        <v>47</v>
      </c>
      <c r="X132" t="s">
        <v>51</v>
      </c>
      <c r="Y132" t="b">
        <v>0</v>
      </c>
      <c r="Z132" t="s">
        <v>47</v>
      </c>
      <c r="AA132" t="s">
        <v>47</v>
      </c>
      <c r="AB132" t="s">
        <v>47</v>
      </c>
      <c r="AC132" t="b">
        <v>1</v>
      </c>
      <c r="AD132" t="s">
        <v>52</v>
      </c>
      <c r="AE132" t="s">
        <v>937</v>
      </c>
      <c r="AF132" t="s">
        <v>935</v>
      </c>
      <c r="AG132" t="s">
        <v>47</v>
      </c>
      <c r="AH132" t="s">
        <v>87</v>
      </c>
      <c r="AI132" s="2">
        <v>46160.598310185182</v>
      </c>
      <c r="AJ132" t="s">
        <v>47</v>
      </c>
      <c r="AK132" t="s">
        <v>47</v>
      </c>
      <c r="AL132" s="2">
        <v>46160.598310185182</v>
      </c>
      <c r="AM132" s="2">
        <v>46160.598310185182</v>
      </c>
    </row>
    <row r="133" spans="1:39" x14ac:dyDescent="0.3">
      <c r="A133" t="s">
        <v>938</v>
      </c>
      <c r="B133" t="s">
        <v>939</v>
      </c>
      <c r="C133" t="s">
        <v>41</v>
      </c>
      <c r="D133" t="s">
        <v>940</v>
      </c>
      <c r="E133" t="s">
        <v>941</v>
      </c>
      <c r="F133" t="s">
        <v>942</v>
      </c>
      <c r="G133" t="s">
        <v>943</v>
      </c>
      <c r="H133" t="s">
        <v>944</v>
      </c>
      <c r="I133" t="s">
        <v>47</v>
      </c>
      <c r="J133" t="s">
        <v>47</v>
      </c>
      <c r="K133" t="s">
        <v>945</v>
      </c>
      <c r="L133" t="s">
        <v>47</v>
      </c>
      <c r="M133" s="1">
        <v>46038</v>
      </c>
      <c r="N133" s="1">
        <v>46038</v>
      </c>
      <c r="O133" s="1">
        <v>46038</v>
      </c>
      <c r="P133" t="s">
        <v>288</v>
      </c>
      <c r="Q133" t="s">
        <v>76</v>
      </c>
      <c r="R133">
        <v>2</v>
      </c>
      <c r="S133" t="b">
        <v>0</v>
      </c>
      <c r="T133" t="s">
        <v>47</v>
      </c>
      <c r="U133" t="s">
        <v>47</v>
      </c>
      <c r="V133" t="s">
        <v>47</v>
      </c>
      <c r="W133" t="s">
        <v>47</v>
      </c>
      <c r="X133" t="s">
        <v>51</v>
      </c>
      <c r="Y133" t="b">
        <v>0</v>
      </c>
      <c r="Z133" t="s">
        <v>47</v>
      </c>
      <c r="AA133" t="s">
        <v>47</v>
      </c>
      <c r="AB133" t="s">
        <v>47</v>
      </c>
      <c r="AC133" t="b">
        <v>1</v>
      </c>
      <c r="AD133" t="s">
        <v>52</v>
      </c>
      <c r="AE133" t="s">
        <v>946</v>
      </c>
      <c r="AF133" t="s">
        <v>940</v>
      </c>
      <c r="AG133" t="s">
        <v>47</v>
      </c>
      <c r="AH133" t="s">
        <v>87</v>
      </c>
      <c r="AI133" s="2">
        <v>46160.614004629628</v>
      </c>
      <c r="AJ133" t="s">
        <v>47</v>
      </c>
      <c r="AK133" t="s">
        <v>47</v>
      </c>
      <c r="AL133" s="2">
        <v>46160.614004629628</v>
      </c>
      <c r="AM133" s="2">
        <v>46160.614004629628</v>
      </c>
    </row>
    <row r="134" spans="1:39" x14ac:dyDescent="0.3">
      <c r="A134" t="s">
        <v>947</v>
      </c>
      <c r="B134" t="s">
        <v>948</v>
      </c>
      <c r="C134" t="s">
        <v>41</v>
      </c>
      <c r="D134" t="s">
        <v>949</v>
      </c>
      <c r="E134" t="s">
        <v>950</v>
      </c>
      <c r="F134" t="s">
        <v>180</v>
      </c>
      <c r="G134" t="s">
        <v>181</v>
      </c>
      <c r="H134" t="s">
        <v>182</v>
      </c>
      <c r="I134" t="s">
        <v>47</v>
      </c>
      <c r="J134" t="s">
        <v>47</v>
      </c>
      <c r="K134" t="s">
        <v>47</v>
      </c>
      <c r="L134" t="s">
        <v>47</v>
      </c>
      <c r="M134" t="s">
        <v>47</v>
      </c>
      <c r="N134" s="1">
        <v>46037</v>
      </c>
      <c r="O134" s="1">
        <v>46037</v>
      </c>
      <c r="P134" t="s">
        <v>183</v>
      </c>
      <c r="Q134" t="s">
        <v>184</v>
      </c>
      <c r="R134">
        <v>1</v>
      </c>
      <c r="S134" t="b">
        <v>0</v>
      </c>
      <c r="T134" t="s">
        <v>47</v>
      </c>
      <c r="U134" t="s">
        <v>47</v>
      </c>
      <c r="V134" t="s">
        <v>47</v>
      </c>
      <c r="W134" t="s">
        <v>47</v>
      </c>
      <c r="X134" t="s">
        <v>51</v>
      </c>
      <c r="Y134" t="b">
        <v>0</v>
      </c>
      <c r="Z134" t="s">
        <v>47</v>
      </c>
      <c r="AA134" t="s">
        <v>47</v>
      </c>
      <c r="AC134" t="b">
        <v>1</v>
      </c>
      <c r="AD134" t="s">
        <v>52</v>
      </c>
      <c r="AE134" t="s">
        <v>951</v>
      </c>
      <c r="AF134" t="s">
        <v>949</v>
      </c>
      <c r="AG134" t="s">
        <v>952</v>
      </c>
      <c r="AH134" t="s">
        <v>55</v>
      </c>
      <c r="AI134" s="2">
        <v>46160.201388888891</v>
      </c>
      <c r="AJ134" t="s">
        <v>47</v>
      </c>
      <c r="AK134" t="s">
        <v>47</v>
      </c>
      <c r="AL134" s="2">
        <v>46160.430555555555</v>
      </c>
      <c r="AM134" s="2">
        <v>46160.430555555555</v>
      </c>
    </row>
    <row r="135" spans="1:39" x14ac:dyDescent="0.3">
      <c r="A135" t="s">
        <v>953</v>
      </c>
      <c r="B135" t="s">
        <v>954</v>
      </c>
      <c r="C135" t="s">
        <v>41</v>
      </c>
      <c r="D135" t="s">
        <v>955</v>
      </c>
      <c r="E135" t="s">
        <v>956</v>
      </c>
      <c r="F135" t="s">
        <v>180</v>
      </c>
      <c r="G135" t="s">
        <v>181</v>
      </c>
      <c r="H135" t="s">
        <v>182</v>
      </c>
      <c r="I135" t="s">
        <v>47</v>
      </c>
      <c r="J135" t="s">
        <v>47</v>
      </c>
      <c r="K135" t="s">
        <v>47</v>
      </c>
      <c r="L135" t="s">
        <v>47</v>
      </c>
      <c r="M135" t="s">
        <v>47</v>
      </c>
      <c r="N135" s="1">
        <v>46037</v>
      </c>
      <c r="O135" s="1">
        <v>46037</v>
      </c>
      <c r="P135" t="s">
        <v>183</v>
      </c>
      <c r="Q135" t="s">
        <v>184</v>
      </c>
      <c r="R135">
        <v>1</v>
      </c>
      <c r="S135" t="b">
        <v>0</v>
      </c>
      <c r="T135" t="s">
        <v>47</v>
      </c>
      <c r="U135" t="s">
        <v>47</v>
      </c>
      <c r="V135" t="s">
        <v>47</v>
      </c>
      <c r="W135" t="s">
        <v>47</v>
      </c>
      <c r="X135" t="s">
        <v>51</v>
      </c>
      <c r="Y135" t="b">
        <v>0</v>
      </c>
      <c r="Z135" t="s">
        <v>47</v>
      </c>
      <c r="AA135" t="s">
        <v>47</v>
      </c>
      <c r="AC135" t="b">
        <v>1</v>
      </c>
      <c r="AD135" t="s">
        <v>52</v>
      </c>
      <c r="AE135" t="s">
        <v>957</v>
      </c>
      <c r="AF135" t="s">
        <v>955</v>
      </c>
      <c r="AG135" t="s">
        <v>958</v>
      </c>
      <c r="AH135" t="s">
        <v>55</v>
      </c>
      <c r="AI135" s="2">
        <v>46160.201388888891</v>
      </c>
      <c r="AJ135" t="s">
        <v>47</v>
      </c>
      <c r="AK135" t="s">
        <v>47</v>
      </c>
      <c r="AL135" s="2">
        <v>46160.430555555555</v>
      </c>
      <c r="AM135" s="2">
        <v>46160.430555555555</v>
      </c>
    </row>
    <row r="136" spans="1:39" x14ac:dyDescent="0.3">
      <c r="A136" t="s">
        <v>959</v>
      </c>
      <c r="B136" t="s">
        <v>960</v>
      </c>
      <c r="C136" t="s">
        <v>41</v>
      </c>
      <c r="D136" t="s">
        <v>961</v>
      </c>
      <c r="E136" t="s">
        <v>962</v>
      </c>
      <c r="F136" t="s">
        <v>180</v>
      </c>
      <c r="G136" t="s">
        <v>181</v>
      </c>
      <c r="H136" t="s">
        <v>182</v>
      </c>
      <c r="I136" t="s">
        <v>47</v>
      </c>
      <c r="J136" t="s">
        <v>47</v>
      </c>
      <c r="K136" t="s">
        <v>47</v>
      </c>
      <c r="L136" t="s">
        <v>47</v>
      </c>
      <c r="M136" t="s">
        <v>47</v>
      </c>
      <c r="N136" s="1">
        <v>46037</v>
      </c>
      <c r="O136" s="1">
        <v>46037</v>
      </c>
      <c r="P136" t="s">
        <v>183</v>
      </c>
      <c r="Q136" t="s">
        <v>184</v>
      </c>
      <c r="R136">
        <v>1</v>
      </c>
      <c r="S136" t="b">
        <v>0</v>
      </c>
      <c r="T136" t="s">
        <v>47</v>
      </c>
      <c r="U136" t="s">
        <v>47</v>
      </c>
      <c r="V136" t="s">
        <v>47</v>
      </c>
      <c r="W136" t="s">
        <v>47</v>
      </c>
      <c r="X136" t="s">
        <v>51</v>
      </c>
      <c r="Y136" t="b">
        <v>0</v>
      </c>
      <c r="Z136" t="s">
        <v>47</v>
      </c>
      <c r="AA136" t="s">
        <v>47</v>
      </c>
      <c r="AC136" t="b">
        <v>1</v>
      </c>
      <c r="AD136" t="s">
        <v>52</v>
      </c>
      <c r="AE136" t="s">
        <v>963</v>
      </c>
      <c r="AF136" t="s">
        <v>961</v>
      </c>
      <c r="AG136" t="s">
        <v>964</v>
      </c>
      <c r="AH136" t="s">
        <v>55</v>
      </c>
      <c r="AI136" s="2">
        <v>46160.201388888891</v>
      </c>
      <c r="AJ136" t="s">
        <v>47</v>
      </c>
      <c r="AK136" t="s">
        <v>47</v>
      </c>
      <c r="AL136" s="2">
        <v>46160.430555555555</v>
      </c>
      <c r="AM136" s="2">
        <v>46160.430555555555</v>
      </c>
    </row>
    <row r="137" spans="1:39" x14ac:dyDescent="0.3">
      <c r="A137" t="s">
        <v>965</v>
      </c>
      <c r="B137" t="s">
        <v>966</v>
      </c>
      <c r="C137" t="s">
        <v>41</v>
      </c>
      <c r="D137" t="s">
        <v>967</v>
      </c>
      <c r="E137" t="s">
        <v>968</v>
      </c>
      <c r="F137" t="s">
        <v>180</v>
      </c>
      <c r="G137" t="s">
        <v>181</v>
      </c>
      <c r="H137" t="s">
        <v>182</v>
      </c>
      <c r="I137" t="s">
        <v>47</v>
      </c>
      <c r="J137" t="s">
        <v>47</v>
      </c>
      <c r="K137" t="s">
        <v>47</v>
      </c>
      <c r="L137" t="s">
        <v>47</v>
      </c>
      <c r="M137" t="s">
        <v>47</v>
      </c>
      <c r="N137" s="1">
        <v>46037</v>
      </c>
      <c r="O137" s="1">
        <v>46037</v>
      </c>
      <c r="P137" t="s">
        <v>183</v>
      </c>
      <c r="Q137" t="s">
        <v>184</v>
      </c>
      <c r="R137">
        <v>1</v>
      </c>
      <c r="S137" t="b">
        <v>0</v>
      </c>
      <c r="T137" t="s">
        <v>47</v>
      </c>
      <c r="U137" t="s">
        <v>47</v>
      </c>
      <c r="V137" t="s">
        <v>47</v>
      </c>
      <c r="W137" t="s">
        <v>47</v>
      </c>
      <c r="X137" t="s">
        <v>51</v>
      </c>
      <c r="Y137" t="b">
        <v>0</v>
      </c>
      <c r="Z137" t="s">
        <v>47</v>
      </c>
      <c r="AA137" t="s">
        <v>47</v>
      </c>
      <c r="AC137" t="b">
        <v>1</v>
      </c>
      <c r="AD137" t="s">
        <v>52</v>
      </c>
      <c r="AE137" t="s">
        <v>969</v>
      </c>
      <c r="AF137" t="s">
        <v>967</v>
      </c>
      <c r="AG137" t="s">
        <v>970</v>
      </c>
      <c r="AH137" t="s">
        <v>55</v>
      </c>
      <c r="AI137" s="2">
        <v>46160.201388888891</v>
      </c>
      <c r="AJ137" t="s">
        <v>47</v>
      </c>
      <c r="AK137" t="s">
        <v>47</v>
      </c>
      <c r="AL137" s="2">
        <v>46160.430555555555</v>
      </c>
      <c r="AM137" s="2">
        <v>46160.430555555555</v>
      </c>
    </row>
    <row r="138" spans="1:39" x14ac:dyDescent="0.3">
      <c r="A138" t="s">
        <v>971</v>
      </c>
      <c r="B138" t="s">
        <v>972</v>
      </c>
      <c r="C138" t="s">
        <v>41</v>
      </c>
      <c r="D138" t="s">
        <v>973</v>
      </c>
      <c r="E138" t="s">
        <v>974</v>
      </c>
      <c r="F138" t="s">
        <v>718</v>
      </c>
      <c r="G138" t="s">
        <v>719</v>
      </c>
      <c r="H138" t="s">
        <v>720</v>
      </c>
      <c r="I138" t="s">
        <v>47</v>
      </c>
      <c r="J138" t="s">
        <v>47</v>
      </c>
      <c r="K138" t="s">
        <v>721</v>
      </c>
      <c r="L138" t="s">
        <v>47</v>
      </c>
      <c r="M138" s="1">
        <v>46038</v>
      </c>
      <c r="N138" s="1">
        <v>46038</v>
      </c>
      <c r="O138" s="1">
        <v>46038</v>
      </c>
      <c r="P138" t="s">
        <v>722</v>
      </c>
      <c r="Q138" t="s">
        <v>50</v>
      </c>
      <c r="R138">
        <v>3</v>
      </c>
      <c r="S138" t="b">
        <v>1</v>
      </c>
      <c r="T138" t="s">
        <v>47</v>
      </c>
      <c r="U138" t="s">
        <v>47</v>
      </c>
      <c r="V138" t="s">
        <v>47</v>
      </c>
      <c r="W138" t="s">
        <v>47</v>
      </c>
      <c r="X138" t="s">
        <v>51</v>
      </c>
      <c r="Y138" t="b">
        <v>0</v>
      </c>
      <c r="Z138" t="s">
        <v>47</v>
      </c>
      <c r="AA138" t="s">
        <v>47</v>
      </c>
      <c r="AB138" t="s">
        <v>47</v>
      </c>
      <c r="AC138" t="b">
        <v>1</v>
      </c>
      <c r="AD138" t="s">
        <v>52</v>
      </c>
      <c r="AE138" t="s">
        <v>975</v>
      </c>
      <c r="AF138" t="s">
        <v>973</v>
      </c>
      <c r="AG138" t="s">
        <v>47</v>
      </c>
      <c r="AH138" t="s">
        <v>87</v>
      </c>
      <c r="AI138" s="2">
        <v>46160.581724537034</v>
      </c>
      <c r="AJ138" t="s">
        <v>47</v>
      </c>
      <c r="AK138" t="s">
        <v>47</v>
      </c>
      <c r="AL138" s="2">
        <v>46160.581724537034</v>
      </c>
      <c r="AM138" s="2">
        <v>46160.581724537034</v>
      </c>
    </row>
    <row r="139" spans="1:39" x14ac:dyDescent="0.3">
      <c r="A139" t="s">
        <v>976</v>
      </c>
      <c r="B139" t="s">
        <v>977</v>
      </c>
      <c r="C139" t="s">
        <v>41</v>
      </c>
      <c r="D139" t="s">
        <v>978</v>
      </c>
      <c r="E139" t="s">
        <v>979</v>
      </c>
      <c r="F139" t="s">
        <v>718</v>
      </c>
      <c r="G139" t="s">
        <v>719</v>
      </c>
      <c r="H139" t="s">
        <v>720</v>
      </c>
      <c r="I139" t="s">
        <v>47</v>
      </c>
      <c r="J139" t="s">
        <v>47</v>
      </c>
      <c r="K139" t="s">
        <v>721</v>
      </c>
      <c r="L139" t="s">
        <v>47</v>
      </c>
      <c r="M139" s="1">
        <v>46038</v>
      </c>
      <c r="N139" s="1">
        <v>46038</v>
      </c>
      <c r="O139" s="1">
        <v>46038</v>
      </c>
      <c r="P139" t="s">
        <v>722</v>
      </c>
      <c r="Q139" t="s">
        <v>50</v>
      </c>
      <c r="R139">
        <v>3</v>
      </c>
      <c r="S139" t="b">
        <v>1</v>
      </c>
      <c r="T139" t="s">
        <v>47</v>
      </c>
      <c r="U139" t="s">
        <v>47</v>
      </c>
      <c r="V139" t="s">
        <v>47</v>
      </c>
      <c r="W139" t="s">
        <v>47</v>
      </c>
      <c r="X139" t="s">
        <v>51</v>
      </c>
      <c r="Y139" t="b">
        <v>0</v>
      </c>
      <c r="Z139" t="s">
        <v>47</v>
      </c>
      <c r="AA139" t="s">
        <v>47</v>
      </c>
      <c r="AB139" t="s">
        <v>47</v>
      </c>
      <c r="AC139" t="b">
        <v>1</v>
      </c>
      <c r="AD139" t="s">
        <v>52</v>
      </c>
      <c r="AE139" t="s">
        <v>980</v>
      </c>
      <c r="AF139" t="s">
        <v>978</v>
      </c>
      <c r="AG139" t="s">
        <v>47</v>
      </c>
      <c r="AH139" t="s">
        <v>87</v>
      </c>
      <c r="AI139" s="2">
        <v>46160.614004629628</v>
      </c>
      <c r="AJ139" t="s">
        <v>47</v>
      </c>
      <c r="AK139" t="s">
        <v>47</v>
      </c>
      <c r="AL139" s="2">
        <v>46160.614004629628</v>
      </c>
      <c r="AM139" s="2">
        <v>46160.614004629628</v>
      </c>
    </row>
    <row r="140" spans="1:39" x14ac:dyDescent="0.3">
      <c r="A140" t="s">
        <v>981</v>
      </c>
      <c r="B140" t="s">
        <v>982</v>
      </c>
      <c r="C140" t="s">
        <v>41</v>
      </c>
      <c r="D140" t="s">
        <v>983</v>
      </c>
      <c r="E140" t="s">
        <v>984</v>
      </c>
      <c r="F140" t="s">
        <v>127</v>
      </c>
      <c r="G140" t="s">
        <v>128</v>
      </c>
      <c r="H140" t="s">
        <v>129</v>
      </c>
      <c r="I140" t="s">
        <v>47</v>
      </c>
      <c r="J140" t="s">
        <v>47</v>
      </c>
      <c r="K140" t="s">
        <v>130</v>
      </c>
      <c r="L140" t="s">
        <v>47</v>
      </c>
      <c r="M140" t="s">
        <v>47</v>
      </c>
      <c r="N140" s="1">
        <v>46037</v>
      </c>
      <c r="O140" s="1">
        <v>46037</v>
      </c>
      <c r="P140" t="s">
        <v>49</v>
      </c>
      <c r="Q140" t="s">
        <v>50</v>
      </c>
      <c r="R140">
        <v>3</v>
      </c>
      <c r="S140" t="b">
        <v>1</v>
      </c>
      <c r="T140" t="s">
        <v>47</v>
      </c>
      <c r="U140" t="s">
        <v>47</v>
      </c>
      <c r="V140" t="s">
        <v>47</v>
      </c>
      <c r="W140" t="s">
        <v>47</v>
      </c>
      <c r="X140" t="s">
        <v>51</v>
      </c>
      <c r="Y140" t="b">
        <v>0</v>
      </c>
      <c r="Z140" t="s">
        <v>47</v>
      </c>
      <c r="AA140" t="s">
        <v>47</v>
      </c>
      <c r="AB140">
        <v>0.6</v>
      </c>
      <c r="AC140" t="b">
        <v>1</v>
      </c>
      <c r="AD140" t="s">
        <v>52</v>
      </c>
      <c r="AE140" t="s">
        <v>985</v>
      </c>
      <c r="AF140" t="s">
        <v>983</v>
      </c>
      <c r="AG140" t="s">
        <v>986</v>
      </c>
      <c r="AH140" t="s">
        <v>55</v>
      </c>
      <c r="AI140" s="2">
        <v>46160.173611111109</v>
      </c>
      <c r="AJ140" t="s">
        <v>47</v>
      </c>
      <c r="AK140" t="s">
        <v>47</v>
      </c>
      <c r="AL140" s="2">
        <v>46160.402777777781</v>
      </c>
      <c r="AM140" s="2">
        <v>46160.402777777781</v>
      </c>
    </row>
    <row r="141" spans="1:39" x14ac:dyDescent="0.3">
      <c r="A141" t="s">
        <v>987</v>
      </c>
      <c r="B141" t="s">
        <v>988</v>
      </c>
      <c r="C141" t="s">
        <v>41</v>
      </c>
      <c r="D141" t="s">
        <v>989</v>
      </c>
      <c r="E141" t="s">
        <v>990</v>
      </c>
      <c r="F141" t="s">
        <v>83</v>
      </c>
      <c r="G141" t="s">
        <v>84</v>
      </c>
      <c r="H141" t="s">
        <v>85</v>
      </c>
      <c r="I141" t="s">
        <v>47</v>
      </c>
      <c r="J141" t="s">
        <v>47</v>
      </c>
      <c r="K141" t="s">
        <v>48</v>
      </c>
      <c r="L141" t="s">
        <v>47</v>
      </c>
      <c r="M141" s="1">
        <v>46038</v>
      </c>
      <c r="N141" s="1">
        <v>46038</v>
      </c>
      <c r="O141" s="1">
        <v>46038</v>
      </c>
      <c r="P141" t="s">
        <v>49</v>
      </c>
      <c r="Q141" t="s">
        <v>50</v>
      </c>
      <c r="R141">
        <v>2</v>
      </c>
      <c r="S141" t="b">
        <v>0</v>
      </c>
      <c r="T141" t="s">
        <v>47</v>
      </c>
      <c r="U141" t="s">
        <v>47</v>
      </c>
      <c r="V141" t="s">
        <v>47</v>
      </c>
      <c r="W141" t="s">
        <v>47</v>
      </c>
      <c r="X141" t="s">
        <v>51</v>
      </c>
      <c r="Y141" t="b">
        <v>0</v>
      </c>
      <c r="Z141" t="s">
        <v>47</v>
      </c>
      <c r="AA141" t="s">
        <v>47</v>
      </c>
      <c r="AB141" t="s">
        <v>47</v>
      </c>
      <c r="AC141" t="b">
        <v>1</v>
      </c>
      <c r="AD141" t="s">
        <v>52</v>
      </c>
      <c r="AE141" t="s">
        <v>991</v>
      </c>
      <c r="AF141" t="s">
        <v>989</v>
      </c>
      <c r="AG141" t="s">
        <v>47</v>
      </c>
      <c r="AH141" t="s">
        <v>87</v>
      </c>
      <c r="AI141" s="2">
        <v>46160.565381944441</v>
      </c>
      <c r="AJ141" t="s">
        <v>47</v>
      </c>
      <c r="AK141" t="s">
        <v>47</v>
      </c>
      <c r="AL141" s="2">
        <v>46160.565381944441</v>
      </c>
      <c r="AM141" s="2">
        <v>46160.565381944441</v>
      </c>
    </row>
    <row r="142" spans="1:39" x14ac:dyDescent="0.3">
      <c r="A142" t="s">
        <v>992</v>
      </c>
      <c r="B142" t="s">
        <v>993</v>
      </c>
      <c r="C142" t="s">
        <v>41</v>
      </c>
      <c r="D142" t="s">
        <v>994</v>
      </c>
      <c r="E142" t="s">
        <v>995</v>
      </c>
      <c r="F142" t="s">
        <v>83</v>
      </c>
      <c r="G142" t="s">
        <v>84</v>
      </c>
      <c r="H142" t="s">
        <v>85</v>
      </c>
      <c r="I142" t="s">
        <v>47</v>
      </c>
      <c r="J142" t="s">
        <v>47</v>
      </c>
      <c r="K142" t="s">
        <v>48</v>
      </c>
      <c r="L142" t="s">
        <v>47</v>
      </c>
      <c r="M142" s="1">
        <v>46038</v>
      </c>
      <c r="N142" s="1">
        <v>46038</v>
      </c>
      <c r="O142" s="1">
        <v>46038</v>
      </c>
      <c r="P142" t="s">
        <v>49</v>
      </c>
      <c r="Q142" t="s">
        <v>50</v>
      </c>
      <c r="R142">
        <v>2</v>
      </c>
      <c r="S142" t="b">
        <v>0</v>
      </c>
      <c r="T142" t="s">
        <v>47</v>
      </c>
      <c r="U142" t="s">
        <v>47</v>
      </c>
      <c r="V142" t="s">
        <v>47</v>
      </c>
      <c r="W142" t="s">
        <v>47</v>
      </c>
      <c r="X142" t="s">
        <v>51</v>
      </c>
      <c r="Y142" t="b">
        <v>0</v>
      </c>
      <c r="Z142" t="s">
        <v>47</v>
      </c>
      <c r="AA142" t="s">
        <v>47</v>
      </c>
      <c r="AB142" t="s">
        <v>47</v>
      </c>
      <c r="AC142" t="b">
        <v>1</v>
      </c>
      <c r="AD142" t="s">
        <v>52</v>
      </c>
      <c r="AE142" t="s">
        <v>996</v>
      </c>
      <c r="AF142" t="s">
        <v>994</v>
      </c>
      <c r="AG142" t="s">
        <v>47</v>
      </c>
      <c r="AH142" t="s">
        <v>87</v>
      </c>
      <c r="AI142" s="2">
        <v>46160.581724537034</v>
      </c>
      <c r="AJ142" t="s">
        <v>47</v>
      </c>
      <c r="AK142" t="s">
        <v>47</v>
      </c>
      <c r="AL142" s="2">
        <v>46160.581724537034</v>
      </c>
      <c r="AM142" s="2">
        <v>46160.581724537034</v>
      </c>
    </row>
    <row r="143" spans="1:39" x14ac:dyDescent="0.3">
      <c r="A143" t="s">
        <v>997</v>
      </c>
      <c r="B143" t="s">
        <v>998</v>
      </c>
      <c r="C143" t="s">
        <v>41</v>
      </c>
      <c r="D143" t="s">
        <v>999</v>
      </c>
      <c r="E143" t="s">
        <v>1000</v>
      </c>
      <c r="F143" t="s">
        <v>83</v>
      </c>
      <c r="G143" t="s">
        <v>84</v>
      </c>
      <c r="H143" t="s">
        <v>85</v>
      </c>
      <c r="I143" t="s">
        <v>47</v>
      </c>
      <c r="J143" t="s">
        <v>47</v>
      </c>
      <c r="K143" t="s">
        <v>48</v>
      </c>
      <c r="L143" t="s">
        <v>47</v>
      </c>
      <c r="M143" s="1">
        <v>46038</v>
      </c>
      <c r="N143" s="1">
        <v>46038</v>
      </c>
      <c r="O143" s="1">
        <v>46038</v>
      </c>
      <c r="P143" t="s">
        <v>49</v>
      </c>
      <c r="Q143" t="s">
        <v>50</v>
      </c>
      <c r="R143">
        <v>2</v>
      </c>
      <c r="S143" t="b">
        <v>0</v>
      </c>
      <c r="T143" t="s">
        <v>47</v>
      </c>
      <c r="U143" t="s">
        <v>47</v>
      </c>
      <c r="V143" t="s">
        <v>47</v>
      </c>
      <c r="W143" t="s">
        <v>47</v>
      </c>
      <c r="X143" t="s">
        <v>51</v>
      </c>
      <c r="Y143" t="b">
        <v>0</v>
      </c>
      <c r="Z143" t="s">
        <v>47</v>
      </c>
      <c r="AA143" t="s">
        <v>47</v>
      </c>
      <c r="AB143" t="s">
        <v>47</v>
      </c>
      <c r="AC143" t="b">
        <v>1</v>
      </c>
      <c r="AD143" t="s">
        <v>52</v>
      </c>
      <c r="AE143" t="s">
        <v>1001</v>
      </c>
      <c r="AF143" t="s">
        <v>999</v>
      </c>
      <c r="AG143" t="s">
        <v>47</v>
      </c>
      <c r="AH143" t="s">
        <v>87</v>
      </c>
      <c r="AI143" s="2">
        <v>46160.565381944441</v>
      </c>
      <c r="AJ143" t="s">
        <v>47</v>
      </c>
      <c r="AK143" t="s">
        <v>47</v>
      </c>
      <c r="AL143" s="2">
        <v>46160.565381944441</v>
      </c>
      <c r="AM143" s="2">
        <v>46160.565381944441</v>
      </c>
    </row>
    <row r="144" spans="1:39" x14ac:dyDescent="0.3">
      <c r="A144" t="s">
        <v>1002</v>
      </c>
      <c r="B144" t="s">
        <v>1003</v>
      </c>
      <c r="C144" t="s">
        <v>41</v>
      </c>
      <c r="D144" t="s">
        <v>1004</v>
      </c>
      <c r="E144" t="s">
        <v>1005</v>
      </c>
      <c r="F144" t="s">
        <v>83</v>
      </c>
      <c r="G144" t="s">
        <v>84</v>
      </c>
      <c r="H144" t="s">
        <v>85</v>
      </c>
      <c r="I144" t="s">
        <v>47</v>
      </c>
      <c r="J144" t="s">
        <v>47</v>
      </c>
      <c r="K144" t="s">
        <v>48</v>
      </c>
      <c r="L144" t="s">
        <v>47</v>
      </c>
      <c r="M144" s="1">
        <v>46038</v>
      </c>
      <c r="N144" s="1">
        <v>46038</v>
      </c>
      <c r="O144" s="1">
        <v>46038</v>
      </c>
      <c r="P144" t="s">
        <v>49</v>
      </c>
      <c r="Q144" t="s">
        <v>50</v>
      </c>
      <c r="R144">
        <v>2</v>
      </c>
      <c r="S144" t="b">
        <v>0</v>
      </c>
      <c r="T144" t="s">
        <v>47</v>
      </c>
      <c r="U144" t="s">
        <v>47</v>
      </c>
      <c r="V144" t="s">
        <v>47</v>
      </c>
      <c r="W144" t="s">
        <v>47</v>
      </c>
      <c r="X144" t="s">
        <v>51</v>
      </c>
      <c r="Y144" t="b">
        <v>0</v>
      </c>
      <c r="Z144" t="s">
        <v>47</v>
      </c>
      <c r="AA144" t="s">
        <v>47</v>
      </c>
      <c r="AB144" t="s">
        <v>47</v>
      </c>
      <c r="AC144" t="b">
        <v>1</v>
      </c>
      <c r="AD144" t="s">
        <v>52</v>
      </c>
      <c r="AE144" t="s">
        <v>1006</v>
      </c>
      <c r="AF144" t="s">
        <v>1004</v>
      </c>
      <c r="AG144" t="s">
        <v>47</v>
      </c>
      <c r="AH144" t="s">
        <v>87</v>
      </c>
      <c r="AI144" s="2">
        <v>46160.614004629628</v>
      </c>
      <c r="AJ144" t="s">
        <v>47</v>
      </c>
      <c r="AK144" t="s">
        <v>47</v>
      </c>
      <c r="AL144" s="2">
        <v>46160.614004629628</v>
      </c>
      <c r="AM144" s="2">
        <v>46160.614004629628</v>
      </c>
    </row>
    <row r="145" spans="1:39" x14ac:dyDescent="0.3">
      <c r="A145" t="s">
        <v>1007</v>
      </c>
      <c r="B145" t="s">
        <v>1008</v>
      </c>
      <c r="C145" t="s">
        <v>41</v>
      </c>
      <c r="D145" t="s">
        <v>1009</v>
      </c>
      <c r="E145" t="s">
        <v>1010</v>
      </c>
      <c r="F145" t="s">
        <v>83</v>
      </c>
      <c r="G145" t="s">
        <v>84</v>
      </c>
      <c r="H145" t="s">
        <v>85</v>
      </c>
      <c r="I145" t="s">
        <v>47</v>
      </c>
      <c r="J145" t="s">
        <v>47</v>
      </c>
      <c r="K145" t="s">
        <v>48</v>
      </c>
      <c r="L145" t="s">
        <v>47</v>
      </c>
      <c r="M145" s="1">
        <v>46038</v>
      </c>
      <c r="N145" s="1">
        <v>46038</v>
      </c>
      <c r="O145" s="1">
        <v>46038</v>
      </c>
      <c r="P145" t="s">
        <v>49</v>
      </c>
      <c r="Q145" t="s">
        <v>50</v>
      </c>
      <c r="R145">
        <v>2</v>
      </c>
      <c r="S145" t="b">
        <v>0</v>
      </c>
      <c r="T145" t="s">
        <v>47</v>
      </c>
      <c r="U145" t="s">
        <v>47</v>
      </c>
      <c r="V145" t="s">
        <v>47</v>
      </c>
      <c r="W145" t="s">
        <v>47</v>
      </c>
      <c r="X145" t="s">
        <v>51</v>
      </c>
      <c r="Y145" t="b">
        <v>0</v>
      </c>
      <c r="Z145" t="s">
        <v>47</v>
      </c>
      <c r="AA145" t="s">
        <v>47</v>
      </c>
      <c r="AB145" t="s">
        <v>47</v>
      </c>
      <c r="AC145" t="b">
        <v>1</v>
      </c>
      <c r="AD145" t="s">
        <v>52</v>
      </c>
      <c r="AE145" t="s">
        <v>1011</v>
      </c>
      <c r="AF145" t="s">
        <v>1009</v>
      </c>
      <c r="AG145" t="s">
        <v>47</v>
      </c>
      <c r="AH145" t="s">
        <v>87</v>
      </c>
      <c r="AI145" s="2">
        <v>46160.565381944441</v>
      </c>
      <c r="AJ145" t="s">
        <v>47</v>
      </c>
      <c r="AK145" t="s">
        <v>47</v>
      </c>
      <c r="AL145" s="2">
        <v>46160.565381944441</v>
      </c>
      <c r="AM145" s="2">
        <v>46160.565381944441</v>
      </c>
    </row>
    <row r="146" spans="1:39" x14ac:dyDescent="0.3">
      <c r="A146" t="s">
        <v>1012</v>
      </c>
      <c r="B146" t="s">
        <v>1013</v>
      </c>
      <c r="C146" t="s">
        <v>41</v>
      </c>
      <c r="D146" t="s">
        <v>1014</v>
      </c>
      <c r="E146" t="s">
        <v>1015</v>
      </c>
      <c r="F146" t="s">
        <v>83</v>
      </c>
      <c r="G146" t="s">
        <v>84</v>
      </c>
      <c r="H146" t="s">
        <v>85</v>
      </c>
      <c r="I146" t="s">
        <v>47</v>
      </c>
      <c r="J146" t="s">
        <v>47</v>
      </c>
      <c r="K146" t="s">
        <v>48</v>
      </c>
      <c r="L146" t="s">
        <v>47</v>
      </c>
      <c r="M146" s="1">
        <v>46038</v>
      </c>
      <c r="N146" s="1">
        <v>46038</v>
      </c>
      <c r="O146" s="1">
        <v>46038</v>
      </c>
      <c r="P146" t="s">
        <v>49</v>
      </c>
      <c r="Q146" t="s">
        <v>50</v>
      </c>
      <c r="R146">
        <v>2</v>
      </c>
      <c r="S146" t="b">
        <v>0</v>
      </c>
      <c r="T146" t="s">
        <v>47</v>
      </c>
      <c r="U146" t="s">
        <v>47</v>
      </c>
      <c r="V146" t="s">
        <v>47</v>
      </c>
      <c r="W146" t="s">
        <v>47</v>
      </c>
      <c r="X146" t="s">
        <v>51</v>
      </c>
      <c r="Y146" t="b">
        <v>0</v>
      </c>
      <c r="Z146" t="s">
        <v>47</v>
      </c>
      <c r="AA146" t="s">
        <v>47</v>
      </c>
      <c r="AB146" t="s">
        <v>47</v>
      </c>
      <c r="AC146" t="b">
        <v>1</v>
      </c>
      <c r="AD146" t="s">
        <v>52</v>
      </c>
      <c r="AE146" t="s">
        <v>1016</v>
      </c>
      <c r="AF146" t="s">
        <v>1014</v>
      </c>
      <c r="AG146" t="s">
        <v>47</v>
      </c>
      <c r="AH146" t="s">
        <v>87</v>
      </c>
      <c r="AI146" s="2">
        <v>46160.598310185182</v>
      </c>
      <c r="AJ146" t="s">
        <v>47</v>
      </c>
      <c r="AK146" t="s">
        <v>47</v>
      </c>
      <c r="AL146" s="2">
        <v>46160.598310185182</v>
      </c>
      <c r="AM146" s="2">
        <v>46160.598310185182</v>
      </c>
    </row>
    <row r="147" spans="1:39" x14ac:dyDescent="0.3">
      <c r="A147" t="s">
        <v>1017</v>
      </c>
      <c r="B147" t="s">
        <v>1018</v>
      </c>
      <c r="C147" t="s">
        <v>41</v>
      </c>
      <c r="D147" t="s">
        <v>1019</v>
      </c>
      <c r="E147" t="s">
        <v>1020</v>
      </c>
      <c r="F147" t="s">
        <v>83</v>
      </c>
      <c r="G147" t="s">
        <v>84</v>
      </c>
      <c r="H147" t="s">
        <v>85</v>
      </c>
      <c r="I147" t="s">
        <v>47</v>
      </c>
      <c r="J147" t="s">
        <v>47</v>
      </c>
      <c r="K147" t="s">
        <v>48</v>
      </c>
      <c r="L147" t="s">
        <v>47</v>
      </c>
      <c r="M147" s="1">
        <v>46038</v>
      </c>
      <c r="N147" s="1">
        <v>46038</v>
      </c>
      <c r="O147" s="1">
        <v>46038</v>
      </c>
      <c r="P147" t="s">
        <v>49</v>
      </c>
      <c r="Q147" t="s">
        <v>50</v>
      </c>
      <c r="R147">
        <v>2</v>
      </c>
      <c r="S147" t="b">
        <v>0</v>
      </c>
      <c r="T147" t="s">
        <v>47</v>
      </c>
      <c r="U147" t="s">
        <v>47</v>
      </c>
      <c r="V147" t="s">
        <v>47</v>
      </c>
      <c r="W147" t="s">
        <v>47</v>
      </c>
      <c r="X147" t="s">
        <v>51</v>
      </c>
      <c r="Y147" t="b">
        <v>0</v>
      </c>
      <c r="Z147" t="s">
        <v>47</v>
      </c>
      <c r="AA147" t="s">
        <v>47</v>
      </c>
      <c r="AB147" t="s">
        <v>47</v>
      </c>
      <c r="AC147" t="b">
        <v>1</v>
      </c>
      <c r="AD147" t="s">
        <v>52</v>
      </c>
      <c r="AE147" t="s">
        <v>1021</v>
      </c>
      <c r="AF147" t="s">
        <v>1019</v>
      </c>
      <c r="AG147" t="s">
        <v>47</v>
      </c>
      <c r="AH147" t="s">
        <v>87</v>
      </c>
      <c r="AI147" s="2">
        <v>46160.614004629628</v>
      </c>
      <c r="AJ147" t="s">
        <v>47</v>
      </c>
      <c r="AK147" t="s">
        <v>47</v>
      </c>
      <c r="AL147" s="2">
        <v>46160.614004629628</v>
      </c>
      <c r="AM147" s="2">
        <v>46160.614004629628</v>
      </c>
    </row>
    <row r="148" spans="1:39" x14ac:dyDescent="0.3">
      <c r="A148" t="s">
        <v>1022</v>
      </c>
      <c r="B148" t="s">
        <v>1023</v>
      </c>
      <c r="C148" t="s">
        <v>41</v>
      </c>
      <c r="D148" t="s">
        <v>1024</v>
      </c>
      <c r="E148" t="s">
        <v>1025</v>
      </c>
      <c r="F148" t="s">
        <v>191</v>
      </c>
      <c r="G148" t="s">
        <v>128</v>
      </c>
      <c r="H148" t="s">
        <v>192</v>
      </c>
      <c r="I148" t="s">
        <v>47</v>
      </c>
      <c r="J148" t="s">
        <v>47</v>
      </c>
      <c r="K148" t="s">
        <v>130</v>
      </c>
      <c r="L148" t="s">
        <v>47</v>
      </c>
      <c r="M148" t="s">
        <v>47</v>
      </c>
      <c r="N148" s="1">
        <v>46038</v>
      </c>
      <c r="O148" s="1">
        <v>46038</v>
      </c>
      <c r="P148" t="s">
        <v>49</v>
      </c>
      <c r="Q148" t="s">
        <v>50</v>
      </c>
      <c r="R148">
        <v>3</v>
      </c>
      <c r="S148" t="b">
        <v>1</v>
      </c>
      <c r="T148" t="s">
        <v>47</v>
      </c>
      <c r="U148" t="s">
        <v>47</v>
      </c>
      <c r="V148" t="s">
        <v>47</v>
      </c>
      <c r="W148" t="s">
        <v>47</v>
      </c>
      <c r="X148" t="s">
        <v>51</v>
      </c>
      <c r="Y148" t="b">
        <v>0</v>
      </c>
      <c r="Z148" t="s">
        <v>47</v>
      </c>
      <c r="AA148" t="s">
        <v>47</v>
      </c>
      <c r="AB148">
        <v>0.6</v>
      </c>
      <c r="AC148" t="b">
        <v>1</v>
      </c>
      <c r="AD148" t="s">
        <v>52</v>
      </c>
      <c r="AE148" t="s">
        <v>1026</v>
      </c>
      <c r="AF148" t="s">
        <v>1024</v>
      </c>
      <c r="AG148" t="s">
        <v>1027</v>
      </c>
      <c r="AH148" t="s">
        <v>55</v>
      </c>
      <c r="AI148" s="2">
        <v>46160.229166666664</v>
      </c>
      <c r="AJ148" t="s">
        <v>47</v>
      </c>
      <c r="AK148" t="s">
        <v>47</v>
      </c>
      <c r="AL148" s="2">
        <v>46160.458333333336</v>
      </c>
      <c r="AM148" s="2">
        <v>46160.458333333336</v>
      </c>
    </row>
    <row r="149" spans="1:39" x14ac:dyDescent="0.3">
      <c r="A149" t="s">
        <v>1028</v>
      </c>
      <c r="B149" t="s">
        <v>1029</v>
      </c>
      <c r="C149" t="s">
        <v>41</v>
      </c>
      <c r="D149" t="s">
        <v>1030</v>
      </c>
      <c r="E149" t="s">
        <v>1031</v>
      </c>
      <c r="F149" t="s">
        <v>1032</v>
      </c>
      <c r="G149" t="s">
        <v>1033</v>
      </c>
      <c r="H149" t="s">
        <v>1034</v>
      </c>
      <c r="I149" t="s">
        <v>47</v>
      </c>
      <c r="J149" t="s">
        <v>47</v>
      </c>
      <c r="K149" t="s">
        <v>47</v>
      </c>
      <c r="L149" t="s">
        <v>47</v>
      </c>
      <c r="M149" s="1">
        <v>46039</v>
      </c>
      <c r="N149" s="1">
        <v>46039</v>
      </c>
      <c r="O149" s="1">
        <v>46039</v>
      </c>
      <c r="P149" t="s">
        <v>49</v>
      </c>
      <c r="Q149" t="s">
        <v>50</v>
      </c>
      <c r="R149">
        <v>2</v>
      </c>
      <c r="S149" t="b">
        <v>0</v>
      </c>
      <c r="T149" t="s">
        <v>47</v>
      </c>
      <c r="U149" t="s">
        <v>47</v>
      </c>
      <c r="V149" t="s">
        <v>47</v>
      </c>
      <c r="W149" t="s">
        <v>47</v>
      </c>
      <c r="X149" t="s">
        <v>51</v>
      </c>
      <c r="Y149" t="b">
        <v>0</v>
      </c>
      <c r="Z149" t="s">
        <v>47</v>
      </c>
      <c r="AA149" t="s">
        <v>47</v>
      </c>
      <c r="AB149" t="s">
        <v>47</v>
      </c>
      <c r="AC149" t="b">
        <v>1</v>
      </c>
      <c r="AD149" t="s">
        <v>52</v>
      </c>
      <c r="AE149" t="s">
        <v>1035</v>
      </c>
      <c r="AF149" t="s">
        <v>1030</v>
      </c>
      <c r="AG149" t="s">
        <v>47</v>
      </c>
      <c r="AH149" t="s">
        <v>87</v>
      </c>
      <c r="AI149" s="2">
        <v>46160.614004629628</v>
      </c>
      <c r="AJ149" t="s">
        <v>47</v>
      </c>
      <c r="AK149" t="s">
        <v>47</v>
      </c>
      <c r="AL149" s="2">
        <v>46160.614004629628</v>
      </c>
      <c r="AM149" s="2">
        <v>46160.614004629628</v>
      </c>
    </row>
    <row r="150" spans="1:39" x14ac:dyDescent="0.3">
      <c r="A150" t="s">
        <v>1036</v>
      </c>
      <c r="B150" t="s">
        <v>1037</v>
      </c>
      <c r="C150" t="s">
        <v>41</v>
      </c>
      <c r="D150" t="s">
        <v>1038</v>
      </c>
      <c r="E150" t="s">
        <v>1039</v>
      </c>
      <c r="F150" t="s">
        <v>83</v>
      </c>
      <c r="G150" t="s">
        <v>84</v>
      </c>
      <c r="H150" t="s">
        <v>85</v>
      </c>
      <c r="I150" t="s">
        <v>47</v>
      </c>
      <c r="J150" t="s">
        <v>47</v>
      </c>
      <c r="K150" t="s">
        <v>48</v>
      </c>
      <c r="L150" t="s">
        <v>47</v>
      </c>
      <c r="M150" s="1">
        <v>46039</v>
      </c>
      <c r="N150" s="1">
        <v>46039</v>
      </c>
      <c r="O150" s="1">
        <v>46039</v>
      </c>
      <c r="P150" t="s">
        <v>49</v>
      </c>
      <c r="Q150" t="s">
        <v>50</v>
      </c>
      <c r="R150">
        <v>2</v>
      </c>
      <c r="S150" t="b">
        <v>0</v>
      </c>
      <c r="T150" t="s">
        <v>47</v>
      </c>
      <c r="U150" t="s">
        <v>47</v>
      </c>
      <c r="V150" t="s">
        <v>47</v>
      </c>
      <c r="W150" t="s">
        <v>47</v>
      </c>
      <c r="X150" t="s">
        <v>51</v>
      </c>
      <c r="Y150" t="b">
        <v>0</v>
      </c>
      <c r="Z150" t="s">
        <v>47</v>
      </c>
      <c r="AA150" t="s">
        <v>47</v>
      </c>
      <c r="AB150" t="s">
        <v>47</v>
      </c>
      <c r="AC150" t="b">
        <v>1</v>
      </c>
      <c r="AD150" t="s">
        <v>52</v>
      </c>
      <c r="AE150" t="s">
        <v>1040</v>
      </c>
      <c r="AF150" t="s">
        <v>1038</v>
      </c>
      <c r="AG150" t="s">
        <v>47</v>
      </c>
      <c r="AH150" t="s">
        <v>87</v>
      </c>
      <c r="AI150" s="2">
        <v>46160.614004629628</v>
      </c>
      <c r="AJ150" t="s">
        <v>47</v>
      </c>
      <c r="AK150" t="s">
        <v>47</v>
      </c>
      <c r="AL150" s="2">
        <v>46160.614004629628</v>
      </c>
      <c r="AM150" s="2">
        <v>46160.614004629628</v>
      </c>
    </row>
    <row r="151" spans="1:39" x14ac:dyDescent="0.3">
      <c r="A151" t="s">
        <v>1041</v>
      </c>
      <c r="B151" t="s">
        <v>1042</v>
      </c>
      <c r="C151" t="s">
        <v>41</v>
      </c>
      <c r="D151" t="s">
        <v>1043</v>
      </c>
      <c r="E151" t="s">
        <v>1044</v>
      </c>
      <c r="F151" t="s">
        <v>127</v>
      </c>
      <c r="G151" t="s">
        <v>128</v>
      </c>
      <c r="H151" t="s">
        <v>129</v>
      </c>
      <c r="I151" t="s">
        <v>47</v>
      </c>
      <c r="J151" t="s">
        <v>47</v>
      </c>
      <c r="K151" t="s">
        <v>130</v>
      </c>
      <c r="L151" t="s">
        <v>47</v>
      </c>
      <c r="M151" t="s">
        <v>47</v>
      </c>
      <c r="N151" s="1">
        <v>46037</v>
      </c>
      <c r="O151" s="1">
        <v>46037</v>
      </c>
      <c r="P151" t="s">
        <v>49</v>
      </c>
      <c r="Q151" t="s">
        <v>50</v>
      </c>
      <c r="R151">
        <v>3</v>
      </c>
      <c r="S151" t="b">
        <v>1</v>
      </c>
      <c r="T151" t="s">
        <v>47</v>
      </c>
      <c r="U151" t="s">
        <v>47</v>
      </c>
      <c r="V151" t="s">
        <v>47</v>
      </c>
      <c r="W151" t="s">
        <v>47</v>
      </c>
      <c r="X151" t="s">
        <v>51</v>
      </c>
      <c r="Y151" t="b">
        <v>0</v>
      </c>
      <c r="Z151" t="s">
        <v>47</v>
      </c>
      <c r="AA151" t="s">
        <v>47</v>
      </c>
      <c r="AB151">
        <v>0.6</v>
      </c>
      <c r="AC151" t="b">
        <v>1</v>
      </c>
      <c r="AD151" t="s">
        <v>52</v>
      </c>
      <c r="AE151" t="s">
        <v>1045</v>
      </c>
      <c r="AF151" t="s">
        <v>1043</v>
      </c>
      <c r="AG151" t="s">
        <v>1046</v>
      </c>
      <c r="AH151" t="s">
        <v>55</v>
      </c>
      <c r="AI151" s="2">
        <v>46160.173611111109</v>
      </c>
      <c r="AJ151" t="s">
        <v>47</v>
      </c>
      <c r="AK151" t="s">
        <v>47</v>
      </c>
      <c r="AL151" s="2">
        <v>46160.402777777781</v>
      </c>
      <c r="AM151" s="2">
        <v>46160.402777777781</v>
      </c>
    </row>
    <row r="152" spans="1:39" x14ac:dyDescent="0.3">
      <c r="A152" t="s">
        <v>1047</v>
      </c>
      <c r="B152" t="s">
        <v>1048</v>
      </c>
      <c r="C152" t="s">
        <v>41</v>
      </c>
      <c r="D152" t="s">
        <v>1049</v>
      </c>
      <c r="E152" t="s">
        <v>1050</v>
      </c>
      <c r="F152" t="s">
        <v>107</v>
      </c>
      <c r="G152" t="s">
        <v>108</v>
      </c>
      <c r="H152" t="s">
        <v>109</v>
      </c>
      <c r="I152" t="s">
        <v>47</v>
      </c>
      <c r="J152" t="s">
        <v>47</v>
      </c>
      <c r="K152" t="s">
        <v>48</v>
      </c>
      <c r="L152" t="s">
        <v>47</v>
      </c>
      <c r="M152" t="s">
        <v>47</v>
      </c>
      <c r="N152" s="1">
        <v>46038</v>
      </c>
      <c r="O152" s="1">
        <v>46038</v>
      </c>
      <c r="P152" t="s">
        <v>49</v>
      </c>
      <c r="Q152" t="s">
        <v>50</v>
      </c>
      <c r="R152">
        <v>2</v>
      </c>
      <c r="S152" t="b">
        <v>0</v>
      </c>
      <c r="T152" t="s">
        <v>47</v>
      </c>
      <c r="U152" t="s">
        <v>47</v>
      </c>
      <c r="V152" t="s">
        <v>47</v>
      </c>
      <c r="W152" t="s">
        <v>47</v>
      </c>
      <c r="X152" t="s">
        <v>51</v>
      </c>
      <c r="Y152" t="b">
        <v>0</v>
      </c>
      <c r="Z152" t="s">
        <v>47</v>
      </c>
      <c r="AA152" t="s">
        <v>47</v>
      </c>
      <c r="AC152" t="b">
        <v>1</v>
      </c>
      <c r="AD152" t="s">
        <v>52</v>
      </c>
      <c r="AE152" t="s">
        <v>1051</v>
      </c>
      <c r="AF152" t="s">
        <v>1049</v>
      </c>
      <c r="AG152" t="s">
        <v>1052</v>
      </c>
      <c r="AH152" t="s">
        <v>55</v>
      </c>
      <c r="AI152" s="2">
        <v>46160.25</v>
      </c>
      <c r="AJ152" t="s">
        <v>47</v>
      </c>
      <c r="AK152" t="s">
        <v>47</v>
      </c>
      <c r="AL152" s="2">
        <v>46160.479166666664</v>
      </c>
      <c r="AM152" s="2">
        <v>46160.479166666664</v>
      </c>
    </row>
    <row r="153" spans="1:39" x14ac:dyDescent="0.3">
      <c r="A153" t="s">
        <v>1053</v>
      </c>
      <c r="B153" t="s">
        <v>1054</v>
      </c>
      <c r="C153" t="s">
        <v>41</v>
      </c>
      <c r="D153" t="s">
        <v>1055</v>
      </c>
      <c r="E153" t="s">
        <v>1056</v>
      </c>
      <c r="F153" t="s">
        <v>1057</v>
      </c>
      <c r="G153" t="s">
        <v>1058</v>
      </c>
      <c r="H153" t="s">
        <v>1059</v>
      </c>
      <c r="I153" t="s">
        <v>47</v>
      </c>
      <c r="J153" t="s">
        <v>47</v>
      </c>
      <c r="K153" t="s">
        <v>1060</v>
      </c>
      <c r="L153" t="s">
        <v>47</v>
      </c>
      <c r="M153" s="1">
        <v>46039</v>
      </c>
      <c r="N153" s="1">
        <v>46039</v>
      </c>
      <c r="O153" s="1">
        <v>46039</v>
      </c>
      <c r="P153" t="s">
        <v>315</v>
      </c>
      <c r="Q153" t="s">
        <v>50</v>
      </c>
      <c r="R153">
        <v>3</v>
      </c>
      <c r="S153" t="b">
        <v>1</v>
      </c>
      <c r="T153" t="s">
        <v>47</v>
      </c>
      <c r="U153" t="s">
        <v>47</v>
      </c>
      <c r="V153" t="s">
        <v>47</v>
      </c>
      <c r="W153" t="s">
        <v>47</v>
      </c>
      <c r="X153" t="s">
        <v>51</v>
      </c>
      <c r="Y153" t="b">
        <v>0</v>
      </c>
      <c r="Z153" t="s">
        <v>47</v>
      </c>
      <c r="AA153" t="s">
        <v>47</v>
      </c>
      <c r="AB153" t="s">
        <v>47</v>
      </c>
      <c r="AC153" t="b">
        <v>1</v>
      </c>
      <c r="AD153" t="s">
        <v>52</v>
      </c>
      <c r="AE153" t="s">
        <v>1061</v>
      </c>
      <c r="AF153" t="s">
        <v>1055</v>
      </c>
      <c r="AG153" t="s">
        <v>47</v>
      </c>
      <c r="AH153" t="s">
        <v>87</v>
      </c>
      <c r="AI153" s="2">
        <v>46160.598310185182</v>
      </c>
      <c r="AJ153" t="s">
        <v>47</v>
      </c>
      <c r="AK153" t="s">
        <v>47</v>
      </c>
      <c r="AL153" s="2">
        <v>46160.598310185182</v>
      </c>
      <c r="AM153" s="2">
        <v>46160.598310185182</v>
      </c>
    </row>
    <row r="154" spans="1:39" x14ac:dyDescent="0.3">
      <c r="A154" t="s">
        <v>1062</v>
      </c>
      <c r="B154" t="s">
        <v>1063</v>
      </c>
      <c r="C154" t="s">
        <v>41</v>
      </c>
      <c r="D154" t="s">
        <v>1064</v>
      </c>
      <c r="E154" t="s">
        <v>1065</v>
      </c>
      <c r="F154" t="s">
        <v>127</v>
      </c>
      <c r="G154" t="s">
        <v>128</v>
      </c>
      <c r="H154" t="s">
        <v>129</v>
      </c>
      <c r="I154" t="s">
        <v>47</v>
      </c>
      <c r="J154" t="s">
        <v>47</v>
      </c>
      <c r="K154" t="s">
        <v>130</v>
      </c>
      <c r="L154" t="s">
        <v>47</v>
      </c>
      <c r="M154" t="s">
        <v>47</v>
      </c>
      <c r="N154" s="1">
        <v>46038</v>
      </c>
      <c r="O154" s="1">
        <v>46038</v>
      </c>
      <c r="P154" t="s">
        <v>49</v>
      </c>
      <c r="Q154" t="s">
        <v>50</v>
      </c>
      <c r="R154">
        <v>3</v>
      </c>
      <c r="S154" t="b">
        <v>1</v>
      </c>
      <c r="T154" t="s">
        <v>47</v>
      </c>
      <c r="U154" t="s">
        <v>47</v>
      </c>
      <c r="V154" t="s">
        <v>47</v>
      </c>
      <c r="W154" t="s">
        <v>47</v>
      </c>
      <c r="X154" t="s">
        <v>51</v>
      </c>
      <c r="Y154" t="b">
        <v>0</v>
      </c>
      <c r="Z154" t="s">
        <v>47</v>
      </c>
      <c r="AA154" t="s">
        <v>47</v>
      </c>
      <c r="AB154">
        <v>0.6</v>
      </c>
      <c r="AC154" t="b">
        <v>1</v>
      </c>
      <c r="AD154" t="s">
        <v>52</v>
      </c>
      <c r="AE154" t="s">
        <v>1066</v>
      </c>
      <c r="AF154" t="s">
        <v>1064</v>
      </c>
      <c r="AG154" t="s">
        <v>1067</v>
      </c>
      <c r="AH154" t="s">
        <v>55</v>
      </c>
      <c r="AI154" s="2">
        <v>46160.201388888891</v>
      </c>
      <c r="AJ154" t="s">
        <v>47</v>
      </c>
      <c r="AK154" t="s">
        <v>47</v>
      </c>
      <c r="AL154" s="2">
        <v>46160.430555555555</v>
      </c>
      <c r="AM154" s="2">
        <v>46160.430555555555</v>
      </c>
    </row>
    <row r="155" spans="1:39" x14ac:dyDescent="0.3">
      <c r="A155" t="s">
        <v>1068</v>
      </c>
      <c r="B155" t="s">
        <v>1069</v>
      </c>
      <c r="C155" t="s">
        <v>41</v>
      </c>
      <c r="D155" t="s">
        <v>1070</v>
      </c>
      <c r="E155" t="s">
        <v>1071</v>
      </c>
      <c r="F155" t="s">
        <v>83</v>
      </c>
      <c r="G155" t="s">
        <v>84</v>
      </c>
      <c r="H155" t="s">
        <v>85</v>
      </c>
      <c r="I155" t="s">
        <v>47</v>
      </c>
      <c r="J155" t="s">
        <v>47</v>
      </c>
      <c r="K155" t="s">
        <v>48</v>
      </c>
      <c r="L155" t="s">
        <v>47</v>
      </c>
      <c r="M155" s="1">
        <v>46039</v>
      </c>
      <c r="N155" s="1">
        <v>46039</v>
      </c>
      <c r="O155" s="1">
        <v>46039</v>
      </c>
      <c r="P155" t="s">
        <v>49</v>
      </c>
      <c r="Q155" t="s">
        <v>50</v>
      </c>
      <c r="R155">
        <v>2</v>
      </c>
      <c r="S155" t="b">
        <v>0</v>
      </c>
      <c r="T155" t="s">
        <v>47</v>
      </c>
      <c r="U155" t="s">
        <v>47</v>
      </c>
      <c r="V155" t="s">
        <v>47</v>
      </c>
      <c r="W155" t="s">
        <v>47</v>
      </c>
      <c r="X155" t="s">
        <v>51</v>
      </c>
      <c r="Y155" t="b">
        <v>0</v>
      </c>
      <c r="Z155" t="s">
        <v>47</v>
      </c>
      <c r="AA155" t="s">
        <v>47</v>
      </c>
      <c r="AB155" t="s">
        <v>47</v>
      </c>
      <c r="AC155" t="b">
        <v>1</v>
      </c>
      <c r="AD155" t="s">
        <v>52</v>
      </c>
      <c r="AE155" t="s">
        <v>1072</v>
      </c>
      <c r="AF155" t="s">
        <v>1070</v>
      </c>
      <c r="AG155" t="s">
        <v>47</v>
      </c>
      <c r="AH155" t="s">
        <v>87</v>
      </c>
      <c r="AI155" s="2">
        <v>46160.598310185182</v>
      </c>
      <c r="AJ155" t="s">
        <v>47</v>
      </c>
      <c r="AK155" t="s">
        <v>47</v>
      </c>
      <c r="AL155" s="2">
        <v>46160.598310185182</v>
      </c>
      <c r="AM155" s="2">
        <v>46160.598310185182</v>
      </c>
    </row>
    <row r="156" spans="1:39" x14ac:dyDescent="0.3">
      <c r="A156" t="s">
        <v>1073</v>
      </c>
      <c r="B156" t="s">
        <v>1074</v>
      </c>
      <c r="C156" t="s">
        <v>41</v>
      </c>
      <c r="D156" t="s">
        <v>1075</v>
      </c>
      <c r="E156" t="s">
        <v>1076</v>
      </c>
      <c r="F156" t="s">
        <v>83</v>
      </c>
      <c r="G156" t="s">
        <v>84</v>
      </c>
      <c r="H156" t="s">
        <v>85</v>
      </c>
      <c r="I156" t="s">
        <v>47</v>
      </c>
      <c r="J156" t="s">
        <v>47</v>
      </c>
      <c r="K156" t="s">
        <v>48</v>
      </c>
      <c r="L156" t="s">
        <v>47</v>
      </c>
      <c r="M156" s="1">
        <v>46039</v>
      </c>
      <c r="N156" s="1">
        <v>46039</v>
      </c>
      <c r="O156" s="1">
        <v>46039</v>
      </c>
      <c r="P156" t="s">
        <v>49</v>
      </c>
      <c r="Q156" t="s">
        <v>50</v>
      </c>
      <c r="R156">
        <v>2</v>
      </c>
      <c r="S156" t="b">
        <v>0</v>
      </c>
      <c r="T156" t="s">
        <v>47</v>
      </c>
      <c r="U156" t="s">
        <v>47</v>
      </c>
      <c r="V156" t="s">
        <v>47</v>
      </c>
      <c r="W156" t="s">
        <v>47</v>
      </c>
      <c r="X156" t="s">
        <v>51</v>
      </c>
      <c r="Y156" t="b">
        <v>0</v>
      </c>
      <c r="Z156" t="s">
        <v>47</v>
      </c>
      <c r="AA156" t="s">
        <v>47</v>
      </c>
      <c r="AB156" t="s">
        <v>47</v>
      </c>
      <c r="AC156" t="b">
        <v>1</v>
      </c>
      <c r="AD156" t="s">
        <v>52</v>
      </c>
      <c r="AE156" t="s">
        <v>1077</v>
      </c>
      <c r="AF156" t="s">
        <v>1075</v>
      </c>
      <c r="AG156" t="s">
        <v>47</v>
      </c>
      <c r="AH156" t="s">
        <v>87</v>
      </c>
      <c r="AI156" s="2">
        <v>46160.565381944441</v>
      </c>
      <c r="AJ156" t="s">
        <v>47</v>
      </c>
      <c r="AK156" t="s">
        <v>47</v>
      </c>
      <c r="AL156" s="2">
        <v>46160.565381944441</v>
      </c>
      <c r="AM156" s="2">
        <v>46160.565381944441</v>
      </c>
    </row>
    <row r="157" spans="1:39" x14ac:dyDescent="0.3">
      <c r="A157" t="s">
        <v>1078</v>
      </c>
      <c r="B157" t="s">
        <v>1079</v>
      </c>
      <c r="C157" t="s">
        <v>41</v>
      </c>
      <c r="D157" t="s">
        <v>1080</v>
      </c>
      <c r="E157" t="s">
        <v>1081</v>
      </c>
      <c r="F157" t="s">
        <v>800</v>
      </c>
      <c r="G157" t="s">
        <v>801</v>
      </c>
      <c r="H157" t="s">
        <v>1082</v>
      </c>
      <c r="I157" t="s">
        <v>47</v>
      </c>
      <c r="J157" t="s">
        <v>47</v>
      </c>
      <c r="K157" t="s">
        <v>48</v>
      </c>
      <c r="L157" t="s">
        <v>47</v>
      </c>
      <c r="M157" t="s">
        <v>47</v>
      </c>
      <c r="N157" s="1">
        <v>46039</v>
      </c>
      <c r="O157" s="1">
        <v>46039</v>
      </c>
      <c r="P157" t="s">
        <v>49</v>
      </c>
      <c r="Q157" t="s">
        <v>50</v>
      </c>
      <c r="R157">
        <v>2</v>
      </c>
      <c r="S157" t="b">
        <v>0</v>
      </c>
      <c r="T157" t="s">
        <v>47</v>
      </c>
      <c r="U157" t="s">
        <v>47</v>
      </c>
      <c r="V157" t="s">
        <v>47</v>
      </c>
      <c r="W157" t="s">
        <v>47</v>
      </c>
      <c r="X157" t="s">
        <v>51</v>
      </c>
      <c r="Y157" t="b">
        <v>0</v>
      </c>
      <c r="Z157" t="s">
        <v>47</v>
      </c>
      <c r="AA157" t="s">
        <v>47</v>
      </c>
      <c r="AC157" t="b">
        <v>1</v>
      </c>
      <c r="AD157" t="s">
        <v>52</v>
      </c>
      <c r="AE157" t="s">
        <v>1083</v>
      </c>
      <c r="AF157" t="s">
        <v>1080</v>
      </c>
      <c r="AG157" t="s">
        <v>1084</v>
      </c>
      <c r="AH157" t="s">
        <v>55</v>
      </c>
      <c r="AI157" s="2">
        <v>46160.270833333336</v>
      </c>
      <c r="AJ157" t="s">
        <v>47</v>
      </c>
      <c r="AK157" t="s">
        <v>47</v>
      </c>
      <c r="AL157" s="2">
        <v>46160.5</v>
      </c>
      <c r="AM157" s="2">
        <v>46160.5</v>
      </c>
    </row>
    <row r="158" spans="1:39" x14ac:dyDescent="0.3">
      <c r="A158" t="s">
        <v>1085</v>
      </c>
      <c r="B158" t="s">
        <v>1086</v>
      </c>
      <c r="C158" t="s">
        <v>41</v>
      </c>
      <c r="D158" t="s">
        <v>1087</v>
      </c>
      <c r="E158" t="s">
        <v>1088</v>
      </c>
      <c r="F158" t="s">
        <v>83</v>
      </c>
      <c r="G158" t="s">
        <v>84</v>
      </c>
      <c r="H158" t="s">
        <v>85</v>
      </c>
      <c r="I158" t="s">
        <v>47</v>
      </c>
      <c r="J158" t="s">
        <v>47</v>
      </c>
      <c r="K158" t="s">
        <v>48</v>
      </c>
      <c r="L158" t="s">
        <v>47</v>
      </c>
      <c r="M158" s="1">
        <v>46039</v>
      </c>
      <c r="N158" s="1">
        <v>46039</v>
      </c>
      <c r="O158" s="1">
        <v>46039</v>
      </c>
      <c r="P158" t="s">
        <v>49</v>
      </c>
      <c r="Q158" t="s">
        <v>50</v>
      </c>
      <c r="R158">
        <v>2</v>
      </c>
      <c r="S158" t="b">
        <v>0</v>
      </c>
      <c r="T158" t="s">
        <v>47</v>
      </c>
      <c r="U158" t="s">
        <v>47</v>
      </c>
      <c r="V158" t="s">
        <v>47</v>
      </c>
      <c r="W158" t="s">
        <v>47</v>
      </c>
      <c r="X158" t="s">
        <v>51</v>
      </c>
      <c r="Y158" t="b">
        <v>0</v>
      </c>
      <c r="Z158" t="s">
        <v>47</v>
      </c>
      <c r="AA158" t="s">
        <v>47</v>
      </c>
      <c r="AB158" t="s">
        <v>47</v>
      </c>
      <c r="AC158" t="b">
        <v>1</v>
      </c>
      <c r="AD158" t="s">
        <v>52</v>
      </c>
      <c r="AE158" t="s">
        <v>1089</v>
      </c>
      <c r="AF158" t="s">
        <v>1087</v>
      </c>
      <c r="AG158" t="s">
        <v>47</v>
      </c>
      <c r="AH158" t="s">
        <v>87</v>
      </c>
      <c r="AI158" s="2">
        <v>46160.565381944441</v>
      </c>
      <c r="AJ158" t="s">
        <v>47</v>
      </c>
      <c r="AK158" t="s">
        <v>47</v>
      </c>
      <c r="AL158" s="2">
        <v>46160.565381944441</v>
      </c>
      <c r="AM158" s="2">
        <v>46160.565381944441</v>
      </c>
    </row>
    <row r="159" spans="1:39" x14ac:dyDescent="0.3">
      <c r="A159" t="s">
        <v>1090</v>
      </c>
      <c r="B159" t="s">
        <v>1091</v>
      </c>
      <c r="C159" t="s">
        <v>41</v>
      </c>
      <c r="D159" t="s">
        <v>1092</v>
      </c>
      <c r="E159" t="s">
        <v>1093</v>
      </c>
      <c r="F159" t="s">
        <v>800</v>
      </c>
      <c r="G159" t="s">
        <v>801</v>
      </c>
      <c r="H159" t="s">
        <v>1094</v>
      </c>
      <c r="I159" t="s">
        <v>47</v>
      </c>
      <c r="J159" t="s">
        <v>47</v>
      </c>
      <c r="K159" t="s">
        <v>48</v>
      </c>
      <c r="L159" t="s">
        <v>47</v>
      </c>
      <c r="M159" t="s">
        <v>47</v>
      </c>
      <c r="N159" s="1">
        <v>46039</v>
      </c>
      <c r="O159" s="1">
        <v>46039</v>
      </c>
      <c r="P159" t="s">
        <v>49</v>
      </c>
      <c r="Q159" t="s">
        <v>50</v>
      </c>
      <c r="R159">
        <v>2</v>
      </c>
      <c r="S159" t="b">
        <v>0</v>
      </c>
      <c r="T159" t="s">
        <v>47</v>
      </c>
      <c r="U159" t="s">
        <v>47</v>
      </c>
      <c r="V159" t="s">
        <v>47</v>
      </c>
      <c r="W159" t="s">
        <v>47</v>
      </c>
      <c r="X159" t="s">
        <v>51</v>
      </c>
      <c r="Y159" t="b">
        <v>0</v>
      </c>
      <c r="Z159" t="s">
        <v>47</v>
      </c>
      <c r="AA159" t="s">
        <v>47</v>
      </c>
      <c r="AC159" t="b">
        <v>1</v>
      </c>
      <c r="AD159" t="s">
        <v>52</v>
      </c>
      <c r="AE159" t="s">
        <v>1095</v>
      </c>
      <c r="AF159" t="s">
        <v>1092</v>
      </c>
      <c r="AG159" t="s">
        <v>1096</v>
      </c>
      <c r="AH159" t="s">
        <v>55</v>
      </c>
      <c r="AI159" s="2">
        <v>46160.270833333336</v>
      </c>
      <c r="AJ159" t="s">
        <v>47</v>
      </c>
      <c r="AK159" t="s">
        <v>47</v>
      </c>
      <c r="AL159" s="2">
        <v>46160.5</v>
      </c>
      <c r="AM159" s="2">
        <v>46160.5</v>
      </c>
    </row>
    <row r="160" spans="1:39" x14ac:dyDescent="0.3">
      <c r="A160" t="s">
        <v>1097</v>
      </c>
      <c r="B160" t="s">
        <v>1098</v>
      </c>
      <c r="C160" t="s">
        <v>41</v>
      </c>
      <c r="D160" t="s">
        <v>1099</v>
      </c>
      <c r="E160" t="s">
        <v>1100</v>
      </c>
      <c r="F160" t="s">
        <v>107</v>
      </c>
      <c r="G160" t="s">
        <v>108</v>
      </c>
      <c r="H160" t="s">
        <v>1101</v>
      </c>
      <c r="I160" t="s">
        <v>47</v>
      </c>
      <c r="J160" t="s">
        <v>47</v>
      </c>
      <c r="K160" t="s">
        <v>48</v>
      </c>
      <c r="L160" t="s">
        <v>47</v>
      </c>
      <c r="M160" t="s">
        <v>47</v>
      </c>
      <c r="N160" s="1">
        <v>46039</v>
      </c>
      <c r="O160" s="1">
        <v>46039</v>
      </c>
      <c r="P160" t="s">
        <v>49</v>
      </c>
      <c r="Q160" t="s">
        <v>50</v>
      </c>
      <c r="R160">
        <v>2</v>
      </c>
      <c r="S160" t="b">
        <v>0</v>
      </c>
      <c r="T160" t="s">
        <v>47</v>
      </c>
      <c r="U160" t="s">
        <v>47</v>
      </c>
      <c r="V160" t="s">
        <v>47</v>
      </c>
      <c r="W160" t="s">
        <v>47</v>
      </c>
      <c r="X160" t="s">
        <v>51</v>
      </c>
      <c r="Y160" t="b">
        <v>0</v>
      </c>
      <c r="Z160" t="s">
        <v>47</v>
      </c>
      <c r="AA160" t="s">
        <v>47</v>
      </c>
      <c r="AC160" t="b">
        <v>1</v>
      </c>
      <c r="AD160" t="s">
        <v>52</v>
      </c>
      <c r="AE160" t="s">
        <v>1102</v>
      </c>
      <c r="AF160" t="s">
        <v>1099</v>
      </c>
      <c r="AG160" t="s">
        <v>1103</v>
      </c>
      <c r="AH160" t="s">
        <v>55</v>
      </c>
      <c r="AI160" s="2">
        <v>46160.270833333336</v>
      </c>
      <c r="AJ160" t="s">
        <v>47</v>
      </c>
      <c r="AK160" t="s">
        <v>47</v>
      </c>
      <c r="AL160" s="2">
        <v>46160.5</v>
      </c>
      <c r="AM160" s="2">
        <v>46160.5</v>
      </c>
    </row>
    <row r="161" spans="1:39" x14ac:dyDescent="0.3">
      <c r="A161" t="s">
        <v>1104</v>
      </c>
      <c r="B161" t="s">
        <v>1105</v>
      </c>
      <c r="C161" t="s">
        <v>41</v>
      </c>
      <c r="D161" t="s">
        <v>1106</v>
      </c>
      <c r="E161" t="s">
        <v>1107</v>
      </c>
      <c r="F161" t="s">
        <v>83</v>
      </c>
      <c r="G161" t="s">
        <v>84</v>
      </c>
      <c r="H161" t="s">
        <v>85</v>
      </c>
      <c r="I161" t="s">
        <v>47</v>
      </c>
      <c r="J161" t="s">
        <v>47</v>
      </c>
      <c r="K161" t="s">
        <v>48</v>
      </c>
      <c r="L161" t="s">
        <v>47</v>
      </c>
      <c r="M161" s="1">
        <v>46039</v>
      </c>
      <c r="N161" s="1">
        <v>46039</v>
      </c>
      <c r="O161" s="1">
        <v>46039</v>
      </c>
      <c r="P161" t="s">
        <v>49</v>
      </c>
      <c r="Q161" t="s">
        <v>50</v>
      </c>
      <c r="R161">
        <v>2</v>
      </c>
      <c r="S161" t="b">
        <v>0</v>
      </c>
      <c r="T161" t="s">
        <v>47</v>
      </c>
      <c r="U161" t="s">
        <v>47</v>
      </c>
      <c r="V161" t="s">
        <v>47</v>
      </c>
      <c r="W161" t="s">
        <v>47</v>
      </c>
      <c r="X161" t="s">
        <v>51</v>
      </c>
      <c r="Y161" t="b">
        <v>0</v>
      </c>
      <c r="Z161" t="s">
        <v>47</v>
      </c>
      <c r="AA161" t="s">
        <v>47</v>
      </c>
      <c r="AB161" t="s">
        <v>47</v>
      </c>
      <c r="AC161" t="b">
        <v>1</v>
      </c>
      <c r="AD161" t="s">
        <v>52</v>
      </c>
      <c r="AE161" t="s">
        <v>1108</v>
      </c>
      <c r="AF161" t="s">
        <v>1106</v>
      </c>
      <c r="AG161" t="s">
        <v>47</v>
      </c>
      <c r="AH161" t="s">
        <v>87</v>
      </c>
      <c r="AI161" s="2">
        <v>46160.565381944441</v>
      </c>
      <c r="AJ161" t="s">
        <v>47</v>
      </c>
      <c r="AK161" t="s">
        <v>47</v>
      </c>
      <c r="AL161" s="2">
        <v>46160.565381944441</v>
      </c>
      <c r="AM161" s="2">
        <v>46160.565381944441</v>
      </c>
    </row>
    <row r="162" spans="1:39" x14ac:dyDescent="0.3">
      <c r="A162" t="s">
        <v>1109</v>
      </c>
      <c r="B162" t="s">
        <v>1110</v>
      </c>
      <c r="C162" t="s">
        <v>41</v>
      </c>
      <c r="D162" t="s">
        <v>1111</v>
      </c>
      <c r="E162" t="s">
        <v>1112</v>
      </c>
      <c r="F162" t="s">
        <v>107</v>
      </c>
      <c r="G162" t="s">
        <v>108</v>
      </c>
      <c r="H162" t="s">
        <v>109</v>
      </c>
      <c r="I162" t="s">
        <v>47</v>
      </c>
      <c r="J162" t="s">
        <v>47</v>
      </c>
      <c r="K162" t="s">
        <v>48</v>
      </c>
      <c r="L162" t="s">
        <v>47</v>
      </c>
      <c r="M162" t="s">
        <v>47</v>
      </c>
      <c r="N162" s="1">
        <v>46039</v>
      </c>
      <c r="O162" s="1">
        <v>46039</v>
      </c>
      <c r="P162" t="s">
        <v>49</v>
      </c>
      <c r="Q162" t="s">
        <v>50</v>
      </c>
      <c r="R162">
        <v>2</v>
      </c>
      <c r="S162" t="b">
        <v>0</v>
      </c>
      <c r="T162" t="s">
        <v>47</v>
      </c>
      <c r="U162" t="s">
        <v>47</v>
      </c>
      <c r="V162" t="s">
        <v>47</v>
      </c>
      <c r="W162" t="s">
        <v>47</v>
      </c>
      <c r="X162" t="s">
        <v>51</v>
      </c>
      <c r="Y162" t="b">
        <v>0</v>
      </c>
      <c r="Z162" t="s">
        <v>47</v>
      </c>
      <c r="AA162" t="s">
        <v>47</v>
      </c>
      <c r="AC162" t="b">
        <v>1</v>
      </c>
      <c r="AD162" t="s">
        <v>52</v>
      </c>
      <c r="AE162" t="s">
        <v>1113</v>
      </c>
      <c r="AF162" t="s">
        <v>1111</v>
      </c>
      <c r="AG162" t="s">
        <v>1114</v>
      </c>
      <c r="AH162" t="s">
        <v>55</v>
      </c>
      <c r="AI162" s="2">
        <v>46160.25</v>
      </c>
      <c r="AJ162" t="s">
        <v>47</v>
      </c>
      <c r="AK162" t="s">
        <v>47</v>
      </c>
      <c r="AL162" s="2">
        <v>46160.479166666664</v>
      </c>
      <c r="AM162" s="2">
        <v>46160.479166666664</v>
      </c>
    </row>
    <row r="163" spans="1:39" x14ac:dyDescent="0.3">
      <c r="A163" t="s">
        <v>1115</v>
      </c>
      <c r="B163" t="s">
        <v>1116</v>
      </c>
      <c r="C163" t="s">
        <v>41</v>
      </c>
      <c r="D163" t="s">
        <v>1117</v>
      </c>
      <c r="E163" t="s">
        <v>1118</v>
      </c>
      <c r="F163" t="s">
        <v>680</v>
      </c>
      <c r="G163" t="s">
        <v>681</v>
      </c>
      <c r="H163" t="s">
        <v>682</v>
      </c>
      <c r="I163" t="s">
        <v>47</v>
      </c>
      <c r="J163" t="s">
        <v>47</v>
      </c>
      <c r="K163" t="s">
        <v>130</v>
      </c>
      <c r="L163" t="s">
        <v>47</v>
      </c>
      <c r="M163" t="s">
        <v>47</v>
      </c>
      <c r="N163" s="1">
        <v>46039</v>
      </c>
      <c r="O163" s="1">
        <v>46039</v>
      </c>
      <c r="P163" t="s">
        <v>49</v>
      </c>
      <c r="Q163" t="s">
        <v>50</v>
      </c>
      <c r="R163">
        <v>3</v>
      </c>
      <c r="S163" t="b">
        <v>1</v>
      </c>
      <c r="T163" t="s">
        <v>47</v>
      </c>
      <c r="U163" t="s">
        <v>47</v>
      </c>
      <c r="V163" t="s">
        <v>47</v>
      </c>
      <c r="W163" t="s">
        <v>47</v>
      </c>
      <c r="X163" t="s">
        <v>51</v>
      </c>
      <c r="Y163" t="b">
        <v>0</v>
      </c>
      <c r="Z163" t="s">
        <v>47</v>
      </c>
      <c r="AA163" t="s">
        <v>47</v>
      </c>
      <c r="AB163">
        <v>0.6</v>
      </c>
      <c r="AC163" t="b">
        <v>1</v>
      </c>
      <c r="AD163" t="s">
        <v>52</v>
      </c>
      <c r="AE163" t="s">
        <v>1119</v>
      </c>
      <c r="AF163" t="s">
        <v>1117</v>
      </c>
      <c r="AG163" t="s">
        <v>1120</v>
      </c>
      <c r="AH163" t="s">
        <v>55</v>
      </c>
      <c r="AI163" s="2">
        <v>46160.270833333336</v>
      </c>
      <c r="AJ163" t="s">
        <v>47</v>
      </c>
      <c r="AK163" t="s">
        <v>47</v>
      </c>
      <c r="AL163" s="2">
        <v>46160.5</v>
      </c>
      <c r="AM163" s="2">
        <v>46160.5</v>
      </c>
    </row>
    <row r="164" spans="1:39" x14ac:dyDescent="0.3">
      <c r="A164" t="s">
        <v>1121</v>
      </c>
      <c r="B164" t="s">
        <v>1122</v>
      </c>
      <c r="C164" t="s">
        <v>41</v>
      </c>
      <c r="D164" t="s">
        <v>1123</v>
      </c>
      <c r="E164" t="s">
        <v>1124</v>
      </c>
      <c r="F164" t="s">
        <v>1125</v>
      </c>
      <c r="G164" t="s">
        <v>1126</v>
      </c>
      <c r="H164" t="s">
        <v>1127</v>
      </c>
      <c r="I164" t="s">
        <v>47</v>
      </c>
      <c r="J164" t="s">
        <v>47</v>
      </c>
      <c r="K164" t="s">
        <v>1128</v>
      </c>
      <c r="L164" t="s">
        <v>47</v>
      </c>
      <c r="M164" t="s">
        <v>47</v>
      </c>
      <c r="N164" s="1">
        <v>46041</v>
      </c>
      <c r="O164" s="1">
        <v>46041</v>
      </c>
      <c r="P164" t="s">
        <v>465</v>
      </c>
      <c r="Q164" t="s">
        <v>371</v>
      </c>
      <c r="R164">
        <v>4</v>
      </c>
      <c r="S164" t="b">
        <v>1</v>
      </c>
      <c r="T164" t="s">
        <v>47</v>
      </c>
      <c r="U164" t="s">
        <v>1129</v>
      </c>
      <c r="V164" t="s">
        <v>47</v>
      </c>
      <c r="W164" t="s">
        <v>47</v>
      </c>
      <c r="X164" t="s">
        <v>51</v>
      </c>
      <c r="Y164" t="b">
        <v>0</v>
      </c>
      <c r="Z164" t="s">
        <v>47</v>
      </c>
      <c r="AA164" t="s">
        <v>47</v>
      </c>
      <c r="AB164">
        <v>0.95</v>
      </c>
      <c r="AC164" t="b">
        <v>1</v>
      </c>
      <c r="AD164" t="s">
        <v>52</v>
      </c>
      <c r="AE164" t="s">
        <v>1130</v>
      </c>
      <c r="AF164" t="s">
        <v>1123</v>
      </c>
      <c r="AG164" t="s">
        <v>1131</v>
      </c>
      <c r="AH164" t="s">
        <v>55</v>
      </c>
      <c r="AI164" s="2">
        <v>46160.270833333336</v>
      </c>
      <c r="AJ164" t="s">
        <v>47</v>
      </c>
      <c r="AK164" t="s">
        <v>47</v>
      </c>
      <c r="AL164" s="2">
        <v>46160.5</v>
      </c>
      <c r="AM164" s="2">
        <v>46160.5</v>
      </c>
    </row>
    <row r="165" spans="1:39" x14ac:dyDescent="0.3">
      <c r="A165" t="s">
        <v>1132</v>
      </c>
      <c r="B165" t="s">
        <v>1133</v>
      </c>
      <c r="C165" t="s">
        <v>41</v>
      </c>
      <c r="D165" t="s">
        <v>1134</v>
      </c>
      <c r="E165" t="s">
        <v>1135</v>
      </c>
      <c r="F165" t="s">
        <v>1136</v>
      </c>
      <c r="G165" t="s">
        <v>1137</v>
      </c>
      <c r="H165" t="s">
        <v>1138</v>
      </c>
      <c r="I165" t="s">
        <v>47</v>
      </c>
      <c r="J165" t="s">
        <v>47</v>
      </c>
      <c r="K165" t="s">
        <v>47</v>
      </c>
      <c r="L165" t="s">
        <v>47</v>
      </c>
      <c r="M165" t="s">
        <v>47</v>
      </c>
      <c r="N165" s="1">
        <v>46041</v>
      </c>
      <c r="O165" s="1">
        <v>46041</v>
      </c>
      <c r="P165" t="s">
        <v>1139</v>
      </c>
      <c r="Q165" t="s">
        <v>50</v>
      </c>
      <c r="R165">
        <v>3</v>
      </c>
      <c r="S165" t="b">
        <v>1</v>
      </c>
      <c r="T165" t="s">
        <v>47</v>
      </c>
      <c r="U165" t="s">
        <v>47</v>
      </c>
      <c r="V165" t="s">
        <v>47</v>
      </c>
      <c r="W165" t="s">
        <v>47</v>
      </c>
      <c r="X165" t="s">
        <v>51</v>
      </c>
      <c r="Y165" t="b">
        <v>0</v>
      </c>
      <c r="Z165" t="s">
        <v>47</v>
      </c>
      <c r="AA165" t="s">
        <v>47</v>
      </c>
      <c r="AB165">
        <v>0.5</v>
      </c>
      <c r="AC165" t="b">
        <v>1</v>
      </c>
      <c r="AD165" t="s">
        <v>52</v>
      </c>
      <c r="AE165" t="s">
        <v>1140</v>
      </c>
      <c r="AF165" t="s">
        <v>1134</v>
      </c>
      <c r="AG165" t="s">
        <v>1141</v>
      </c>
      <c r="AH165" t="s">
        <v>55</v>
      </c>
      <c r="AI165" s="2">
        <v>46160.270833333336</v>
      </c>
      <c r="AJ165" t="s">
        <v>47</v>
      </c>
      <c r="AK165" t="s">
        <v>47</v>
      </c>
      <c r="AL165" s="2">
        <v>46160.5</v>
      </c>
      <c r="AM165" s="2">
        <v>46160.5</v>
      </c>
    </row>
    <row r="166" spans="1:39" x14ac:dyDescent="0.3">
      <c r="A166" t="s">
        <v>1142</v>
      </c>
      <c r="B166" t="s">
        <v>1143</v>
      </c>
      <c r="C166" t="s">
        <v>41</v>
      </c>
      <c r="D166" t="s">
        <v>1144</v>
      </c>
      <c r="E166" t="s">
        <v>1145</v>
      </c>
      <c r="F166" t="s">
        <v>1146</v>
      </c>
      <c r="G166" t="s">
        <v>1147</v>
      </c>
      <c r="H166" t="s">
        <v>1148</v>
      </c>
      <c r="I166" t="s">
        <v>47</v>
      </c>
      <c r="J166" t="s">
        <v>47</v>
      </c>
      <c r="K166" t="s">
        <v>314</v>
      </c>
      <c r="L166" t="s">
        <v>47</v>
      </c>
      <c r="M166" t="s">
        <v>47</v>
      </c>
      <c r="N166" s="1">
        <v>46042</v>
      </c>
      <c r="O166" s="1">
        <v>46042</v>
      </c>
      <c r="P166" t="s">
        <v>315</v>
      </c>
      <c r="Q166" t="s">
        <v>50</v>
      </c>
      <c r="R166">
        <v>1</v>
      </c>
      <c r="S166" t="b">
        <v>0</v>
      </c>
      <c r="T166" t="s">
        <v>47</v>
      </c>
      <c r="U166" t="s">
        <v>47</v>
      </c>
      <c r="V166" t="s">
        <v>47</v>
      </c>
      <c r="W166" t="s">
        <v>47</v>
      </c>
      <c r="X166" t="s">
        <v>51</v>
      </c>
      <c r="Y166" t="b">
        <v>0</v>
      </c>
      <c r="Z166" t="s">
        <v>47</v>
      </c>
      <c r="AA166" t="s">
        <v>47</v>
      </c>
      <c r="AC166" t="b">
        <v>1</v>
      </c>
      <c r="AD166" t="s">
        <v>52</v>
      </c>
      <c r="AE166" t="s">
        <v>1149</v>
      </c>
      <c r="AF166" t="s">
        <v>1144</v>
      </c>
      <c r="AG166" t="s">
        <v>1150</v>
      </c>
      <c r="AH166" t="s">
        <v>55</v>
      </c>
      <c r="AI166" s="2">
        <v>46160.173611111109</v>
      </c>
      <c r="AJ166" t="s">
        <v>47</v>
      </c>
      <c r="AK166" t="s">
        <v>47</v>
      </c>
      <c r="AL166" s="2">
        <v>46160.402777777781</v>
      </c>
      <c r="AM166" s="2">
        <v>46160.402777777781</v>
      </c>
    </row>
    <row r="167" spans="1:39" x14ac:dyDescent="0.3">
      <c r="A167" t="s">
        <v>1151</v>
      </c>
      <c r="B167" t="s">
        <v>1152</v>
      </c>
      <c r="C167" t="s">
        <v>41</v>
      </c>
      <c r="D167" t="s">
        <v>1153</v>
      </c>
      <c r="E167" t="s">
        <v>1154</v>
      </c>
      <c r="F167" t="s">
        <v>1146</v>
      </c>
      <c r="G167" t="s">
        <v>1147</v>
      </c>
      <c r="H167" t="s">
        <v>1155</v>
      </c>
      <c r="I167" t="s">
        <v>47</v>
      </c>
      <c r="J167" t="s">
        <v>47</v>
      </c>
      <c r="K167" t="s">
        <v>314</v>
      </c>
      <c r="L167" t="s">
        <v>47</v>
      </c>
      <c r="M167" t="s">
        <v>47</v>
      </c>
      <c r="N167" s="1">
        <v>46042</v>
      </c>
      <c r="O167" s="1">
        <v>46042</v>
      </c>
      <c r="P167" t="s">
        <v>315</v>
      </c>
      <c r="Q167" t="s">
        <v>50</v>
      </c>
      <c r="R167">
        <v>1</v>
      </c>
      <c r="S167" t="b">
        <v>0</v>
      </c>
      <c r="T167" t="s">
        <v>47</v>
      </c>
      <c r="U167" t="s">
        <v>47</v>
      </c>
      <c r="V167" t="s">
        <v>47</v>
      </c>
      <c r="W167" t="s">
        <v>47</v>
      </c>
      <c r="X167" t="s">
        <v>51</v>
      </c>
      <c r="Y167" t="b">
        <v>0</v>
      </c>
      <c r="Z167" t="s">
        <v>47</v>
      </c>
      <c r="AA167" t="s">
        <v>47</v>
      </c>
      <c r="AC167" t="b">
        <v>1</v>
      </c>
      <c r="AD167" t="s">
        <v>52</v>
      </c>
      <c r="AE167" t="s">
        <v>1156</v>
      </c>
      <c r="AF167" t="s">
        <v>1153</v>
      </c>
      <c r="AG167" t="s">
        <v>1157</v>
      </c>
      <c r="AH167" t="s">
        <v>55</v>
      </c>
      <c r="AI167" s="2">
        <v>46160.173611111109</v>
      </c>
      <c r="AJ167" t="s">
        <v>47</v>
      </c>
      <c r="AK167" t="s">
        <v>47</v>
      </c>
      <c r="AL167" s="2">
        <v>46160.402777777781</v>
      </c>
      <c r="AM167" s="2">
        <v>46160.402777777781</v>
      </c>
    </row>
    <row r="168" spans="1:39" x14ac:dyDescent="0.3">
      <c r="A168" t="s">
        <v>1158</v>
      </c>
      <c r="B168" t="s">
        <v>1159</v>
      </c>
      <c r="C168" t="s">
        <v>41</v>
      </c>
      <c r="D168" t="s">
        <v>1160</v>
      </c>
      <c r="E168" t="s">
        <v>1161</v>
      </c>
      <c r="F168" t="s">
        <v>718</v>
      </c>
      <c r="G168" t="s">
        <v>719</v>
      </c>
      <c r="H168" t="s">
        <v>720</v>
      </c>
      <c r="I168" t="s">
        <v>47</v>
      </c>
      <c r="J168" t="s">
        <v>47</v>
      </c>
      <c r="K168" t="s">
        <v>721</v>
      </c>
      <c r="L168" t="s">
        <v>47</v>
      </c>
      <c r="M168" s="1">
        <v>46042</v>
      </c>
      <c r="N168" s="1">
        <v>46042</v>
      </c>
      <c r="O168" s="1">
        <v>46042</v>
      </c>
      <c r="P168" t="s">
        <v>722</v>
      </c>
      <c r="Q168" t="s">
        <v>50</v>
      </c>
      <c r="R168">
        <v>3</v>
      </c>
      <c r="S168" t="b">
        <v>1</v>
      </c>
      <c r="T168" t="s">
        <v>47</v>
      </c>
      <c r="U168" t="s">
        <v>47</v>
      </c>
      <c r="V168" t="s">
        <v>47</v>
      </c>
      <c r="W168" t="s">
        <v>47</v>
      </c>
      <c r="X168" t="s">
        <v>51</v>
      </c>
      <c r="Y168" t="b">
        <v>0</v>
      </c>
      <c r="Z168" t="s">
        <v>47</v>
      </c>
      <c r="AA168" t="s">
        <v>47</v>
      </c>
      <c r="AB168" t="s">
        <v>47</v>
      </c>
      <c r="AC168" t="b">
        <v>1</v>
      </c>
      <c r="AD168" t="s">
        <v>52</v>
      </c>
      <c r="AE168" t="s">
        <v>1162</v>
      </c>
      <c r="AF168" t="s">
        <v>1160</v>
      </c>
      <c r="AG168" t="s">
        <v>47</v>
      </c>
      <c r="AH168" t="s">
        <v>87</v>
      </c>
      <c r="AI168" s="2">
        <v>46160.581724537034</v>
      </c>
      <c r="AJ168" t="s">
        <v>47</v>
      </c>
      <c r="AK168" t="s">
        <v>47</v>
      </c>
      <c r="AL168" s="2">
        <v>46160.581724537034</v>
      </c>
      <c r="AM168" s="2">
        <v>46160.581724537034</v>
      </c>
    </row>
    <row r="169" spans="1:39" x14ac:dyDescent="0.3">
      <c r="A169" t="s">
        <v>1163</v>
      </c>
      <c r="B169" t="s">
        <v>1164</v>
      </c>
      <c r="C169" t="s">
        <v>41</v>
      </c>
      <c r="D169" t="s">
        <v>1165</v>
      </c>
      <c r="E169" t="s">
        <v>1166</v>
      </c>
      <c r="F169" t="s">
        <v>718</v>
      </c>
      <c r="G169" t="s">
        <v>719</v>
      </c>
      <c r="H169" t="s">
        <v>720</v>
      </c>
      <c r="I169" t="s">
        <v>47</v>
      </c>
      <c r="J169" t="s">
        <v>47</v>
      </c>
      <c r="K169" t="s">
        <v>721</v>
      </c>
      <c r="L169" t="s">
        <v>47</v>
      </c>
      <c r="M169" s="1">
        <v>46042</v>
      </c>
      <c r="N169" s="1">
        <v>46042</v>
      </c>
      <c r="O169" s="1">
        <v>46042</v>
      </c>
      <c r="P169" t="s">
        <v>722</v>
      </c>
      <c r="Q169" t="s">
        <v>50</v>
      </c>
      <c r="R169">
        <v>3</v>
      </c>
      <c r="S169" t="b">
        <v>1</v>
      </c>
      <c r="T169" t="s">
        <v>47</v>
      </c>
      <c r="U169" t="s">
        <v>47</v>
      </c>
      <c r="V169" t="s">
        <v>47</v>
      </c>
      <c r="W169" t="s">
        <v>47</v>
      </c>
      <c r="X169" t="s">
        <v>51</v>
      </c>
      <c r="Y169" t="b">
        <v>0</v>
      </c>
      <c r="Z169" t="s">
        <v>47</v>
      </c>
      <c r="AA169" t="s">
        <v>47</v>
      </c>
      <c r="AB169" t="s">
        <v>47</v>
      </c>
      <c r="AC169" t="b">
        <v>1</v>
      </c>
      <c r="AD169" t="s">
        <v>52</v>
      </c>
      <c r="AE169" t="s">
        <v>1167</v>
      </c>
      <c r="AF169" t="s">
        <v>1165</v>
      </c>
      <c r="AG169" t="s">
        <v>47</v>
      </c>
      <c r="AH169" t="s">
        <v>87</v>
      </c>
      <c r="AI169" s="2">
        <v>46160.565381944441</v>
      </c>
      <c r="AJ169" t="s">
        <v>47</v>
      </c>
      <c r="AK169" t="s">
        <v>47</v>
      </c>
      <c r="AL169" s="2">
        <v>46160.565381944441</v>
      </c>
      <c r="AM169" s="2">
        <v>46160.565381944441</v>
      </c>
    </row>
    <row r="170" spans="1:39" x14ac:dyDescent="0.3">
      <c r="A170" t="s">
        <v>1168</v>
      </c>
      <c r="B170" t="s">
        <v>1169</v>
      </c>
      <c r="C170" t="s">
        <v>41</v>
      </c>
      <c r="D170" t="s">
        <v>1170</v>
      </c>
      <c r="E170" t="s">
        <v>1171</v>
      </c>
      <c r="F170" t="s">
        <v>322</v>
      </c>
      <c r="G170" t="s">
        <v>323</v>
      </c>
      <c r="H170" t="s">
        <v>779</v>
      </c>
      <c r="I170" t="s">
        <v>47</v>
      </c>
      <c r="J170" t="s">
        <v>47</v>
      </c>
      <c r="K170" t="s">
        <v>253</v>
      </c>
      <c r="L170" t="s">
        <v>47</v>
      </c>
      <c r="M170" t="s">
        <v>47</v>
      </c>
      <c r="N170" s="1">
        <v>46042</v>
      </c>
      <c r="O170" s="1">
        <v>46042</v>
      </c>
      <c r="P170" t="s">
        <v>254</v>
      </c>
      <c r="Q170" t="s">
        <v>50</v>
      </c>
      <c r="R170">
        <v>1</v>
      </c>
      <c r="S170" t="b">
        <v>0</v>
      </c>
      <c r="T170" t="s">
        <v>47</v>
      </c>
      <c r="U170" t="s">
        <v>47</v>
      </c>
      <c r="V170" t="s">
        <v>47</v>
      </c>
      <c r="W170" t="s">
        <v>47</v>
      </c>
      <c r="X170" t="s">
        <v>51</v>
      </c>
      <c r="Y170" t="b">
        <v>0</v>
      </c>
      <c r="Z170" t="s">
        <v>47</v>
      </c>
      <c r="AA170" t="s">
        <v>47</v>
      </c>
      <c r="AC170" t="b">
        <v>1</v>
      </c>
      <c r="AD170" t="s">
        <v>52</v>
      </c>
      <c r="AE170" t="s">
        <v>1172</v>
      </c>
      <c r="AF170" t="s">
        <v>1170</v>
      </c>
      <c r="AG170" t="s">
        <v>1173</v>
      </c>
      <c r="AH170" t="s">
        <v>55</v>
      </c>
      <c r="AI170" s="2">
        <v>46160.201388888891</v>
      </c>
      <c r="AJ170" t="s">
        <v>47</v>
      </c>
      <c r="AK170" t="s">
        <v>47</v>
      </c>
      <c r="AL170" s="2">
        <v>46160.430555555555</v>
      </c>
      <c r="AM170" s="2">
        <v>46160.430555555555</v>
      </c>
    </row>
    <row r="171" spans="1:39" x14ac:dyDescent="0.3">
      <c r="A171" t="s">
        <v>1174</v>
      </c>
      <c r="B171" t="s">
        <v>1175</v>
      </c>
      <c r="C171" t="s">
        <v>41</v>
      </c>
      <c r="D171" t="s">
        <v>1176</v>
      </c>
      <c r="E171" t="s">
        <v>1177</v>
      </c>
      <c r="F171" t="s">
        <v>107</v>
      </c>
      <c r="G171" t="s">
        <v>108</v>
      </c>
      <c r="H171" t="s">
        <v>1178</v>
      </c>
      <c r="I171" t="s">
        <v>47</v>
      </c>
      <c r="J171" t="s">
        <v>47</v>
      </c>
      <c r="K171" t="s">
        <v>48</v>
      </c>
      <c r="L171" t="s">
        <v>47</v>
      </c>
      <c r="M171" t="s">
        <v>47</v>
      </c>
      <c r="N171" s="1">
        <v>46042</v>
      </c>
      <c r="O171" s="1">
        <v>46042</v>
      </c>
      <c r="P171" t="s">
        <v>49</v>
      </c>
      <c r="Q171" t="s">
        <v>50</v>
      </c>
      <c r="R171">
        <v>2</v>
      </c>
      <c r="S171" t="b">
        <v>0</v>
      </c>
      <c r="T171" t="s">
        <v>47</v>
      </c>
      <c r="U171" t="s">
        <v>47</v>
      </c>
      <c r="V171" t="s">
        <v>47</v>
      </c>
      <c r="W171" t="s">
        <v>47</v>
      </c>
      <c r="X171" t="s">
        <v>51</v>
      </c>
      <c r="Y171" t="b">
        <v>0</v>
      </c>
      <c r="Z171" t="s">
        <v>47</v>
      </c>
      <c r="AA171" t="s">
        <v>47</v>
      </c>
      <c r="AC171" t="b">
        <v>1</v>
      </c>
      <c r="AD171" t="s">
        <v>52</v>
      </c>
      <c r="AE171" t="s">
        <v>1179</v>
      </c>
      <c r="AF171" t="s">
        <v>1176</v>
      </c>
      <c r="AG171" t="s">
        <v>1180</v>
      </c>
      <c r="AH171" t="s">
        <v>55</v>
      </c>
      <c r="AI171" s="2">
        <v>46160.270833333336</v>
      </c>
      <c r="AJ171" t="s">
        <v>47</v>
      </c>
      <c r="AK171" t="s">
        <v>47</v>
      </c>
      <c r="AL171" s="2">
        <v>46160.5</v>
      </c>
      <c r="AM171" s="2">
        <v>46160.5</v>
      </c>
    </row>
    <row r="172" spans="1:39" x14ac:dyDescent="0.3">
      <c r="A172" t="s">
        <v>1181</v>
      </c>
      <c r="B172" t="s">
        <v>1182</v>
      </c>
      <c r="C172" t="s">
        <v>41</v>
      </c>
      <c r="D172" t="s">
        <v>1183</v>
      </c>
      <c r="E172" t="s">
        <v>1184</v>
      </c>
      <c r="F172" t="s">
        <v>83</v>
      </c>
      <c r="G172" t="s">
        <v>84</v>
      </c>
      <c r="H172" t="s">
        <v>85</v>
      </c>
      <c r="I172" t="s">
        <v>47</v>
      </c>
      <c r="J172" t="s">
        <v>47</v>
      </c>
      <c r="K172" t="s">
        <v>48</v>
      </c>
      <c r="L172" t="s">
        <v>47</v>
      </c>
      <c r="M172" s="1">
        <v>46042</v>
      </c>
      <c r="N172" s="1">
        <v>46042</v>
      </c>
      <c r="O172" s="1">
        <v>46042</v>
      </c>
      <c r="P172" t="s">
        <v>49</v>
      </c>
      <c r="Q172" t="s">
        <v>50</v>
      </c>
      <c r="R172">
        <v>2</v>
      </c>
      <c r="S172" t="b">
        <v>0</v>
      </c>
      <c r="T172" t="s">
        <v>47</v>
      </c>
      <c r="U172" t="s">
        <v>47</v>
      </c>
      <c r="V172" t="s">
        <v>47</v>
      </c>
      <c r="W172" t="s">
        <v>47</v>
      </c>
      <c r="X172" t="s">
        <v>51</v>
      </c>
      <c r="Y172" t="b">
        <v>0</v>
      </c>
      <c r="Z172" t="s">
        <v>47</v>
      </c>
      <c r="AA172" t="s">
        <v>47</v>
      </c>
      <c r="AB172" t="s">
        <v>47</v>
      </c>
      <c r="AC172" t="b">
        <v>1</v>
      </c>
      <c r="AD172" t="s">
        <v>52</v>
      </c>
      <c r="AE172" t="s">
        <v>1185</v>
      </c>
      <c r="AF172" t="s">
        <v>1183</v>
      </c>
      <c r="AG172" t="s">
        <v>47</v>
      </c>
      <c r="AH172" t="s">
        <v>87</v>
      </c>
      <c r="AI172" s="2">
        <v>46160.581724537034</v>
      </c>
      <c r="AJ172" t="s">
        <v>47</v>
      </c>
      <c r="AK172" t="s">
        <v>47</v>
      </c>
      <c r="AL172" s="2">
        <v>46160.581724537034</v>
      </c>
      <c r="AM172" s="2">
        <v>46160.581724537034</v>
      </c>
    </row>
    <row r="173" spans="1:39" x14ac:dyDescent="0.3">
      <c r="A173" t="s">
        <v>1186</v>
      </c>
      <c r="B173" t="s">
        <v>1187</v>
      </c>
      <c r="C173" t="s">
        <v>41</v>
      </c>
      <c r="D173" t="s">
        <v>1188</v>
      </c>
      <c r="E173" t="s">
        <v>1189</v>
      </c>
      <c r="F173" t="s">
        <v>83</v>
      </c>
      <c r="G173" t="s">
        <v>84</v>
      </c>
      <c r="H173" t="s">
        <v>1190</v>
      </c>
      <c r="I173" t="s">
        <v>47</v>
      </c>
      <c r="J173" t="s">
        <v>47</v>
      </c>
      <c r="K173" t="s">
        <v>48</v>
      </c>
      <c r="L173" t="s">
        <v>47</v>
      </c>
      <c r="M173" s="1">
        <v>46042</v>
      </c>
      <c r="N173" s="1">
        <v>46042</v>
      </c>
      <c r="O173" s="1">
        <v>46042</v>
      </c>
      <c r="P173" t="s">
        <v>49</v>
      </c>
      <c r="Q173" t="s">
        <v>50</v>
      </c>
      <c r="R173">
        <v>2</v>
      </c>
      <c r="S173" t="b">
        <v>0</v>
      </c>
      <c r="T173" t="s">
        <v>47</v>
      </c>
      <c r="U173" t="s">
        <v>47</v>
      </c>
      <c r="V173" t="s">
        <v>47</v>
      </c>
      <c r="W173" t="s">
        <v>47</v>
      </c>
      <c r="X173" t="s">
        <v>51</v>
      </c>
      <c r="Y173" t="b">
        <v>0</v>
      </c>
      <c r="Z173" t="s">
        <v>47</v>
      </c>
      <c r="AA173" t="s">
        <v>47</v>
      </c>
      <c r="AB173" t="s">
        <v>47</v>
      </c>
      <c r="AC173" t="b">
        <v>1</v>
      </c>
      <c r="AD173" t="s">
        <v>52</v>
      </c>
      <c r="AE173" t="s">
        <v>1191</v>
      </c>
      <c r="AF173" t="s">
        <v>1188</v>
      </c>
      <c r="AG173" t="s">
        <v>47</v>
      </c>
      <c r="AH173" t="s">
        <v>87</v>
      </c>
      <c r="AI173" s="2">
        <v>46160.565381944441</v>
      </c>
      <c r="AJ173" t="s">
        <v>47</v>
      </c>
      <c r="AK173" t="s">
        <v>47</v>
      </c>
      <c r="AL173" s="2">
        <v>46160.565381944441</v>
      </c>
      <c r="AM173" s="2">
        <v>46160.565381944441</v>
      </c>
    </row>
    <row r="174" spans="1:39" x14ac:dyDescent="0.3">
      <c r="A174" t="s">
        <v>1192</v>
      </c>
      <c r="B174" t="s">
        <v>1193</v>
      </c>
      <c r="C174" t="s">
        <v>41</v>
      </c>
      <c r="D174" t="s">
        <v>1194</v>
      </c>
      <c r="E174" t="s">
        <v>1195</v>
      </c>
      <c r="F174" t="s">
        <v>83</v>
      </c>
      <c r="G174" t="s">
        <v>84</v>
      </c>
      <c r="H174" t="s">
        <v>85</v>
      </c>
      <c r="I174" t="s">
        <v>47</v>
      </c>
      <c r="J174" t="s">
        <v>47</v>
      </c>
      <c r="K174" t="s">
        <v>48</v>
      </c>
      <c r="L174" t="s">
        <v>47</v>
      </c>
      <c r="M174" s="1">
        <v>46042</v>
      </c>
      <c r="N174" s="1">
        <v>46042</v>
      </c>
      <c r="O174" s="1">
        <v>46042</v>
      </c>
      <c r="P174" t="s">
        <v>49</v>
      </c>
      <c r="Q174" t="s">
        <v>50</v>
      </c>
      <c r="R174">
        <v>2</v>
      </c>
      <c r="S174" t="b">
        <v>0</v>
      </c>
      <c r="T174" t="s">
        <v>47</v>
      </c>
      <c r="U174" t="s">
        <v>47</v>
      </c>
      <c r="V174" t="s">
        <v>47</v>
      </c>
      <c r="W174" t="s">
        <v>47</v>
      </c>
      <c r="X174" t="s">
        <v>51</v>
      </c>
      <c r="Y174" t="b">
        <v>0</v>
      </c>
      <c r="Z174" t="s">
        <v>47</v>
      </c>
      <c r="AA174" t="s">
        <v>47</v>
      </c>
      <c r="AB174" t="s">
        <v>47</v>
      </c>
      <c r="AC174" t="b">
        <v>1</v>
      </c>
      <c r="AD174" t="s">
        <v>52</v>
      </c>
      <c r="AE174" t="s">
        <v>1196</v>
      </c>
      <c r="AF174" t="s">
        <v>1194</v>
      </c>
      <c r="AG174" t="s">
        <v>47</v>
      </c>
      <c r="AH174" t="s">
        <v>87</v>
      </c>
      <c r="AI174" s="2">
        <v>46160.598310185182</v>
      </c>
      <c r="AJ174" t="s">
        <v>47</v>
      </c>
      <c r="AK174" t="s">
        <v>47</v>
      </c>
      <c r="AL174" s="2">
        <v>46160.598310185182</v>
      </c>
      <c r="AM174" s="2">
        <v>46160.598310185182</v>
      </c>
    </row>
    <row r="175" spans="1:39" x14ac:dyDescent="0.3">
      <c r="A175" t="s">
        <v>1197</v>
      </c>
      <c r="B175" t="s">
        <v>1198</v>
      </c>
      <c r="C175" t="s">
        <v>41</v>
      </c>
      <c r="D175" t="s">
        <v>1199</v>
      </c>
      <c r="E175" t="s">
        <v>1200</v>
      </c>
      <c r="F175" t="s">
        <v>83</v>
      </c>
      <c r="G175" t="s">
        <v>84</v>
      </c>
      <c r="H175" t="s">
        <v>85</v>
      </c>
      <c r="I175" t="s">
        <v>47</v>
      </c>
      <c r="J175" t="s">
        <v>47</v>
      </c>
      <c r="K175" t="s">
        <v>48</v>
      </c>
      <c r="L175" t="s">
        <v>47</v>
      </c>
      <c r="M175" s="1">
        <v>46042</v>
      </c>
      <c r="N175" s="1">
        <v>46042</v>
      </c>
      <c r="O175" s="1">
        <v>46042</v>
      </c>
      <c r="P175" t="s">
        <v>49</v>
      </c>
      <c r="Q175" t="s">
        <v>50</v>
      </c>
      <c r="R175">
        <v>2</v>
      </c>
      <c r="S175" t="b">
        <v>0</v>
      </c>
      <c r="T175" t="s">
        <v>47</v>
      </c>
      <c r="U175" t="s">
        <v>47</v>
      </c>
      <c r="V175" t="s">
        <v>47</v>
      </c>
      <c r="W175" t="s">
        <v>47</v>
      </c>
      <c r="X175" t="s">
        <v>51</v>
      </c>
      <c r="Y175" t="b">
        <v>0</v>
      </c>
      <c r="Z175" t="s">
        <v>47</v>
      </c>
      <c r="AA175" t="s">
        <v>47</v>
      </c>
      <c r="AB175" t="s">
        <v>47</v>
      </c>
      <c r="AC175" t="b">
        <v>1</v>
      </c>
      <c r="AD175" t="s">
        <v>52</v>
      </c>
      <c r="AE175" t="s">
        <v>1201</v>
      </c>
      <c r="AF175" t="s">
        <v>1199</v>
      </c>
      <c r="AG175" t="s">
        <v>47</v>
      </c>
      <c r="AH175" t="s">
        <v>87</v>
      </c>
      <c r="AI175" s="2">
        <v>46160.598310185182</v>
      </c>
      <c r="AJ175" t="s">
        <v>47</v>
      </c>
      <c r="AK175" t="s">
        <v>47</v>
      </c>
      <c r="AL175" s="2">
        <v>46160.598310185182</v>
      </c>
      <c r="AM175" s="2">
        <v>46160.598310185182</v>
      </c>
    </row>
    <row r="176" spans="1:39" x14ac:dyDescent="0.3">
      <c r="A176" t="s">
        <v>1202</v>
      </c>
      <c r="B176" t="s">
        <v>1203</v>
      </c>
      <c r="C176" t="s">
        <v>41</v>
      </c>
      <c r="D176" t="s">
        <v>1204</v>
      </c>
      <c r="E176" t="s">
        <v>1205</v>
      </c>
      <c r="F176" t="s">
        <v>127</v>
      </c>
      <c r="G176" t="s">
        <v>128</v>
      </c>
      <c r="H176" t="s">
        <v>129</v>
      </c>
      <c r="I176" t="s">
        <v>47</v>
      </c>
      <c r="J176" t="s">
        <v>47</v>
      </c>
      <c r="K176" t="s">
        <v>130</v>
      </c>
      <c r="L176" t="s">
        <v>47</v>
      </c>
      <c r="M176" t="s">
        <v>47</v>
      </c>
      <c r="N176" s="1">
        <v>46042</v>
      </c>
      <c r="O176" s="1">
        <v>46042</v>
      </c>
      <c r="P176" t="s">
        <v>49</v>
      </c>
      <c r="Q176" t="s">
        <v>50</v>
      </c>
      <c r="R176">
        <v>3</v>
      </c>
      <c r="S176" t="b">
        <v>1</v>
      </c>
      <c r="T176" t="s">
        <v>47</v>
      </c>
      <c r="U176" t="s">
        <v>47</v>
      </c>
      <c r="V176" t="s">
        <v>47</v>
      </c>
      <c r="W176" t="s">
        <v>47</v>
      </c>
      <c r="X176" t="s">
        <v>51</v>
      </c>
      <c r="Y176" t="b">
        <v>0</v>
      </c>
      <c r="Z176" t="s">
        <v>47</v>
      </c>
      <c r="AA176" t="s">
        <v>47</v>
      </c>
      <c r="AB176">
        <v>0.6</v>
      </c>
      <c r="AC176" t="b">
        <v>1</v>
      </c>
      <c r="AD176" t="s">
        <v>52</v>
      </c>
      <c r="AE176" t="s">
        <v>1206</v>
      </c>
      <c r="AF176" t="s">
        <v>1204</v>
      </c>
      <c r="AG176" t="s">
        <v>1207</v>
      </c>
      <c r="AH176" t="s">
        <v>55</v>
      </c>
      <c r="AI176" s="2">
        <v>46160.201388888891</v>
      </c>
      <c r="AJ176" t="s">
        <v>47</v>
      </c>
      <c r="AK176" t="s">
        <v>47</v>
      </c>
      <c r="AL176" s="2">
        <v>46160.430555555555</v>
      </c>
      <c r="AM176" s="2">
        <v>46160.430555555555</v>
      </c>
    </row>
    <row r="177" spans="1:39" x14ac:dyDescent="0.3">
      <c r="A177" t="s">
        <v>1208</v>
      </c>
      <c r="B177" t="s">
        <v>1209</v>
      </c>
      <c r="C177" t="s">
        <v>41</v>
      </c>
      <c r="D177" t="s">
        <v>1210</v>
      </c>
      <c r="E177" t="s">
        <v>1211</v>
      </c>
      <c r="F177" t="s">
        <v>127</v>
      </c>
      <c r="G177" t="s">
        <v>128</v>
      </c>
      <c r="H177" t="s">
        <v>1212</v>
      </c>
      <c r="I177" t="s">
        <v>47</v>
      </c>
      <c r="J177" t="s">
        <v>47</v>
      </c>
      <c r="K177" t="s">
        <v>130</v>
      </c>
      <c r="L177" t="s">
        <v>47</v>
      </c>
      <c r="M177" t="s">
        <v>47</v>
      </c>
      <c r="N177" s="1">
        <v>46042</v>
      </c>
      <c r="O177" s="1">
        <v>46042</v>
      </c>
      <c r="P177" t="s">
        <v>49</v>
      </c>
      <c r="Q177" t="s">
        <v>50</v>
      </c>
      <c r="R177">
        <v>3</v>
      </c>
      <c r="S177" t="b">
        <v>1</v>
      </c>
      <c r="T177" t="s">
        <v>47</v>
      </c>
      <c r="U177" t="s">
        <v>47</v>
      </c>
      <c r="V177" t="s">
        <v>47</v>
      </c>
      <c r="W177" t="s">
        <v>47</v>
      </c>
      <c r="X177" t="s">
        <v>51</v>
      </c>
      <c r="Y177" t="b">
        <v>0</v>
      </c>
      <c r="Z177" t="s">
        <v>47</v>
      </c>
      <c r="AA177" t="s">
        <v>47</v>
      </c>
      <c r="AB177">
        <v>0.6</v>
      </c>
      <c r="AC177" t="b">
        <v>1</v>
      </c>
      <c r="AD177" t="s">
        <v>52</v>
      </c>
      <c r="AE177" t="s">
        <v>1213</v>
      </c>
      <c r="AF177" t="s">
        <v>1210</v>
      </c>
      <c r="AG177" t="s">
        <v>1214</v>
      </c>
      <c r="AH177" t="s">
        <v>55</v>
      </c>
      <c r="AI177" s="2">
        <v>46160.201388888891</v>
      </c>
      <c r="AJ177" t="s">
        <v>47</v>
      </c>
      <c r="AK177" t="s">
        <v>47</v>
      </c>
      <c r="AL177" s="2">
        <v>46160.430555555555</v>
      </c>
      <c r="AM177" s="2">
        <v>46160.430555555555</v>
      </c>
    </row>
    <row r="178" spans="1:39" x14ac:dyDescent="0.3">
      <c r="A178" t="s">
        <v>1215</v>
      </c>
      <c r="B178" t="s">
        <v>1216</v>
      </c>
      <c r="C178" t="s">
        <v>41</v>
      </c>
      <c r="D178" t="s">
        <v>1217</v>
      </c>
      <c r="E178" t="s">
        <v>1218</v>
      </c>
      <c r="F178" t="s">
        <v>107</v>
      </c>
      <c r="G178" t="s">
        <v>108</v>
      </c>
      <c r="H178" t="s">
        <v>109</v>
      </c>
      <c r="I178" t="s">
        <v>47</v>
      </c>
      <c r="J178" t="s">
        <v>47</v>
      </c>
      <c r="K178" t="s">
        <v>48</v>
      </c>
      <c r="L178" t="s">
        <v>47</v>
      </c>
      <c r="M178" t="s">
        <v>47</v>
      </c>
      <c r="N178" s="1">
        <v>46042</v>
      </c>
      <c r="O178" s="1">
        <v>46042</v>
      </c>
      <c r="P178" t="s">
        <v>49</v>
      </c>
      <c r="Q178" t="s">
        <v>50</v>
      </c>
      <c r="R178">
        <v>2</v>
      </c>
      <c r="S178" t="b">
        <v>0</v>
      </c>
      <c r="T178" t="s">
        <v>47</v>
      </c>
      <c r="U178" t="s">
        <v>47</v>
      </c>
      <c r="V178" t="s">
        <v>47</v>
      </c>
      <c r="W178" t="s">
        <v>47</v>
      </c>
      <c r="X178" t="s">
        <v>51</v>
      </c>
      <c r="Y178" t="b">
        <v>0</v>
      </c>
      <c r="Z178" t="s">
        <v>47</v>
      </c>
      <c r="AA178" t="s">
        <v>47</v>
      </c>
      <c r="AC178" t="b">
        <v>1</v>
      </c>
      <c r="AD178" t="s">
        <v>52</v>
      </c>
      <c r="AE178" t="s">
        <v>1219</v>
      </c>
      <c r="AF178" t="s">
        <v>1217</v>
      </c>
      <c r="AG178" t="s">
        <v>1220</v>
      </c>
      <c r="AH178" t="s">
        <v>55</v>
      </c>
      <c r="AI178" s="2">
        <v>46160.25</v>
      </c>
      <c r="AJ178" t="s">
        <v>47</v>
      </c>
      <c r="AK178" t="s">
        <v>47</v>
      </c>
      <c r="AL178" s="2">
        <v>46160.479166666664</v>
      </c>
      <c r="AM178" s="2">
        <v>46160.479166666664</v>
      </c>
    </row>
    <row r="179" spans="1:39" x14ac:dyDescent="0.3">
      <c r="A179" t="s">
        <v>1221</v>
      </c>
      <c r="B179" t="s">
        <v>1222</v>
      </c>
      <c r="C179" t="s">
        <v>41</v>
      </c>
      <c r="D179" t="s">
        <v>1223</v>
      </c>
      <c r="E179" t="s">
        <v>1224</v>
      </c>
      <c r="F179" t="s">
        <v>1225</v>
      </c>
      <c r="G179" t="s">
        <v>1226</v>
      </c>
      <c r="H179" t="s">
        <v>1227</v>
      </c>
      <c r="I179" t="s">
        <v>47</v>
      </c>
      <c r="J179" t="s">
        <v>47</v>
      </c>
      <c r="K179" t="s">
        <v>130</v>
      </c>
      <c r="L179" t="s">
        <v>47</v>
      </c>
      <c r="M179" t="s">
        <v>47</v>
      </c>
      <c r="N179" s="1">
        <v>46042</v>
      </c>
      <c r="O179" s="1">
        <v>46042</v>
      </c>
      <c r="P179" t="s">
        <v>49</v>
      </c>
      <c r="Q179" t="s">
        <v>50</v>
      </c>
      <c r="R179">
        <v>3</v>
      </c>
      <c r="S179" t="b">
        <v>1</v>
      </c>
      <c r="T179" t="s">
        <v>47</v>
      </c>
      <c r="U179" t="s">
        <v>47</v>
      </c>
      <c r="V179" t="s">
        <v>47</v>
      </c>
      <c r="W179" t="s">
        <v>47</v>
      </c>
      <c r="X179" t="s">
        <v>51</v>
      </c>
      <c r="Y179" t="b">
        <v>0</v>
      </c>
      <c r="Z179" t="s">
        <v>47</v>
      </c>
      <c r="AA179" t="s">
        <v>47</v>
      </c>
      <c r="AB179">
        <v>0.6</v>
      </c>
      <c r="AC179" t="b">
        <v>1</v>
      </c>
      <c r="AD179" t="s">
        <v>52</v>
      </c>
      <c r="AE179" t="s">
        <v>1228</v>
      </c>
      <c r="AF179" t="s">
        <v>1223</v>
      </c>
      <c r="AG179" t="s">
        <v>1229</v>
      </c>
      <c r="AH179" t="s">
        <v>55</v>
      </c>
      <c r="AI179" s="2">
        <v>46160.149305555555</v>
      </c>
      <c r="AJ179" t="s">
        <v>47</v>
      </c>
      <c r="AK179" t="s">
        <v>47</v>
      </c>
      <c r="AL179" s="2">
        <v>46160.171903877315</v>
      </c>
      <c r="AM179" s="2">
        <v>46160.171903877315</v>
      </c>
    </row>
    <row r="180" spans="1:39" x14ac:dyDescent="0.3">
      <c r="A180" t="s">
        <v>1230</v>
      </c>
      <c r="B180" t="s">
        <v>1231</v>
      </c>
      <c r="C180" t="s">
        <v>41</v>
      </c>
      <c r="D180" t="s">
        <v>1232</v>
      </c>
      <c r="E180" t="s">
        <v>1233</v>
      </c>
      <c r="F180" t="s">
        <v>1234</v>
      </c>
      <c r="G180" t="s">
        <v>1235</v>
      </c>
      <c r="H180" t="s">
        <v>1236</v>
      </c>
      <c r="I180" t="s">
        <v>47</v>
      </c>
      <c r="J180" t="s">
        <v>47</v>
      </c>
      <c r="K180" t="s">
        <v>253</v>
      </c>
      <c r="L180" t="s">
        <v>47</v>
      </c>
      <c r="M180" t="s">
        <v>47</v>
      </c>
      <c r="N180" s="1">
        <v>46042</v>
      </c>
      <c r="O180" s="1">
        <v>46042</v>
      </c>
      <c r="P180" t="s">
        <v>254</v>
      </c>
      <c r="Q180" t="s">
        <v>50</v>
      </c>
      <c r="R180">
        <v>2</v>
      </c>
      <c r="S180" t="b">
        <v>0</v>
      </c>
      <c r="T180" t="s">
        <v>47</v>
      </c>
      <c r="U180" t="s">
        <v>47</v>
      </c>
      <c r="V180" t="s">
        <v>47</v>
      </c>
      <c r="W180" t="s">
        <v>47</v>
      </c>
      <c r="X180" t="s">
        <v>51</v>
      </c>
      <c r="Y180" t="b">
        <v>0</v>
      </c>
      <c r="Z180" t="s">
        <v>47</v>
      </c>
      <c r="AA180" t="s">
        <v>47</v>
      </c>
      <c r="AC180" t="b">
        <v>1</v>
      </c>
      <c r="AD180" t="s">
        <v>52</v>
      </c>
      <c r="AE180" t="s">
        <v>1237</v>
      </c>
      <c r="AF180" t="s">
        <v>1232</v>
      </c>
      <c r="AG180" t="s">
        <v>1238</v>
      </c>
      <c r="AH180" t="s">
        <v>55</v>
      </c>
      <c r="AI180" s="2">
        <v>46160.229166666664</v>
      </c>
      <c r="AJ180" t="s">
        <v>47</v>
      </c>
      <c r="AK180" t="s">
        <v>47</v>
      </c>
      <c r="AL180" s="2">
        <v>46160.458333333336</v>
      </c>
      <c r="AM180" s="2">
        <v>46160.458333333336</v>
      </c>
    </row>
    <row r="181" spans="1:39" x14ac:dyDescent="0.3">
      <c r="A181" t="s">
        <v>1239</v>
      </c>
      <c r="B181" t="s">
        <v>1240</v>
      </c>
      <c r="C181" t="s">
        <v>41</v>
      </c>
      <c r="D181" t="s">
        <v>1241</v>
      </c>
      <c r="E181" t="s">
        <v>1242</v>
      </c>
      <c r="F181" t="s">
        <v>1243</v>
      </c>
      <c r="G181" t="s">
        <v>1244</v>
      </c>
      <c r="H181" t="s">
        <v>1245</v>
      </c>
      <c r="I181" t="s">
        <v>47</v>
      </c>
      <c r="J181" t="s">
        <v>47</v>
      </c>
      <c r="K181" t="s">
        <v>130</v>
      </c>
      <c r="L181" t="s">
        <v>47</v>
      </c>
      <c r="M181" t="s">
        <v>47</v>
      </c>
      <c r="N181" s="1">
        <v>46042</v>
      </c>
      <c r="O181" s="1">
        <v>46042</v>
      </c>
      <c r="P181" t="s">
        <v>49</v>
      </c>
      <c r="Q181" t="s">
        <v>50</v>
      </c>
      <c r="R181">
        <v>3</v>
      </c>
      <c r="S181" t="b">
        <v>1</v>
      </c>
      <c r="T181" t="s">
        <v>47</v>
      </c>
      <c r="U181" t="s">
        <v>47</v>
      </c>
      <c r="V181" t="s">
        <v>47</v>
      </c>
      <c r="W181" t="s">
        <v>47</v>
      </c>
      <c r="X181" t="s">
        <v>51</v>
      </c>
      <c r="Y181" t="b">
        <v>0</v>
      </c>
      <c r="Z181" t="s">
        <v>47</v>
      </c>
      <c r="AA181" t="s">
        <v>47</v>
      </c>
      <c r="AB181">
        <v>0.6</v>
      </c>
      <c r="AC181" t="b">
        <v>1</v>
      </c>
      <c r="AD181" t="s">
        <v>52</v>
      </c>
      <c r="AE181" t="s">
        <v>1246</v>
      </c>
      <c r="AF181" t="s">
        <v>1241</v>
      </c>
      <c r="AG181" t="s">
        <v>1247</v>
      </c>
      <c r="AH181" t="s">
        <v>55</v>
      </c>
      <c r="AI181" s="2">
        <v>46160.201388888891</v>
      </c>
      <c r="AJ181" t="s">
        <v>47</v>
      </c>
      <c r="AK181" t="s">
        <v>47</v>
      </c>
      <c r="AL181" s="2">
        <v>46160.430555555555</v>
      </c>
      <c r="AM181" s="2">
        <v>46160.430555555555</v>
      </c>
    </row>
    <row r="182" spans="1:39" x14ac:dyDescent="0.3">
      <c r="A182" t="s">
        <v>1248</v>
      </c>
      <c r="B182" t="s">
        <v>1249</v>
      </c>
      <c r="C182" t="s">
        <v>41</v>
      </c>
      <c r="D182" t="s">
        <v>1250</v>
      </c>
      <c r="E182" t="s">
        <v>1251</v>
      </c>
      <c r="F182" t="s">
        <v>322</v>
      </c>
      <c r="G182" t="s">
        <v>323</v>
      </c>
      <c r="H182" t="s">
        <v>779</v>
      </c>
      <c r="I182" t="s">
        <v>47</v>
      </c>
      <c r="J182" t="s">
        <v>47</v>
      </c>
      <c r="K182" t="s">
        <v>253</v>
      </c>
      <c r="L182" t="s">
        <v>47</v>
      </c>
      <c r="M182" t="s">
        <v>47</v>
      </c>
      <c r="N182" s="1">
        <v>46042</v>
      </c>
      <c r="O182" s="1">
        <v>46042</v>
      </c>
      <c r="P182" t="s">
        <v>254</v>
      </c>
      <c r="Q182" t="s">
        <v>50</v>
      </c>
      <c r="R182">
        <v>1</v>
      </c>
      <c r="S182" t="b">
        <v>0</v>
      </c>
      <c r="T182" t="s">
        <v>47</v>
      </c>
      <c r="U182" t="s">
        <v>47</v>
      </c>
      <c r="V182" t="s">
        <v>47</v>
      </c>
      <c r="W182" t="s">
        <v>47</v>
      </c>
      <c r="X182" t="s">
        <v>51</v>
      </c>
      <c r="Y182" t="b">
        <v>0</v>
      </c>
      <c r="Z182" t="s">
        <v>47</v>
      </c>
      <c r="AA182" t="s">
        <v>47</v>
      </c>
      <c r="AC182" t="b">
        <v>1</v>
      </c>
      <c r="AD182" t="s">
        <v>52</v>
      </c>
      <c r="AE182" t="s">
        <v>1252</v>
      </c>
      <c r="AF182" t="s">
        <v>1250</v>
      </c>
      <c r="AG182" t="s">
        <v>1253</v>
      </c>
      <c r="AH182" t="s">
        <v>55</v>
      </c>
      <c r="AI182" s="2">
        <v>46160.201388888891</v>
      </c>
      <c r="AJ182" t="s">
        <v>47</v>
      </c>
      <c r="AK182" t="s">
        <v>47</v>
      </c>
      <c r="AL182" s="2">
        <v>46160.430555555555</v>
      </c>
      <c r="AM182" s="2">
        <v>46160.430555555555</v>
      </c>
    </row>
    <row r="183" spans="1:39" x14ac:dyDescent="0.3">
      <c r="A183" t="s">
        <v>1254</v>
      </c>
      <c r="B183" t="s">
        <v>1255</v>
      </c>
      <c r="C183" t="s">
        <v>41</v>
      </c>
      <c r="D183" t="s">
        <v>1256</v>
      </c>
      <c r="E183" t="s">
        <v>1257</v>
      </c>
      <c r="F183" t="s">
        <v>107</v>
      </c>
      <c r="G183" t="s">
        <v>108</v>
      </c>
      <c r="H183" t="s">
        <v>1258</v>
      </c>
      <c r="I183" t="s">
        <v>47</v>
      </c>
      <c r="J183" t="s">
        <v>47</v>
      </c>
      <c r="K183" t="s">
        <v>48</v>
      </c>
      <c r="L183" t="s">
        <v>47</v>
      </c>
      <c r="M183" t="s">
        <v>47</v>
      </c>
      <c r="N183" s="1">
        <v>46043</v>
      </c>
      <c r="O183" s="1">
        <v>46043</v>
      </c>
      <c r="P183" t="s">
        <v>49</v>
      </c>
      <c r="Q183" t="s">
        <v>50</v>
      </c>
      <c r="R183">
        <v>2</v>
      </c>
      <c r="S183" t="b">
        <v>0</v>
      </c>
      <c r="T183" t="s">
        <v>47</v>
      </c>
      <c r="U183" t="s">
        <v>47</v>
      </c>
      <c r="V183" t="s">
        <v>47</v>
      </c>
      <c r="W183" t="s">
        <v>47</v>
      </c>
      <c r="X183" t="s">
        <v>51</v>
      </c>
      <c r="Y183" t="b">
        <v>0</v>
      </c>
      <c r="Z183" t="s">
        <v>47</v>
      </c>
      <c r="AA183" t="s">
        <v>47</v>
      </c>
      <c r="AC183" t="b">
        <v>1</v>
      </c>
      <c r="AD183" t="s">
        <v>52</v>
      </c>
      <c r="AE183" t="s">
        <v>1259</v>
      </c>
      <c r="AF183" t="s">
        <v>1256</v>
      </c>
      <c r="AG183" t="s">
        <v>1260</v>
      </c>
      <c r="AH183" t="s">
        <v>55</v>
      </c>
      <c r="AI183" s="2">
        <v>46160.25</v>
      </c>
      <c r="AJ183" t="s">
        <v>47</v>
      </c>
      <c r="AK183" t="s">
        <v>47</v>
      </c>
      <c r="AL183" s="2">
        <v>46160.479166666664</v>
      </c>
      <c r="AM183" s="2">
        <v>46160.479166666664</v>
      </c>
    </row>
    <row r="184" spans="1:39" x14ac:dyDescent="0.3">
      <c r="A184" t="s">
        <v>1261</v>
      </c>
      <c r="B184" t="s">
        <v>1262</v>
      </c>
      <c r="C184" t="s">
        <v>41</v>
      </c>
      <c r="D184" t="s">
        <v>1263</v>
      </c>
      <c r="E184" t="s">
        <v>1264</v>
      </c>
      <c r="F184" t="s">
        <v>1265</v>
      </c>
      <c r="G184" t="s">
        <v>1266</v>
      </c>
      <c r="H184" t="s">
        <v>1267</v>
      </c>
      <c r="I184" t="s">
        <v>47</v>
      </c>
      <c r="J184" t="s">
        <v>47</v>
      </c>
      <c r="K184" t="s">
        <v>551</v>
      </c>
      <c r="L184" t="s">
        <v>47</v>
      </c>
      <c r="M184" s="1">
        <v>46043</v>
      </c>
      <c r="N184" s="1">
        <v>46043</v>
      </c>
      <c r="O184" s="1">
        <v>46043</v>
      </c>
      <c r="P184" t="s">
        <v>64</v>
      </c>
      <c r="Q184" t="s">
        <v>50</v>
      </c>
      <c r="R184">
        <v>1</v>
      </c>
      <c r="S184" t="b">
        <v>0</v>
      </c>
      <c r="T184" t="s">
        <v>47</v>
      </c>
      <c r="U184" t="s">
        <v>47</v>
      </c>
      <c r="V184" t="s">
        <v>47</v>
      </c>
      <c r="W184" t="s">
        <v>47</v>
      </c>
      <c r="X184" t="s">
        <v>51</v>
      </c>
      <c r="Y184" t="b">
        <v>0</v>
      </c>
      <c r="Z184" t="s">
        <v>47</v>
      </c>
      <c r="AA184" t="s">
        <v>47</v>
      </c>
      <c r="AB184" t="s">
        <v>47</v>
      </c>
      <c r="AC184" t="b">
        <v>1</v>
      </c>
      <c r="AD184" t="s">
        <v>52</v>
      </c>
      <c r="AE184" t="s">
        <v>1268</v>
      </c>
      <c r="AF184" t="s">
        <v>1263</v>
      </c>
      <c r="AG184" t="s">
        <v>47</v>
      </c>
      <c r="AH184" t="s">
        <v>87</v>
      </c>
      <c r="AI184" s="2">
        <v>46160.614004629628</v>
      </c>
      <c r="AJ184" t="s">
        <v>47</v>
      </c>
      <c r="AK184" t="s">
        <v>47</v>
      </c>
      <c r="AL184" s="2">
        <v>46160.614004629628</v>
      </c>
      <c r="AM184" s="2">
        <v>46160.614004629628</v>
      </c>
    </row>
    <row r="185" spans="1:39" x14ac:dyDescent="0.3">
      <c r="A185" t="s">
        <v>1269</v>
      </c>
      <c r="B185" t="s">
        <v>1270</v>
      </c>
      <c r="C185" t="s">
        <v>41</v>
      </c>
      <c r="D185" t="s">
        <v>1271</v>
      </c>
      <c r="E185" t="s">
        <v>1272</v>
      </c>
      <c r="F185" t="s">
        <v>127</v>
      </c>
      <c r="G185" t="s">
        <v>128</v>
      </c>
      <c r="H185" t="s">
        <v>129</v>
      </c>
      <c r="I185" t="s">
        <v>47</v>
      </c>
      <c r="J185" t="s">
        <v>47</v>
      </c>
      <c r="K185" t="s">
        <v>130</v>
      </c>
      <c r="L185" t="s">
        <v>47</v>
      </c>
      <c r="M185" t="s">
        <v>47</v>
      </c>
      <c r="N185" s="1">
        <v>46042</v>
      </c>
      <c r="O185" s="1">
        <v>46042</v>
      </c>
      <c r="P185" t="s">
        <v>49</v>
      </c>
      <c r="Q185" t="s">
        <v>50</v>
      </c>
      <c r="R185">
        <v>3</v>
      </c>
      <c r="S185" t="b">
        <v>1</v>
      </c>
      <c r="T185" t="s">
        <v>47</v>
      </c>
      <c r="U185" t="s">
        <v>47</v>
      </c>
      <c r="V185" t="s">
        <v>47</v>
      </c>
      <c r="W185" t="s">
        <v>47</v>
      </c>
      <c r="X185" t="s">
        <v>51</v>
      </c>
      <c r="Y185" t="b">
        <v>0</v>
      </c>
      <c r="Z185" t="s">
        <v>47</v>
      </c>
      <c r="AA185" t="s">
        <v>47</v>
      </c>
      <c r="AB185">
        <v>0.6</v>
      </c>
      <c r="AC185" t="b">
        <v>1</v>
      </c>
      <c r="AD185" t="s">
        <v>52</v>
      </c>
      <c r="AE185" t="s">
        <v>1273</v>
      </c>
      <c r="AF185" t="s">
        <v>1271</v>
      </c>
      <c r="AG185" t="s">
        <v>1274</v>
      </c>
      <c r="AH185" t="s">
        <v>55</v>
      </c>
      <c r="AI185" s="2">
        <v>46160.173611111109</v>
      </c>
      <c r="AJ185" t="s">
        <v>47</v>
      </c>
      <c r="AK185" t="s">
        <v>47</v>
      </c>
      <c r="AL185" s="2">
        <v>46160.402777777781</v>
      </c>
      <c r="AM185" s="2">
        <v>46160.402777777781</v>
      </c>
    </row>
    <row r="186" spans="1:39" x14ac:dyDescent="0.3">
      <c r="A186" t="s">
        <v>1275</v>
      </c>
      <c r="B186" t="s">
        <v>1276</v>
      </c>
      <c r="C186" t="s">
        <v>41</v>
      </c>
      <c r="D186" t="s">
        <v>1277</v>
      </c>
      <c r="E186" t="s">
        <v>1278</v>
      </c>
      <c r="F186" t="s">
        <v>107</v>
      </c>
      <c r="G186" t="s">
        <v>108</v>
      </c>
      <c r="H186" t="s">
        <v>1279</v>
      </c>
      <c r="I186" t="s">
        <v>47</v>
      </c>
      <c r="J186" t="s">
        <v>47</v>
      </c>
      <c r="K186" t="s">
        <v>48</v>
      </c>
      <c r="L186" t="s">
        <v>47</v>
      </c>
      <c r="M186" t="s">
        <v>47</v>
      </c>
      <c r="N186" s="1">
        <v>46043</v>
      </c>
      <c r="O186" s="1">
        <v>46043</v>
      </c>
      <c r="P186" t="s">
        <v>49</v>
      </c>
      <c r="Q186" t="s">
        <v>50</v>
      </c>
      <c r="R186">
        <v>2</v>
      </c>
      <c r="S186" t="b">
        <v>0</v>
      </c>
      <c r="T186" t="s">
        <v>47</v>
      </c>
      <c r="U186" t="s">
        <v>47</v>
      </c>
      <c r="V186" t="s">
        <v>47</v>
      </c>
      <c r="W186" t="s">
        <v>47</v>
      </c>
      <c r="X186" t="s">
        <v>51</v>
      </c>
      <c r="Y186" t="b">
        <v>0</v>
      </c>
      <c r="Z186" t="s">
        <v>47</v>
      </c>
      <c r="AA186" t="s">
        <v>47</v>
      </c>
      <c r="AC186" t="b">
        <v>1</v>
      </c>
      <c r="AD186" t="s">
        <v>52</v>
      </c>
      <c r="AE186" t="s">
        <v>1280</v>
      </c>
      <c r="AF186" t="s">
        <v>1277</v>
      </c>
      <c r="AG186" t="s">
        <v>1281</v>
      </c>
      <c r="AH186" t="s">
        <v>55</v>
      </c>
      <c r="AI186" s="2">
        <v>46160.270833333336</v>
      </c>
      <c r="AJ186" t="s">
        <v>47</v>
      </c>
      <c r="AK186" t="s">
        <v>47</v>
      </c>
      <c r="AL186" s="2">
        <v>46160.5</v>
      </c>
      <c r="AM186" s="2">
        <v>46160.5</v>
      </c>
    </row>
    <row r="187" spans="1:39" x14ac:dyDescent="0.3">
      <c r="A187" t="s">
        <v>1282</v>
      </c>
      <c r="B187" t="s">
        <v>1283</v>
      </c>
      <c r="C187" t="s">
        <v>41</v>
      </c>
      <c r="D187" t="s">
        <v>1284</v>
      </c>
      <c r="E187" t="s">
        <v>1285</v>
      </c>
      <c r="F187" t="s">
        <v>1286</v>
      </c>
      <c r="G187" t="s">
        <v>1287</v>
      </c>
      <c r="H187" t="s">
        <v>1288</v>
      </c>
      <c r="I187" t="s">
        <v>47</v>
      </c>
      <c r="J187" t="s">
        <v>47</v>
      </c>
      <c r="K187" t="s">
        <v>1289</v>
      </c>
      <c r="L187" t="s">
        <v>47</v>
      </c>
      <c r="M187" s="1">
        <v>46043</v>
      </c>
      <c r="N187" s="1">
        <v>46043</v>
      </c>
      <c r="O187" s="1">
        <v>46043</v>
      </c>
      <c r="P187" t="s">
        <v>370</v>
      </c>
      <c r="Q187" t="s">
        <v>371</v>
      </c>
      <c r="R187">
        <v>4</v>
      </c>
      <c r="S187" t="b">
        <v>1</v>
      </c>
      <c r="T187" t="s">
        <v>47</v>
      </c>
      <c r="U187" t="s">
        <v>47</v>
      </c>
      <c r="V187" t="s">
        <v>47</v>
      </c>
      <c r="W187" t="s">
        <v>47</v>
      </c>
      <c r="X187" t="s">
        <v>51</v>
      </c>
      <c r="Y187" t="b">
        <v>0</v>
      </c>
      <c r="Z187" t="s">
        <v>47</v>
      </c>
      <c r="AA187" t="s">
        <v>47</v>
      </c>
      <c r="AB187" t="s">
        <v>47</v>
      </c>
      <c r="AC187" t="b">
        <v>1</v>
      </c>
      <c r="AD187" t="s">
        <v>52</v>
      </c>
      <c r="AE187" t="s">
        <v>1290</v>
      </c>
      <c r="AF187" t="s">
        <v>1284</v>
      </c>
      <c r="AG187" t="s">
        <v>47</v>
      </c>
      <c r="AH187" t="s">
        <v>87</v>
      </c>
      <c r="AI187" s="2">
        <v>46160.598310185182</v>
      </c>
      <c r="AJ187" t="s">
        <v>47</v>
      </c>
      <c r="AK187" t="s">
        <v>47</v>
      </c>
      <c r="AL187" s="2">
        <v>46160.598310185182</v>
      </c>
      <c r="AM187" s="2">
        <v>46160.598310185182</v>
      </c>
    </row>
    <row r="188" spans="1:39" x14ac:dyDescent="0.3">
      <c r="A188" t="s">
        <v>1291</v>
      </c>
      <c r="B188" t="s">
        <v>1292</v>
      </c>
      <c r="C188" t="s">
        <v>41</v>
      </c>
      <c r="D188" t="s">
        <v>1293</v>
      </c>
      <c r="E188" t="s">
        <v>1294</v>
      </c>
      <c r="F188" t="s">
        <v>107</v>
      </c>
      <c r="G188" t="s">
        <v>108</v>
      </c>
      <c r="H188" t="s">
        <v>1295</v>
      </c>
      <c r="I188" t="s">
        <v>47</v>
      </c>
      <c r="J188" t="s">
        <v>47</v>
      </c>
      <c r="K188" t="s">
        <v>48</v>
      </c>
      <c r="L188" t="s">
        <v>47</v>
      </c>
      <c r="M188" t="s">
        <v>47</v>
      </c>
      <c r="N188" s="1">
        <v>46043</v>
      </c>
      <c r="O188" s="1">
        <v>46043</v>
      </c>
      <c r="P188" t="s">
        <v>49</v>
      </c>
      <c r="Q188" t="s">
        <v>50</v>
      </c>
      <c r="R188">
        <v>2</v>
      </c>
      <c r="S188" t="b">
        <v>0</v>
      </c>
      <c r="T188" t="s">
        <v>47</v>
      </c>
      <c r="U188" t="s">
        <v>47</v>
      </c>
      <c r="V188" t="s">
        <v>47</v>
      </c>
      <c r="W188" t="s">
        <v>47</v>
      </c>
      <c r="X188" t="s">
        <v>51</v>
      </c>
      <c r="Y188" t="b">
        <v>0</v>
      </c>
      <c r="Z188" t="s">
        <v>47</v>
      </c>
      <c r="AA188" t="s">
        <v>47</v>
      </c>
      <c r="AC188" t="b">
        <v>1</v>
      </c>
      <c r="AD188" t="s">
        <v>52</v>
      </c>
      <c r="AE188" t="s">
        <v>1296</v>
      </c>
      <c r="AF188" t="s">
        <v>1293</v>
      </c>
      <c r="AG188" t="s">
        <v>1297</v>
      </c>
      <c r="AH188" t="s">
        <v>55</v>
      </c>
      <c r="AI188" s="2">
        <v>46160.270833333336</v>
      </c>
      <c r="AJ188" t="s">
        <v>47</v>
      </c>
      <c r="AK188" t="s">
        <v>47</v>
      </c>
      <c r="AL188" s="2">
        <v>46160.5</v>
      </c>
      <c r="AM188" s="2">
        <v>46160.5</v>
      </c>
    </row>
    <row r="189" spans="1:39" x14ac:dyDescent="0.3">
      <c r="A189" t="s">
        <v>1298</v>
      </c>
      <c r="B189" t="s">
        <v>1299</v>
      </c>
      <c r="C189" t="s">
        <v>41</v>
      </c>
      <c r="D189" t="s">
        <v>1300</v>
      </c>
      <c r="E189" t="s">
        <v>1301</v>
      </c>
      <c r="F189" t="s">
        <v>83</v>
      </c>
      <c r="G189" t="s">
        <v>84</v>
      </c>
      <c r="H189" t="s">
        <v>85</v>
      </c>
      <c r="I189" t="s">
        <v>47</v>
      </c>
      <c r="J189" t="s">
        <v>47</v>
      </c>
      <c r="K189" t="s">
        <v>48</v>
      </c>
      <c r="L189" t="s">
        <v>47</v>
      </c>
      <c r="M189" s="1">
        <v>46043</v>
      </c>
      <c r="N189" s="1">
        <v>46043</v>
      </c>
      <c r="O189" s="1">
        <v>46043</v>
      </c>
      <c r="P189" t="s">
        <v>49</v>
      </c>
      <c r="Q189" t="s">
        <v>50</v>
      </c>
      <c r="R189">
        <v>2</v>
      </c>
      <c r="S189" t="b">
        <v>0</v>
      </c>
      <c r="T189" t="s">
        <v>47</v>
      </c>
      <c r="U189" t="s">
        <v>47</v>
      </c>
      <c r="V189" t="s">
        <v>47</v>
      </c>
      <c r="W189" t="s">
        <v>47</v>
      </c>
      <c r="X189" t="s">
        <v>51</v>
      </c>
      <c r="Y189" t="b">
        <v>0</v>
      </c>
      <c r="Z189" t="s">
        <v>47</v>
      </c>
      <c r="AA189" t="s">
        <v>47</v>
      </c>
      <c r="AB189" t="s">
        <v>47</v>
      </c>
      <c r="AC189" t="b">
        <v>1</v>
      </c>
      <c r="AD189" t="s">
        <v>52</v>
      </c>
      <c r="AE189" t="s">
        <v>1302</v>
      </c>
      <c r="AF189" t="s">
        <v>1300</v>
      </c>
      <c r="AG189" t="s">
        <v>47</v>
      </c>
      <c r="AH189" t="s">
        <v>87</v>
      </c>
      <c r="AI189" s="2">
        <v>46160.598310185182</v>
      </c>
      <c r="AJ189" t="s">
        <v>47</v>
      </c>
      <c r="AK189" t="s">
        <v>47</v>
      </c>
      <c r="AL189" s="2">
        <v>46160.598310185182</v>
      </c>
      <c r="AM189" s="2">
        <v>46160.598310185182</v>
      </c>
    </row>
    <row r="190" spans="1:39" x14ac:dyDescent="0.3">
      <c r="A190" t="s">
        <v>1303</v>
      </c>
      <c r="B190" t="s">
        <v>1304</v>
      </c>
      <c r="C190" t="s">
        <v>41</v>
      </c>
      <c r="D190" t="s">
        <v>1305</v>
      </c>
      <c r="E190" t="s">
        <v>1306</v>
      </c>
      <c r="F190" t="s">
        <v>83</v>
      </c>
      <c r="G190" t="s">
        <v>84</v>
      </c>
      <c r="H190" t="s">
        <v>85</v>
      </c>
      <c r="I190" t="s">
        <v>47</v>
      </c>
      <c r="J190" t="s">
        <v>47</v>
      </c>
      <c r="K190" t="s">
        <v>48</v>
      </c>
      <c r="L190" t="s">
        <v>47</v>
      </c>
      <c r="M190" s="1">
        <v>46043</v>
      </c>
      <c r="N190" s="1">
        <v>46043</v>
      </c>
      <c r="O190" s="1">
        <v>46043</v>
      </c>
      <c r="P190" t="s">
        <v>49</v>
      </c>
      <c r="Q190" t="s">
        <v>50</v>
      </c>
      <c r="R190">
        <v>2</v>
      </c>
      <c r="S190" t="b">
        <v>0</v>
      </c>
      <c r="T190" t="s">
        <v>47</v>
      </c>
      <c r="U190" t="s">
        <v>47</v>
      </c>
      <c r="V190" t="s">
        <v>47</v>
      </c>
      <c r="W190" t="s">
        <v>47</v>
      </c>
      <c r="X190" t="s">
        <v>51</v>
      </c>
      <c r="Y190" t="b">
        <v>0</v>
      </c>
      <c r="Z190" t="s">
        <v>47</v>
      </c>
      <c r="AA190" t="s">
        <v>47</v>
      </c>
      <c r="AB190" t="s">
        <v>47</v>
      </c>
      <c r="AC190" t="b">
        <v>1</v>
      </c>
      <c r="AD190" t="s">
        <v>52</v>
      </c>
      <c r="AE190" t="s">
        <v>1307</v>
      </c>
      <c r="AF190" t="s">
        <v>1305</v>
      </c>
      <c r="AG190" t="s">
        <v>47</v>
      </c>
      <c r="AH190" t="s">
        <v>87</v>
      </c>
      <c r="AI190" s="2">
        <v>46160.565381944441</v>
      </c>
      <c r="AJ190" t="s">
        <v>47</v>
      </c>
      <c r="AK190" t="s">
        <v>47</v>
      </c>
      <c r="AL190" s="2">
        <v>46160.565381944441</v>
      </c>
      <c r="AM190" s="2">
        <v>46160.565381944441</v>
      </c>
    </row>
    <row r="191" spans="1:39" x14ac:dyDescent="0.3">
      <c r="A191" t="s">
        <v>1308</v>
      </c>
      <c r="B191" t="s">
        <v>1309</v>
      </c>
      <c r="C191" t="s">
        <v>41</v>
      </c>
      <c r="D191" t="s">
        <v>1310</v>
      </c>
      <c r="E191" t="s">
        <v>1311</v>
      </c>
      <c r="F191" t="s">
        <v>83</v>
      </c>
      <c r="G191" t="s">
        <v>84</v>
      </c>
      <c r="H191" t="s">
        <v>85</v>
      </c>
      <c r="I191" t="s">
        <v>47</v>
      </c>
      <c r="J191" t="s">
        <v>47</v>
      </c>
      <c r="K191" t="s">
        <v>48</v>
      </c>
      <c r="L191" t="s">
        <v>47</v>
      </c>
      <c r="M191" s="1">
        <v>46043</v>
      </c>
      <c r="N191" s="1">
        <v>46043</v>
      </c>
      <c r="O191" s="1">
        <v>46043</v>
      </c>
      <c r="P191" t="s">
        <v>49</v>
      </c>
      <c r="Q191" t="s">
        <v>50</v>
      </c>
      <c r="R191">
        <v>2</v>
      </c>
      <c r="S191" t="b">
        <v>0</v>
      </c>
      <c r="T191" t="s">
        <v>47</v>
      </c>
      <c r="U191" t="s">
        <v>47</v>
      </c>
      <c r="V191" t="s">
        <v>47</v>
      </c>
      <c r="W191" t="s">
        <v>47</v>
      </c>
      <c r="X191" t="s">
        <v>51</v>
      </c>
      <c r="Y191" t="b">
        <v>0</v>
      </c>
      <c r="Z191" t="s">
        <v>47</v>
      </c>
      <c r="AA191" t="s">
        <v>47</v>
      </c>
      <c r="AB191" t="s">
        <v>47</v>
      </c>
      <c r="AC191" t="b">
        <v>1</v>
      </c>
      <c r="AD191" t="s">
        <v>52</v>
      </c>
      <c r="AE191" t="s">
        <v>1312</v>
      </c>
      <c r="AF191" t="s">
        <v>1310</v>
      </c>
      <c r="AG191" t="s">
        <v>47</v>
      </c>
      <c r="AH191" t="s">
        <v>87</v>
      </c>
      <c r="AI191" s="2">
        <v>46160.581724537034</v>
      </c>
      <c r="AJ191" t="s">
        <v>47</v>
      </c>
      <c r="AK191" t="s">
        <v>47</v>
      </c>
      <c r="AL191" s="2">
        <v>46160.581724537034</v>
      </c>
      <c r="AM191" s="2">
        <v>46160.581724537034</v>
      </c>
    </row>
    <row r="192" spans="1:39" x14ac:dyDescent="0.3">
      <c r="A192" t="s">
        <v>1313</v>
      </c>
      <c r="B192" t="s">
        <v>1314</v>
      </c>
      <c r="C192" t="s">
        <v>41</v>
      </c>
      <c r="D192" t="s">
        <v>1315</v>
      </c>
      <c r="E192" t="s">
        <v>1316</v>
      </c>
      <c r="F192" t="s">
        <v>107</v>
      </c>
      <c r="G192" t="s">
        <v>108</v>
      </c>
      <c r="H192" t="s">
        <v>1317</v>
      </c>
      <c r="I192" t="s">
        <v>47</v>
      </c>
      <c r="J192" t="s">
        <v>47</v>
      </c>
      <c r="K192" t="s">
        <v>48</v>
      </c>
      <c r="L192" t="s">
        <v>47</v>
      </c>
      <c r="M192" t="s">
        <v>47</v>
      </c>
      <c r="N192" s="1">
        <v>46043</v>
      </c>
      <c r="O192" s="1">
        <v>46043</v>
      </c>
      <c r="P192" t="s">
        <v>49</v>
      </c>
      <c r="Q192" t="s">
        <v>50</v>
      </c>
      <c r="R192">
        <v>2</v>
      </c>
      <c r="S192" t="b">
        <v>0</v>
      </c>
      <c r="T192" t="s">
        <v>47</v>
      </c>
      <c r="U192" t="s">
        <v>47</v>
      </c>
      <c r="V192" t="s">
        <v>47</v>
      </c>
      <c r="W192" t="s">
        <v>47</v>
      </c>
      <c r="X192" t="s">
        <v>51</v>
      </c>
      <c r="Y192" t="b">
        <v>0</v>
      </c>
      <c r="Z192" t="s">
        <v>47</v>
      </c>
      <c r="AA192" t="s">
        <v>47</v>
      </c>
      <c r="AC192" t="b">
        <v>1</v>
      </c>
      <c r="AD192" t="s">
        <v>52</v>
      </c>
      <c r="AE192" t="s">
        <v>1318</v>
      </c>
      <c r="AF192" t="s">
        <v>1315</v>
      </c>
      <c r="AG192" t="s">
        <v>1319</v>
      </c>
      <c r="AH192" t="s">
        <v>55</v>
      </c>
      <c r="AI192" s="2">
        <v>46160.270833333336</v>
      </c>
      <c r="AJ192" t="s">
        <v>47</v>
      </c>
      <c r="AK192" t="s">
        <v>47</v>
      </c>
      <c r="AL192" s="2">
        <v>46160.5</v>
      </c>
      <c r="AM192" s="2">
        <v>46160.5</v>
      </c>
    </row>
    <row r="193" spans="1:39" x14ac:dyDescent="0.3">
      <c r="A193" t="s">
        <v>1320</v>
      </c>
      <c r="B193" t="s">
        <v>1321</v>
      </c>
      <c r="C193" t="s">
        <v>41</v>
      </c>
      <c r="D193" t="s">
        <v>1322</v>
      </c>
      <c r="E193" t="s">
        <v>1323</v>
      </c>
      <c r="F193" t="s">
        <v>83</v>
      </c>
      <c r="G193" t="s">
        <v>84</v>
      </c>
      <c r="H193" t="s">
        <v>85</v>
      </c>
      <c r="I193" t="s">
        <v>47</v>
      </c>
      <c r="J193" t="s">
        <v>47</v>
      </c>
      <c r="K193" t="s">
        <v>48</v>
      </c>
      <c r="L193" t="s">
        <v>47</v>
      </c>
      <c r="M193" s="1">
        <v>46043</v>
      </c>
      <c r="N193" s="1">
        <v>46043</v>
      </c>
      <c r="O193" s="1">
        <v>46043</v>
      </c>
      <c r="P193" t="s">
        <v>49</v>
      </c>
      <c r="Q193" t="s">
        <v>50</v>
      </c>
      <c r="R193">
        <v>2</v>
      </c>
      <c r="S193" t="b">
        <v>0</v>
      </c>
      <c r="T193" t="s">
        <v>47</v>
      </c>
      <c r="U193" t="s">
        <v>47</v>
      </c>
      <c r="V193" t="s">
        <v>47</v>
      </c>
      <c r="W193" t="s">
        <v>47</v>
      </c>
      <c r="X193" t="s">
        <v>51</v>
      </c>
      <c r="Y193" t="b">
        <v>0</v>
      </c>
      <c r="Z193" t="s">
        <v>47</v>
      </c>
      <c r="AA193" t="s">
        <v>47</v>
      </c>
      <c r="AB193" t="s">
        <v>47</v>
      </c>
      <c r="AC193" t="b">
        <v>1</v>
      </c>
      <c r="AD193" t="s">
        <v>52</v>
      </c>
      <c r="AE193" t="s">
        <v>1324</v>
      </c>
      <c r="AF193" t="s">
        <v>1322</v>
      </c>
      <c r="AG193" t="s">
        <v>47</v>
      </c>
      <c r="AH193" t="s">
        <v>87</v>
      </c>
      <c r="AI193" s="2">
        <v>46160.581724537034</v>
      </c>
      <c r="AJ193" t="s">
        <v>47</v>
      </c>
      <c r="AK193" t="s">
        <v>47</v>
      </c>
      <c r="AL193" s="2">
        <v>46160.581724537034</v>
      </c>
      <c r="AM193" s="2">
        <v>46160.581724537034</v>
      </c>
    </row>
    <row r="194" spans="1:39" x14ac:dyDescent="0.3">
      <c r="A194" t="s">
        <v>1325</v>
      </c>
      <c r="B194" t="s">
        <v>1326</v>
      </c>
      <c r="C194" t="s">
        <v>41</v>
      </c>
      <c r="D194" t="s">
        <v>1327</v>
      </c>
      <c r="E194" t="s">
        <v>1328</v>
      </c>
      <c r="F194" t="s">
        <v>1329</v>
      </c>
      <c r="G194" t="s">
        <v>1330</v>
      </c>
      <c r="H194" t="s">
        <v>1331</v>
      </c>
      <c r="I194" t="s">
        <v>47</v>
      </c>
      <c r="J194" t="s">
        <v>47</v>
      </c>
      <c r="K194" t="s">
        <v>1332</v>
      </c>
      <c r="L194" t="s">
        <v>47</v>
      </c>
      <c r="M194" t="s">
        <v>47</v>
      </c>
      <c r="N194" s="1">
        <v>46044</v>
      </c>
      <c r="O194" s="1">
        <v>46044</v>
      </c>
      <c r="P194" t="s">
        <v>315</v>
      </c>
      <c r="Q194" t="s">
        <v>50</v>
      </c>
      <c r="R194">
        <v>1</v>
      </c>
      <c r="S194" t="b">
        <v>0</v>
      </c>
      <c r="T194" t="s">
        <v>47</v>
      </c>
      <c r="U194" t="s">
        <v>47</v>
      </c>
      <c r="V194" t="s">
        <v>47</v>
      </c>
      <c r="W194" t="s">
        <v>47</v>
      </c>
      <c r="X194" t="s">
        <v>51</v>
      </c>
      <c r="Y194" t="b">
        <v>0</v>
      </c>
      <c r="Z194" t="s">
        <v>47</v>
      </c>
      <c r="AA194" t="s">
        <v>47</v>
      </c>
      <c r="AC194" t="b">
        <v>1</v>
      </c>
      <c r="AD194" t="s">
        <v>52</v>
      </c>
      <c r="AE194" t="s">
        <v>1333</v>
      </c>
      <c r="AF194" t="s">
        <v>1327</v>
      </c>
      <c r="AG194" t="s">
        <v>1334</v>
      </c>
      <c r="AH194" t="s">
        <v>55</v>
      </c>
      <c r="AI194" s="2">
        <v>46160.229166666664</v>
      </c>
      <c r="AJ194" t="s">
        <v>47</v>
      </c>
      <c r="AK194" t="s">
        <v>47</v>
      </c>
      <c r="AL194" s="2">
        <v>46160.458333333336</v>
      </c>
      <c r="AM194" s="2">
        <v>46160.458333333336</v>
      </c>
    </row>
    <row r="195" spans="1:39" x14ac:dyDescent="0.3">
      <c r="A195" t="s">
        <v>1335</v>
      </c>
      <c r="B195" t="s">
        <v>1336</v>
      </c>
      <c r="C195" t="s">
        <v>41</v>
      </c>
      <c r="D195" t="s">
        <v>1337</v>
      </c>
      <c r="E195" t="s">
        <v>1338</v>
      </c>
      <c r="F195" t="s">
        <v>83</v>
      </c>
      <c r="G195" t="s">
        <v>84</v>
      </c>
      <c r="H195" t="s">
        <v>85</v>
      </c>
      <c r="I195" t="s">
        <v>47</v>
      </c>
      <c r="J195" t="s">
        <v>47</v>
      </c>
      <c r="K195" t="s">
        <v>48</v>
      </c>
      <c r="L195" t="s">
        <v>47</v>
      </c>
      <c r="M195" s="1">
        <v>46044</v>
      </c>
      <c r="N195" s="1">
        <v>46044</v>
      </c>
      <c r="O195" s="1">
        <v>46044</v>
      </c>
      <c r="P195" t="s">
        <v>49</v>
      </c>
      <c r="Q195" t="s">
        <v>50</v>
      </c>
      <c r="R195">
        <v>2</v>
      </c>
      <c r="S195" t="b">
        <v>0</v>
      </c>
      <c r="T195" t="s">
        <v>47</v>
      </c>
      <c r="U195" t="s">
        <v>47</v>
      </c>
      <c r="V195" t="s">
        <v>47</v>
      </c>
      <c r="W195" t="s">
        <v>47</v>
      </c>
      <c r="X195" t="s">
        <v>51</v>
      </c>
      <c r="Y195" t="b">
        <v>0</v>
      </c>
      <c r="Z195" t="s">
        <v>47</v>
      </c>
      <c r="AA195" t="s">
        <v>47</v>
      </c>
      <c r="AB195" t="s">
        <v>47</v>
      </c>
      <c r="AC195" t="b">
        <v>1</v>
      </c>
      <c r="AD195" t="s">
        <v>52</v>
      </c>
      <c r="AE195" t="s">
        <v>1339</v>
      </c>
      <c r="AF195" t="s">
        <v>1337</v>
      </c>
      <c r="AG195" t="s">
        <v>47</v>
      </c>
      <c r="AH195" t="s">
        <v>87</v>
      </c>
      <c r="AI195" s="2">
        <v>46160.565381944441</v>
      </c>
      <c r="AJ195" t="s">
        <v>47</v>
      </c>
      <c r="AK195" t="s">
        <v>47</v>
      </c>
      <c r="AL195" s="2">
        <v>46160.565381944441</v>
      </c>
      <c r="AM195" s="2">
        <v>46160.565381944441</v>
      </c>
    </row>
    <row r="196" spans="1:39" x14ac:dyDescent="0.3">
      <c r="A196" t="s">
        <v>1340</v>
      </c>
      <c r="B196" t="s">
        <v>1341</v>
      </c>
      <c r="C196" t="s">
        <v>41</v>
      </c>
      <c r="D196" t="s">
        <v>1342</v>
      </c>
      <c r="E196" t="s">
        <v>1343</v>
      </c>
      <c r="F196" t="s">
        <v>800</v>
      </c>
      <c r="G196" t="s">
        <v>801</v>
      </c>
      <c r="H196" t="s">
        <v>1344</v>
      </c>
      <c r="I196" t="s">
        <v>47</v>
      </c>
      <c r="J196" t="s">
        <v>47</v>
      </c>
      <c r="K196" t="s">
        <v>48</v>
      </c>
      <c r="L196" t="s">
        <v>47</v>
      </c>
      <c r="M196" t="s">
        <v>47</v>
      </c>
      <c r="N196" s="1">
        <v>46044</v>
      </c>
      <c r="O196" s="1">
        <v>46044</v>
      </c>
      <c r="P196" t="s">
        <v>49</v>
      </c>
      <c r="Q196" t="s">
        <v>50</v>
      </c>
      <c r="R196">
        <v>2</v>
      </c>
      <c r="S196" t="b">
        <v>0</v>
      </c>
      <c r="T196" t="s">
        <v>47</v>
      </c>
      <c r="U196" t="s">
        <v>47</v>
      </c>
      <c r="V196" t="s">
        <v>47</v>
      </c>
      <c r="W196" t="s">
        <v>47</v>
      </c>
      <c r="X196" t="s">
        <v>51</v>
      </c>
      <c r="Y196" t="b">
        <v>0</v>
      </c>
      <c r="Z196" t="s">
        <v>47</v>
      </c>
      <c r="AA196" t="s">
        <v>47</v>
      </c>
      <c r="AC196" t="b">
        <v>1</v>
      </c>
      <c r="AD196" t="s">
        <v>52</v>
      </c>
      <c r="AE196" t="s">
        <v>1345</v>
      </c>
      <c r="AF196" t="s">
        <v>1342</v>
      </c>
      <c r="AG196" t="s">
        <v>1346</v>
      </c>
      <c r="AH196" t="s">
        <v>55</v>
      </c>
      <c r="AI196" s="2">
        <v>46160.270833333336</v>
      </c>
      <c r="AJ196" t="s">
        <v>47</v>
      </c>
      <c r="AK196" t="s">
        <v>47</v>
      </c>
      <c r="AL196" s="2">
        <v>46160.5</v>
      </c>
      <c r="AM196" s="2">
        <v>46160.5</v>
      </c>
    </row>
    <row r="197" spans="1:39" x14ac:dyDescent="0.3">
      <c r="A197" t="s">
        <v>1347</v>
      </c>
      <c r="B197" t="s">
        <v>1348</v>
      </c>
      <c r="C197" t="s">
        <v>41</v>
      </c>
      <c r="D197" t="s">
        <v>1349</v>
      </c>
      <c r="E197" t="s">
        <v>1350</v>
      </c>
      <c r="F197" t="s">
        <v>83</v>
      </c>
      <c r="G197" t="s">
        <v>84</v>
      </c>
      <c r="H197" t="s">
        <v>85</v>
      </c>
      <c r="I197" t="s">
        <v>47</v>
      </c>
      <c r="J197" t="s">
        <v>47</v>
      </c>
      <c r="K197" t="s">
        <v>48</v>
      </c>
      <c r="L197" t="s">
        <v>47</v>
      </c>
      <c r="M197" s="1">
        <v>46044</v>
      </c>
      <c r="N197" s="1">
        <v>46044</v>
      </c>
      <c r="O197" s="1">
        <v>46044</v>
      </c>
      <c r="P197" t="s">
        <v>49</v>
      </c>
      <c r="Q197" t="s">
        <v>50</v>
      </c>
      <c r="R197">
        <v>2</v>
      </c>
      <c r="S197" t="b">
        <v>0</v>
      </c>
      <c r="T197" t="s">
        <v>47</v>
      </c>
      <c r="U197" t="s">
        <v>47</v>
      </c>
      <c r="V197" t="s">
        <v>47</v>
      </c>
      <c r="W197" t="s">
        <v>47</v>
      </c>
      <c r="X197" t="s">
        <v>51</v>
      </c>
      <c r="Y197" t="b">
        <v>0</v>
      </c>
      <c r="Z197" t="s">
        <v>47</v>
      </c>
      <c r="AA197" t="s">
        <v>47</v>
      </c>
      <c r="AB197" t="s">
        <v>47</v>
      </c>
      <c r="AC197" t="b">
        <v>1</v>
      </c>
      <c r="AD197" t="s">
        <v>52</v>
      </c>
      <c r="AE197" t="s">
        <v>1351</v>
      </c>
      <c r="AF197" t="s">
        <v>1349</v>
      </c>
      <c r="AG197" t="s">
        <v>47</v>
      </c>
      <c r="AH197" t="s">
        <v>87</v>
      </c>
      <c r="AI197" s="2">
        <v>46160.565381944441</v>
      </c>
      <c r="AJ197" t="s">
        <v>47</v>
      </c>
      <c r="AK197" t="s">
        <v>47</v>
      </c>
      <c r="AL197" s="2">
        <v>46160.565381944441</v>
      </c>
      <c r="AM197" s="2">
        <v>46160.565381944441</v>
      </c>
    </row>
    <row r="198" spans="1:39" x14ac:dyDescent="0.3">
      <c r="A198" t="s">
        <v>1352</v>
      </c>
      <c r="B198" t="s">
        <v>1353</v>
      </c>
      <c r="C198" t="s">
        <v>41</v>
      </c>
      <c r="D198" t="s">
        <v>1354</v>
      </c>
      <c r="E198" t="s">
        <v>1355</v>
      </c>
      <c r="F198" t="s">
        <v>83</v>
      </c>
      <c r="G198" t="s">
        <v>84</v>
      </c>
      <c r="H198" t="s">
        <v>85</v>
      </c>
      <c r="I198" t="s">
        <v>47</v>
      </c>
      <c r="J198" t="s">
        <v>47</v>
      </c>
      <c r="K198" t="s">
        <v>48</v>
      </c>
      <c r="L198" t="s">
        <v>47</v>
      </c>
      <c r="M198" s="1">
        <v>46044</v>
      </c>
      <c r="N198" s="1">
        <v>46044</v>
      </c>
      <c r="O198" s="1">
        <v>46044</v>
      </c>
      <c r="P198" t="s">
        <v>49</v>
      </c>
      <c r="Q198" t="s">
        <v>50</v>
      </c>
      <c r="R198">
        <v>2</v>
      </c>
      <c r="S198" t="b">
        <v>0</v>
      </c>
      <c r="T198" t="s">
        <v>47</v>
      </c>
      <c r="U198" t="s">
        <v>47</v>
      </c>
      <c r="V198" t="s">
        <v>47</v>
      </c>
      <c r="W198" t="s">
        <v>47</v>
      </c>
      <c r="X198" t="s">
        <v>51</v>
      </c>
      <c r="Y198" t="b">
        <v>0</v>
      </c>
      <c r="Z198" t="s">
        <v>47</v>
      </c>
      <c r="AA198" t="s">
        <v>47</v>
      </c>
      <c r="AB198" t="s">
        <v>47</v>
      </c>
      <c r="AC198" t="b">
        <v>1</v>
      </c>
      <c r="AD198" t="s">
        <v>52</v>
      </c>
      <c r="AE198" t="s">
        <v>1356</v>
      </c>
      <c r="AF198" t="s">
        <v>1354</v>
      </c>
      <c r="AG198" t="s">
        <v>47</v>
      </c>
      <c r="AH198" t="s">
        <v>87</v>
      </c>
      <c r="AI198" s="2">
        <v>46160.565381944441</v>
      </c>
      <c r="AJ198" t="s">
        <v>47</v>
      </c>
      <c r="AK198" t="s">
        <v>47</v>
      </c>
      <c r="AL198" s="2">
        <v>46160.565381944441</v>
      </c>
      <c r="AM198" s="2">
        <v>46160.565381944441</v>
      </c>
    </row>
    <row r="199" spans="1:39" x14ac:dyDescent="0.3">
      <c r="A199" t="s">
        <v>1357</v>
      </c>
      <c r="B199" t="s">
        <v>1358</v>
      </c>
      <c r="C199" t="s">
        <v>41</v>
      </c>
      <c r="D199" t="s">
        <v>1359</v>
      </c>
      <c r="E199" t="s">
        <v>1360</v>
      </c>
      <c r="F199" t="s">
        <v>83</v>
      </c>
      <c r="G199" t="s">
        <v>84</v>
      </c>
      <c r="H199" t="s">
        <v>85</v>
      </c>
      <c r="I199" t="s">
        <v>47</v>
      </c>
      <c r="J199" t="s">
        <v>47</v>
      </c>
      <c r="K199" t="s">
        <v>48</v>
      </c>
      <c r="L199" t="s">
        <v>47</v>
      </c>
      <c r="M199" s="1">
        <v>46044</v>
      </c>
      <c r="N199" s="1">
        <v>46044</v>
      </c>
      <c r="O199" s="1">
        <v>46044</v>
      </c>
      <c r="P199" t="s">
        <v>49</v>
      </c>
      <c r="Q199" t="s">
        <v>50</v>
      </c>
      <c r="R199">
        <v>2</v>
      </c>
      <c r="S199" t="b">
        <v>0</v>
      </c>
      <c r="T199" t="s">
        <v>47</v>
      </c>
      <c r="U199" t="s">
        <v>47</v>
      </c>
      <c r="V199" t="s">
        <v>47</v>
      </c>
      <c r="W199" t="s">
        <v>47</v>
      </c>
      <c r="X199" t="s">
        <v>51</v>
      </c>
      <c r="Y199" t="b">
        <v>0</v>
      </c>
      <c r="Z199" t="s">
        <v>47</v>
      </c>
      <c r="AA199" t="s">
        <v>47</v>
      </c>
      <c r="AB199" t="s">
        <v>47</v>
      </c>
      <c r="AC199" t="b">
        <v>1</v>
      </c>
      <c r="AD199" t="s">
        <v>52</v>
      </c>
      <c r="AE199" t="s">
        <v>1361</v>
      </c>
      <c r="AF199" t="s">
        <v>1359</v>
      </c>
      <c r="AG199" t="s">
        <v>47</v>
      </c>
      <c r="AH199" t="s">
        <v>87</v>
      </c>
      <c r="AI199" s="2">
        <v>46160.565381944441</v>
      </c>
      <c r="AJ199" t="s">
        <v>47</v>
      </c>
      <c r="AK199" t="s">
        <v>47</v>
      </c>
      <c r="AL199" s="2">
        <v>46160.565381944441</v>
      </c>
      <c r="AM199" s="2">
        <v>46160.565381944441</v>
      </c>
    </row>
    <row r="200" spans="1:39" x14ac:dyDescent="0.3">
      <c r="A200" t="s">
        <v>1362</v>
      </c>
      <c r="B200" t="s">
        <v>1363</v>
      </c>
      <c r="C200" t="s">
        <v>41</v>
      </c>
      <c r="D200" t="s">
        <v>1364</v>
      </c>
      <c r="E200" t="s">
        <v>1365</v>
      </c>
      <c r="F200" t="s">
        <v>83</v>
      </c>
      <c r="G200" t="s">
        <v>84</v>
      </c>
      <c r="H200" t="s">
        <v>85</v>
      </c>
      <c r="I200" t="s">
        <v>47</v>
      </c>
      <c r="J200" t="s">
        <v>47</v>
      </c>
      <c r="K200" t="s">
        <v>48</v>
      </c>
      <c r="L200" t="s">
        <v>47</v>
      </c>
      <c r="M200" s="1">
        <v>46044</v>
      </c>
      <c r="N200" s="1">
        <v>46044</v>
      </c>
      <c r="O200" s="1">
        <v>46044</v>
      </c>
      <c r="P200" t="s">
        <v>49</v>
      </c>
      <c r="Q200" t="s">
        <v>50</v>
      </c>
      <c r="R200">
        <v>2</v>
      </c>
      <c r="S200" t="b">
        <v>0</v>
      </c>
      <c r="T200" t="s">
        <v>47</v>
      </c>
      <c r="U200" t="s">
        <v>47</v>
      </c>
      <c r="V200" t="s">
        <v>47</v>
      </c>
      <c r="W200" t="s">
        <v>47</v>
      </c>
      <c r="X200" t="s">
        <v>51</v>
      </c>
      <c r="Y200" t="b">
        <v>0</v>
      </c>
      <c r="Z200" t="s">
        <v>47</v>
      </c>
      <c r="AA200" t="s">
        <v>47</v>
      </c>
      <c r="AB200" t="s">
        <v>47</v>
      </c>
      <c r="AC200" t="b">
        <v>1</v>
      </c>
      <c r="AD200" t="s">
        <v>52</v>
      </c>
      <c r="AE200" t="s">
        <v>1366</v>
      </c>
      <c r="AF200" t="s">
        <v>1364</v>
      </c>
      <c r="AG200" t="s">
        <v>47</v>
      </c>
      <c r="AH200" t="s">
        <v>87</v>
      </c>
      <c r="AI200" s="2">
        <v>46160.565381944441</v>
      </c>
      <c r="AJ200" t="s">
        <v>47</v>
      </c>
      <c r="AK200" t="s">
        <v>47</v>
      </c>
      <c r="AL200" s="2">
        <v>46160.565381944441</v>
      </c>
      <c r="AM200" s="2">
        <v>46160.565381944441</v>
      </c>
    </row>
    <row r="201" spans="1:39" x14ac:dyDescent="0.3">
      <c r="A201" t="s">
        <v>1367</v>
      </c>
      <c r="B201" t="s">
        <v>1368</v>
      </c>
      <c r="C201" t="s">
        <v>41</v>
      </c>
      <c r="D201" t="s">
        <v>1369</v>
      </c>
      <c r="E201" t="s">
        <v>1370</v>
      </c>
      <c r="F201" t="s">
        <v>83</v>
      </c>
      <c r="G201" t="s">
        <v>84</v>
      </c>
      <c r="H201" t="s">
        <v>85</v>
      </c>
      <c r="I201" t="s">
        <v>47</v>
      </c>
      <c r="J201" t="s">
        <v>47</v>
      </c>
      <c r="K201" t="s">
        <v>48</v>
      </c>
      <c r="L201" t="s">
        <v>47</v>
      </c>
      <c r="M201" s="1">
        <v>46044</v>
      </c>
      <c r="N201" s="1">
        <v>46044</v>
      </c>
      <c r="O201" s="1">
        <v>46044</v>
      </c>
      <c r="P201" t="s">
        <v>49</v>
      </c>
      <c r="Q201" t="s">
        <v>50</v>
      </c>
      <c r="R201">
        <v>2</v>
      </c>
      <c r="S201" t="b">
        <v>0</v>
      </c>
      <c r="T201" t="s">
        <v>47</v>
      </c>
      <c r="U201" t="s">
        <v>47</v>
      </c>
      <c r="V201" t="s">
        <v>47</v>
      </c>
      <c r="W201" t="s">
        <v>47</v>
      </c>
      <c r="X201" t="s">
        <v>51</v>
      </c>
      <c r="Y201" t="b">
        <v>0</v>
      </c>
      <c r="Z201" t="s">
        <v>47</v>
      </c>
      <c r="AA201" t="s">
        <v>47</v>
      </c>
      <c r="AB201" t="s">
        <v>47</v>
      </c>
      <c r="AC201" t="b">
        <v>1</v>
      </c>
      <c r="AD201" t="s">
        <v>52</v>
      </c>
      <c r="AE201" t="s">
        <v>1371</v>
      </c>
      <c r="AF201" t="s">
        <v>1369</v>
      </c>
      <c r="AG201" t="s">
        <v>47</v>
      </c>
      <c r="AH201" t="s">
        <v>87</v>
      </c>
      <c r="AI201" s="2">
        <v>46160.581724537034</v>
      </c>
      <c r="AJ201" t="s">
        <v>47</v>
      </c>
      <c r="AK201" t="s">
        <v>47</v>
      </c>
      <c r="AL201" s="2">
        <v>46160.581724537034</v>
      </c>
      <c r="AM201" s="2">
        <v>46160.581724537034</v>
      </c>
    </row>
    <row r="202" spans="1:39" x14ac:dyDescent="0.3">
      <c r="A202" t="s">
        <v>1372</v>
      </c>
      <c r="B202" t="s">
        <v>1373</v>
      </c>
      <c r="C202" t="s">
        <v>41</v>
      </c>
      <c r="D202" t="s">
        <v>1374</v>
      </c>
      <c r="E202" t="s">
        <v>1375</v>
      </c>
      <c r="F202" t="s">
        <v>83</v>
      </c>
      <c r="G202" t="s">
        <v>84</v>
      </c>
      <c r="H202" t="s">
        <v>85</v>
      </c>
      <c r="I202" t="s">
        <v>47</v>
      </c>
      <c r="J202" t="s">
        <v>47</v>
      </c>
      <c r="K202" t="s">
        <v>48</v>
      </c>
      <c r="L202" t="s">
        <v>47</v>
      </c>
      <c r="M202" s="1">
        <v>46044</v>
      </c>
      <c r="N202" s="1">
        <v>46044</v>
      </c>
      <c r="O202" s="1">
        <v>46044</v>
      </c>
      <c r="P202" t="s">
        <v>49</v>
      </c>
      <c r="Q202" t="s">
        <v>50</v>
      </c>
      <c r="R202">
        <v>2</v>
      </c>
      <c r="S202" t="b">
        <v>0</v>
      </c>
      <c r="T202" t="s">
        <v>47</v>
      </c>
      <c r="U202" t="s">
        <v>47</v>
      </c>
      <c r="V202" t="s">
        <v>47</v>
      </c>
      <c r="W202" t="s">
        <v>47</v>
      </c>
      <c r="X202" t="s">
        <v>51</v>
      </c>
      <c r="Y202" t="b">
        <v>0</v>
      </c>
      <c r="Z202" t="s">
        <v>47</v>
      </c>
      <c r="AA202" t="s">
        <v>47</v>
      </c>
      <c r="AB202" t="s">
        <v>47</v>
      </c>
      <c r="AC202" t="b">
        <v>1</v>
      </c>
      <c r="AD202" t="s">
        <v>52</v>
      </c>
      <c r="AE202" t="s">
        <v>1376</v>
      </c>
      <c r="AF202" t="s">
        <v>1374</v>
      </c>
      <c r="AG202" t="s">
        <v>47</v>
      </c>
      <c r="AH202" t="s">
        <v>87</v>
      </c>
      <c r="AI202" s="2">
        <v>46160.598310185182</v>
      </c>
      <c r="AJ202" t="s">
        <v>47</v>
      </c>
      <c r="AK202" t="s">
        <v>47</v>
      </c>
      <c r="AL202" s="2">
        <v>46160.598310185182</v>
      </c>
      <c r="AM202" s="2">
        <v>46160.598310185182</v>
      </c>
    </row>
    <row r="203" spans="1:39" x14ac:dyDescent="0.3">
      <c r="A203" t="s">
        <v>1377</v>
      </c>
      <c r="B203" t="s">
        <v>1378</v>
      </c>
      <c r="C203" t="s">
        <v>41</v>
      </c>
      <c r="D203" t="s">
        <v>1379</v>
      </c>
      <c r="E203" t="s">
        <v>1380</v>
      </c>
      <c r="F203" t="s">
        <v>83</v>
      </c>
      <c r="G203" t="s">
        <v>84</v>
      </c>
      <c r="H203" t="s">
        <v>1190</v>
      </c>
      <c r="I203" t="s">
        <v>47</v>
      </c>
      <c r="J203" t="s">
        <v>47</v>
      </c>
      <c r="K203" t="s">
        <v>48</v>
      </c>
      <c r="L203" t="s">
        <v>47</v>
      </c>
      <c r="M203" s="1">
        <v>46044</v>
      </c>
      <c r="N203" s="1">
        <v>46044</v>
      </c>
      <c r="O203" s="1">
        <v>46044</v>
      </c>
      <c r="P203" t="s">
        <v>49</v>
      </c>
      <c r="Q203" t="s">
        <v>50</v>
      </c>
      <c r="R203">
        <v>2</v>
      </c>
      <c r="S203" t="b">
        <v>0</v>
      </c>
      <c r="T203" t="s">
        <v>47</v>
      </c>
      <c r="U203" t="s">
        <v>47</v>
      </c>
      <c r="V203" t="s">
        <v>47</v>
      </c>
      <c r="W203" t="s">
        <v>47</v>
      </c>
      <c r="X203" t="s">
        <v>51</v>
      </c>
      <c r="Y203" t="b">
        <v>0</v>
      </c>
      <c r="Z203" t="s">
        <v>47</v>
      </c>
      <c r="AA203" t="s">
        <v>47</v>
      </c>
      <c r="AB203" t="s">
        <v>47</v>
      </c>
      <c r="AC203" t="b">
        <v>1</v>
      </c>
      <c r="AD203" t="s">
        <v>52</v>
      </c>
      <c r="AE203" t="s">
        <v>1381</v>
      </c>
      <c r="AF203" t="s">
        <v>1379</v>
      </c>
      <c r="AG203" t="s">
        <v>47</v>
      </c>
      <c r="AH203" t="s">
        <v>87</v>
      </c>
      <c r="AI203" s="2">
        <v>46160.581724537034</v>
      </c>
      <c r="AJ203" t="s">
        <v>47</v>
      </c>
      <c r="AK203" t="s">
        <v>47</v>
      </c>
      <c r="AL203" s="2">
        <v>46160.581724537034</v>
      </c>
      <c r="AM203" s="2">
        <v>46160.581724537034</v>
      </c>
    </row>
    <row r="204" spans="1:39" x14ac:dyDescent="0.3">
      <c r="A204" t="s">
        <v>1382</v>
      </c>
      <c r="B204" t="s">
        <v>1383</v>
      </c>
      <c r="C204" t="s">
        <v>41</v>
      </c>
      <c r="D204" t="s">
        <v>1384</v>
      </c>
      <c r="E204" t="s">
        <v>1385</v>
      </c>
      <c r="F204" t="s">
        <v>83</v>
      </c>
      <c r="G204" t="s">
        <v>84</v>
      </c>
      <c r="H204" t="s">
        <v>85</v>
      </c>
      <c r="I204" t="s">
        <v>47</v>
      </c>
      <c r="J204" t="s">
        <v>47</v>
      </c>
      <c r="K204" t="s">
        <v>48</v>
      </c>
      <c r="L204" t="s">
        <v>47</v>
      </c>
      <c r="M204" s="1">
        <v>46044</v>
      </c>
      <c r="N204" s="1">
        <v>46044</v>
      </c>
      <c r="O204" s="1">
        <v>46044</v>
      </c>
      <c r="P204" t="s">
        <v>49</v>
      </c>
      <c r="Q204" t="s">
        <v>50</v>
      </c>
      <c r="R204">
        <v>2</v>
      </c>
      <c r="S204" t="b">
        <v>0</v>
      </c>
      <c r="T204" t="s">
        <v>47</v>
      </c>
      <c r="U204" t="s">
        <v>47</v>
      </c>
      <c r="V204" t="s">
        <v>47</v>
      </c>
      <c r="W204" t="s">
        <v>47</v>
      </c>
      <c r="X204" t="s">
        <v>51</v>
      </c>
      <c r="Y204" t="b">
        <v>0</v>
      </c>
      <c r="Z204" t="s">
        <v>47</v>
      </c>
      <c r="AA204" t="s">
        <v>47</v>
      </c>
      <c r="AB204" t="s">
        <v>47</v>
      </c>
      <c r="AC204" t="b">
        <v>1</v>
      </c>
      <c r="AD204" t="s">
        <v>52</v>
      </c>
      <c r="AE204" t="s">
        <v>1386</v>
      </c>
      <c r="AF204" t="s">
        <v>1384</v>
      </c>
      <c r="AG204" t="s">
        <v>47</v>
      </c>
      <c r="AH204" t="s">
        <v>87</v>
      </c>
      <c r="AI204" s="2">
        <v>46160.565381944441</v>
      </c>
      <c r="AJ204" t="s">
        <v>47</v>
      </c>
      <c r="AK204" t="s">
        <v>47</v>
      </c>
      <c r="AL204" s="2">
        <v>46160.565381944441</v>
      </c>
      <c r="AM204" s="2">
        <v>46160.565381944441</v>
      </c>
    </row>
    <row r="205" spans="1:39" x14ac:dyDescent="0.3">
      <c r="A205" t="s">
        <v>1387</v>
      </c>
      <c r="B205" t="s">
        <v>1388</v>
      </c>
      <c r="C205" t="s">
        <v>41</v>
      </c>
      <c r="D205" t="s">
        <v>1389</v>
      </c>
      <c r="E205" t="s">
        <v>1390</v>
      </c>
      <c r="F205" t="s">
        <v>83</v>
      </c>
      <c r="G205" t="s">
        <v>84</v>
      </c>
      <c r="H205" t="s">
        <v>85</v>
      </c>
      <c r="I205" t="s">
        <v>47</v>
      </c>
      <c r="J205" t="s">
        <v>47</v>
      </c>
      <c r="K205" t="s">
        <v>48</v>
      </c>
      <c r="L205" t="s">
        <v>47</v>
      </c>
      <c r="M205" s="1">
        <v>46044</v>
      </c>
      <c r="N205" s="1">
        <v>46044</v>
      </c>
      <c r="O205" s="1">
        <v>46044</v>
      </c>
      <c r="P205" t="s">
        <v>49</v>
      </c>
      <c r="Q205" t="s">
        <v>50</v>
      </c>
      <c r="R205">
        <v>2</v>
      </c>
      <c r="S205" t="b">
        <v>0</v>
      </c>
      <c r="T205" t="s">
        <v>47</v>
      </c>
      <c r="U205" t="s">
        <v>47</v>
      </c>
      <c r="V205" t="s">
        <v>47</v>
      </c>
      <c r="W205" t="s">
        <v>47</v>
      </c>
      <c r="X205" t="s">
        <v>51</v>
      </c>
      <c r="Y205" t="b">
        <v>0</v>
      </c>
      <c r="Z205" t="s">
        <v>47</v>
      </c>
      <c r="AA205" t="s">
        <v>47</v>
      </c>
      <c r="AB205" t="s">
        <v>47</v>
      </c>
      <c r="AC205" t="b">
        <v>1</v>
      </c>
      <c r="AD205" t="s">
        <v>52</v>
      </c>
      <c r="AE205" t="s">
        <v>1391</v>
      </c>
      <c r="AF205" t="s">
        <v>1389</v>
      </c>
      <c r="AG205" t="s">
        <v>47</v>
      </c>
      <c r="AH205" t="s">
        <v>87</v>
      </c>
      <c r="AI205" s="2">
        <v>46160.581724537034</v>
      </c>
      <c r="AJ205" t="s">
        <v>47</v>
      </c>
      <c r="AK205" t="s">
        <v>47</v>
      </c>
      <c r="AL205" s="2">
        <v>46160.581724537034</v>
      </c>
      <c r="AM205" s="2">
        <v>46160.581724537034</v>
      </c>
    </row>
    <row r="206" spans="1:39" x14ac:dyDescent="0.3">
      <c r="A206" t="s">
        <v>1392</v>
      </c>
      <c r="B206" t="s">
        <v>1393</v>
      </c>
      <c r="C206" t="s">
        <v>41</v>
      </c>
      <c r="D206" t="s">
        <v>1394</v>
      </c>
      <c r="E206" t="s">
        <v>1395</v>
      </c>
      <c r="F206" t="s">
        <v>83</v>
      </c>
      <c r="G206" t="s">
        <v>84</v>
      </c>
      <c r="H206" t="s">
        <v>85</v>
      </c>
      <c r="I206" t="s">
        <v>47</v>
      </c>
      <c r="J206" t="s">
        <v>47</v>
      </c>
      <c r="K206" t="s">
        <v>48</v>
      </c>
      <c r="L206" t="s">
        <v>47</v>
      </c>
      <c r="M206" s="1">
        <v>46044</v>
      </c>
      <c r="N206" s="1">
        <v>46044</v>
      </c>
      <c r="O206" s="1">
        <v>46044</v>
      </c>
      <c r="P206" t="s">
        <v>49</v>
      </c>
      <c r="Q206" t="s">
        <v>50</v>
      </c>
      <c r="R206">
        <v>2</v>
      </c>
      <c r="S206" t="b">
        <v>0</v>
      </c>
      <c r="T206" t="s">
        <v>47</v>
      </c>
      <c r="U206" t="s">
        <v>47</v>
      </c>
      <c r="V206" t="s">
        <v>47</v>
      </c>
      <c r="W206" t="s">
        <v>47</v>
      </c>
      <c r="X206" t="s">
        <v>51</v>
      </c>
      <c r="Y206" t="b">
        <v>0</v>
      </c>
      <c r="Z206" t="s">
        <v>47</v>
      </c>
      <c r="AA206" t="s">
        <v>47</v>
      </c>
      <c r="AB206" t="s">
        <v>47</v>
      </c>
      <c r="AC206" t="b">
        <v>1</v>
      </c>
      <c r="AD206" t="s">
        <v>52</v>
      </c>
      <c r="AE206" t="s">
        <v>1396</v>
      </c>
      <c r="AF206" t="s">
        <v>1394</v>
      </c>
      <c r="AG206" t="s">
        <v>47</v>
      </c>
      <c r="AH206" t="s">
        <v>87</v>
      </c>
      <c r="AI206" s="2">
        <v>46160.598310185182</v>
      </c>
      <c r="AJ206" t="s">
        <v>47</v>
      </c>
      <c r="AK206" t="s">
        <v>47</v>
      </c>
      <c r="AL206" s="2">
        <v>46160.598310185182</v>
      </c>
      <c r="AM206" s="2">
        <v>46160.598310185182</v>
      </c>
    </row>
    <row r="207" spans="1:39" x14ac:dyDescent="0.3">
      <c r="A207" t="s">
        <v>1397</v>
      </c>
      <c r="B207" t="s">
        <v>1398</v>
      </c>
      <c r="C207" t="s">
        <v>41</v>
      </c>
      <c r="D207" t="s">
        <v>1399</v>
      </c>
      <c r="E207" t="s">
        <v>1400</v>
      </c>
      <c r="F207" t="s">
        <v>83</v>
      </c>
      <c r="G207" t="s">
        <v>84</v>
      </c>
      <c r="H207" t="s">
        <v>85</v>
      </c>
      <c r="I207" t="s">
        <v>47</v>
      </c>
      <c r="J207" t="s">
        <v>47</v>
      </c>
      <c r="K207" t="s">
        <v>48</v>
      </c>
      <c r="L207" t="s">
        <v>47</v>
      </c>
      <c r="M207" s="1">
        <v>46044</v>
      </c>
      <c r="N207" s="1">
        <v>46044</v>
      </c>
      <c r="O207" s="1">
        <v>46044</v>
      </c>
      <c r="P207" t="s">
        <v>49</v>
      </c>
      <c r="Q207" t="s">
        <v>50</v>
      </c>
      <c r="R207">
        <v>2</v>
      </c>
      <c r="S207" t="b">
        <v>0</v>
      </c>
      <c r="T207" t="s">
        <v>47</v>
      </c>
      <c r="U207" t="s">
        <v>47</v>
      </c>
      <c r="V207" t="s">
        <v>47</v>
      </c>
      <c r="W207" t="s">
        <v>47</v>
      </c>
      <c r="X207" t="s">
        <v>51</v>
      </c>
      <c r="Y207" t="b">
        <v>0</v>
      </c>
      <c r="Z207" t="s">
        <v>47</v>
      </c>
      <c r="AA207" t="s">
        <v>47</v>
      </c>
      <c r="AB207" t="s">
        <v>47</v>
      </c>
      <c r="AC207" t="b">
        <v>1</v>
      </c>
      <c r="AD207" t="s">
        <v>52</v>
      </c>
      <c r="AE207" t="s">
        <v>1401</v>
      </c>
      <c r="AF207" t="s">
        <v>1399</v>
      </c>
      <c r="AG207" t="s">
        <v>47</v>
      </c>
      <c r="AH207" t="s">
        <v>87</v>
      </c>
      <c r="AI207" s="2">
        <v>46160.581724537034</v>
      </c>
      <c r="AJ207" t="s">
        <v>47</v>
      </c>
      <c r="AK207" t="s">
        <v>47</v>
      </c>
      <c r="AL207" s="2">
        <v>46160.581724537034</v>
      </c>
      <c r="AM207" s="2">
        <v>46160.581724537034</v>
      </c>
    </row>
    <row r="208" spans="1:39" x14ac:dyDescent="0.3">
      <c r="A208" t="s">
        <v>1402</v>
      </c>
      <c r="B208" t="s">
        <v>1403</v>
      </c>
      <c r="C208" t="s">
        <v>41</v>
      </c>
      <c r="D208" t="s">
        <v>1404</v>
      </c>
      <c r="E208" t="s">
        <v>1405</v>
      </c>
      <c r="F208" t="s">
        <v>1406</v>
      </c>
      <c r="G208" t="s">
        <v>441</v>
      </c>
      <c r="H208" t="s">
        <v>1407</v>
      </c>
      <c r="I208" t="s">
        <v>47</v>
      </c>
      <c r="J208" t="s">
        <v>47</v>
      </c>
      <c r="K208" t="s">
        <v>1408</v>
      </c>
      <c r="L208" t="s">
        <v>47</v>
      </c>
      <c r="M208" t="s">
        <v>47</v>
      </c>
      <c r="N208" s="1">
        <v>46044</v>
      </c>
      <c r="O208" s="1">
        <v>46044</v>
      </c>
      <c r="P208" t="s">
        <v>444</v>
      </c>
      <c r="Q208" t="s">
        <v>50</v>
      </c>
      <c r="R208">
        <v>2</v>
      </c>
      <c r="S208" t="b">
        <v>1</v>
      </c>
      <c r="T208" t="s">
        <v>47</v>
      </c>
      <c r="U208" t="s">
        <v>47</v>
      </c>
      <c r="V208" t="s">
        <v>47</v>
      </c>
      <c r="W208" t="s">
        <v>47</v>
      </c>
      <c r="X208" t="s">
        <v>51</v>
      </c>
      <c r="Y208" t="b">
        <v>0</v>
      </c>
      <c r="Z208" t="s">
        <v>47</v>
      </c>
      <c r="AA208" t="s">
        <v>47</v>
      </c>
      <c r="AB208">
        <v>0.7</v>
      </c>
      <c r="AC208" t="b">
        <v>1</v>
      </c>
      <c r="AD208" t="s">
        <v>52</v>
      </c>
      <c r="AE208" t="s">
        <v>1409</v>
      </c>
      <c r="AF208" t="s">
        <v>1404</v>
      </c>
      <c r="AG208" t="s">
        <v>1410</v>
      </c>
      <c r="AH208" t="s">
        <v>55</v>
      </c>
      <c r="AI208" s="2">
        <v>46160.173611111109</v>
      </c>
      <c r="AJ208" t="s">
        <v>47</v>
      </c>
      <c r="AK208" t="s">
        <v>47</v>
      </c>
      <c r="AL208" s="2">
        <v>46160.402777777781</v>
      </c>
      <c r="AM208" s="2">
        <v>46160.402777777781</v>
      </c>
    </row>
    <row r="209" spans="1:39" x14ac:dyDescent="0.3">
      <c r="A209" t="s">
        <v>1411</v>
      </c>
      <c r="B209" t="s">
        <v>1412</v>
      </c>
      <c r="C209" t="s">
        <v>41</v>
      </c>
      <c r="D209" t="s">
        <v>1413</v>
      </c>
      <c r="E209" t="s">
        <v>1414</v>
      </c>
      <c r="F209" t="s">
        <v>1415</v>
      </c>
      <c r="G209" t="s">
        <v>1416</v>
      </c>
      <c r="H209" t="s">
        <v>1417</v>
      </c>
      <c r="I209" t="s">
        <v>47</v>
      </c>
      <c r="J209" t="s">
        <v>47</v>
      </c>
      <c r="K209" t="s">
        <v>1418</v>
      </c>
      <c r="L209" t="s">
        <v>47</v>
      </c>
      <c r="M209" t="s">
        <v>47</v>
      </c>
      <c r="N209" s="1">
        <v>46044</v>
      </c>
      <c r="O209" s="1">
        <v>46044</v>
      </c>
      <c r="P209" t="s">
        <v>1139</v>
      </c>
      <c r="Q209" t="s">
        <v>50</v>
      </c>
      <c r="R209">
        <v>3</v>
      </c>
      <c r="S209" t="b">
        <v>1</v>
      </c>
      <c r="T209" t="s">
        <v>47</v>
      </c>
      <c r="U209" t="s">
        <v>47</v>
      </c>
      <c r="V209" t="s">
        <v>47</v>
      </c>
      <c r="W209" t="s">
        <v>47</v>
      </c>
      <c r="X209" t="s">
        <v>51</v>
      </c>
      <c r="Y209" t="b">
        <v>0</v>
      </c>
      <c r="Z209" t="s">
        <v>47</v>
      </c>
      <c r="AA209" t="s">
        <v>47</v>
      </c>
      <c r="AB209">
        <v>0.6</v>
      </c>
      <c r="AC209" t="b">
        <v>1</v>
      </c>
      <c r="AD209" t="s">
        <v>52</v>
      </c>
      <c r="AE209" t="s">
        <v>1419</v>
      </c>
      <c r="AF209" t="s">
        <v>1413</v>
      </c>
      <c r="AG209" t="s">
        <v>1420</v>
      </c>
      <c r="AH209" t="s">
        <v>55</v>
      </c>
      <c r="AI209" s="2">
        <v>46160.173611111109</v>
      </c>
      <c r="AJ209" t="s">
        <v>47</v>
      </c>
      <c r="AK209" t="s">
        <v>47</v>
      </c>
      <c r="AL209" s="2">
        <v>46160.402777777781</v>
      </c>
      <c r="AM209" s="2">
        <v>46160.402777777781</v>
      </c>
    </row>
    <row r="210" spans="1:39" x14ac:dyDescent="0.3">
      <c r="A210" t="s">
        <v>1421</v>
      </c>
      <c r="B210" t="s">
        <v>1422</v>
      </c>
      <c r="C210" t="s">
        <v>41</v>
      </c>
      <c r="D210" t="s">
        <v>1423</v>
      </c>
      <c r="E210" t="s">
        <v>1424</v>
      </c>
      <c r="F210" t="s">
        <v>107</v>
      </c>
      <c r="G210" t="s">
        <v>108</v>
      </c>
      <c r="H210" t="s">
        <v>109</v>
      </c>
      <c r="I210" t="s">
        <v>47</v>
      </c>
      <c r="J210" t="s">
        <v>47</v>
      </c>
      <c r="K210" t="s">
        <v>48</v>
      </c>
      <c r="L210" t="s">
        <v>47</v>
      </c>
      <c r="M210" t="s">
        <v>47</v>
      </c>
      <c r="N210" s="1">
        <v>46045</v>
      </c>
      <c r="O210" s="1">
        <v>46045</v>
      </c>
      <c r="P210" t="s">
        <v>49</v>
      </c>
      <c r="Q210" t="s">
        <v>50</v>
      </c>
      <c r="R210">
        <v>2</v>
      </c>
      <c r="S210" t="b">
        <v>0</v>
      </c>
      <c r="T210" t="s">
        <v>47</v>
      </c>
      <c r="U210" t="s">
        <v>47</v>
      </c>
      <c r="V210" t="s">
        <v>47</v>
      </c>
      <c r="W210" t="s">
        <v>47</v>
      </c>
      <c r="X210" t="s">
        <v>51</v>
      </c>
      <c r="Y210" t="b">
        <v>0</v>
      </c>
      <c r="Z210" t="s">
        <v>47</v>
      </c>
      <c r="AA210" t="s">
        <v>47</v>
      </c>
      <c r="AC210" t="b">
        <v>1</v>
      </c>
      <c r="AD210" t="s">
        <v>52</v>
      </c>
      <c r="AE210" t="s">
        <v>1425</v>
      </c>
      <c r="AF210" t="s">
        <v>1423</v>
      </c>
      <c r="AG210" t="s">
        <v>1426</v>
      </c>
      <c r="AH210" t="s">
        <v>55</v>
      </c>
      <c r="AI210" s="2">
        <v>46160.25</v>
      </c>
      <c r="AJ210" t="s">
        <v>47</v>
      </c>
      <c r="AK210" t="s">
        <v>47</v>
      </c>
      <c r="AL210" s="2">
        <v>46160.479166666664</v>
      </c>
      <c r="AM210" s="2">
        <v>46160.479166666664</v>
      </c>
    </row>
    <row r="211" spans="1:39" x14ac:dyDescent="0.3">
      <c r="A211" t="s">
        <v>1427</v>
      </c>
      <c r="B211" t="s">
        <v>1428</v>
      </c>
      <c r="C211" t="s">
        <v>41</v>
      </c>
      <c r="D211" t="s">
        <v>1429</v>
      </c>
      <c r="E211" t="s">
        <v>1430</v>
      </c>
      <c r="F211" t="s">
        <v>1431</v>
      </c>
      <c r="G211" t="s">
        <v>1432</v>
      </c>
      <c r="H211" t="s">
        <v>1433</v>
      </c>
      <c r="I211" t="s">
        <v>47</v>
      </c>
      <c r="J211" t="s">
        <v>47</v>
      </c>
      <c r="K211" t="s">
        <v>47</v>
      </c>
      <c r="L211" t="s">
        <v>47</v>
      </c>
      <c r="M211" t="s">
        <v>47</v>
      </c>
      <c r="N211" s="1">
        <v>46045</v>
      </c>
      <c r="O211" s="1">
        <v>46045</v>
      </c>
      <c r="P211" t="s">
        <v>49</v>
      </c>
      <c r="Q211" t="s">
        <v>184</v>
      </c>
      <c r="R211">
        <v>2</v>
      </c>
      <c r="S211" t="b">
        <v>0</v>
      </c>
      <c r="T211" t="s">
        <v>47</v>
      </c>
      <c r="U211" t="s">
        <v>47</v>
      </c>
      <c r="V211" t="s">
        <v>47</v>
      </c>
      <c r="W211" t="s">
        <v>47</v>
      </c>
      <c r="X211" t="s">
        <v>51</v>
      </c>
      <c r="Y211" t="b">
        <v>0</v>
      </c>
      <c r="Z211" t="s">
        <v>47</v>
      </c>
      <c r="AA211" t="s">
        <v>47</v>
      </c>
      <c r="AC211" t="b">
        <v>1</v>
      </c>
      <c r="AD211" t="s">
        <v>52</v>
      </c>
      <c r="AE211" t="s">
        <v>1434</v>
      </c>
      <c r="AF211" t="s">
        <v>1429</v>
      </c>
      <c r="AG211" t="s">
        <v>1435</v>
      </c>
      <c r="AH211" t="s">
        <v>55</v>
      </c>
      <c r="AI211" s="2">
        <v>46160.25</v>
      </c>
      <c r="AJ211" t="s">
        <v>47</v>
      </c>
      <c r="AK211" t="s">
        <v>47</v>
      </c>
      <c r="AL211" s="2">
        <v>46160.479166666664</v>
      </c>
      <c r="AM211" s="2">
        <v>46160.479166666664</v>
      </c>
    </row>
    <row r="212" spans="1:39" x14ac:dyDescent="0.3">
      <c r="A212" t="s">
        <v>1436</v>
      </c>
      <c r="B212" t="s">
        <v>1437</v>
      </c>
      <c r="C212" t="s">
        <v>41</v>
      </c>
      <c r="D212" t="s">
        <v>1438</v>
      </c>
      <c r="E212" t="s">
        <v>1439</v>
      </c>
      <c r="F212" t="s">
        <v>1440</v>
      </c>
      <c r="G212" t="s">
        <v>1441</v>
      </c>
      <c r="H212" t="s">
        <v>1442</v>
      </c>
      <c r="I212" t="s">
        <v>47</v>
      </c>
      <c r="J212" t="s">
        <v>47</v>
      </c>
      <c r="K212" t="s">
        <v>47</v>
      </c>
      <c r="L212" t="s">
        <v>47</v>
      </c>
      <c r="M212" t="s">
        <v>47</v>
      </c>
      <c r="N212" s="1">
        <v>46045</v>
      </c>
      <c r="O212" s="1">
        <v>46045</v>
      </c>
      <c r="P212" t="s">
        <v>183</v>
      </c>
      <c r="Q212" t="s">
        <v>184</v>
      </c>
      <c r="R212">
        <v>1</v>
      </c>
      <c r="S212" t="b">
        <v>0</v>
      </c>
      <c r="T212" t="s">
        <v>47</v>
      </c>
      <c r="U212" t="s">
        <v>47</v>
      </c>
      <c r="V212" t="s">
        <v>47</v>
      </c>
      <c r="W212" t="s">
        <v>47</v>
      </c>
      <c r="X212" t="s">
        <v>51</v>
      </c>
      <c r="Y212" t="b">
        <v>0</v>
      </c>
      <c r="Z212" t="s">
        <v>47</v>
      </c>
      <c r="AA212" t="s">
        <v>47</v>
      </c>
      <c r="AC212" t="b">
        <v>1</v>
      </c>
      <c r="AD212" t="s">
        <v>52</v>
      </c>
      <c r="AE212" t="s">
        <v>1443</v>
      </c>
      <c r="AF212" t="s">
        <v>1438</v>
      </c>
      <c r="AG212" t="s">
        <v>1444</v>
      </c>
      <c r="AH212" t="s">
        <v>55</v>
      </c>
      <c r="AI212" s="2">
        <v>46160.149305555555</v>
      </c>
      <c r="AJ212" t="s">
        <v>47</v>
      </c>
      <c r="AK212" t="s">
        <v>47</v>
      </c>
      <c r="AL212" s="2">
        <v>46160.171903877315</v>
      </c>
      <c r="AM212" s="2">
        <v>46160.171903877315</v>
      </c>
    </row>
    <row r="213" spans="1:39" x14ac:dyDescent="0.3">
      <c r="A213" t="s">
        <v>1445</v>
      </c>
      <c r="B213" t="s">
        <v>1446</v>
      </c>
      <c r="C213" t="s">
        <v>41</v>
      </c>
      <c r="D213" t="s">
        <v>1447</v>
      </c>
      <c r="E213" t="s">
        <v>1448</v>
      </c>
      <c r="F213" t="s">
        <v>1449</v>
      </c>
      <c r="G213" t="s">
        <v>1450</v>
      </c>
      <c r="H213" t="s">
        <v>1451</v>
      </c>
      <c r="I213" t="s">
        <v>47</v>
      </c>
      <c r="J213" t="s">
        <v>47</v>
      </c>
      <c r="K213" t="s">
        <v>253</v>
      </c>
      <c r="L213" t="s">
        <v>47</v>
      </c>
      <c r="M213" t="s">
        <v>47</v>
      </c>
      <c r="N213" s="1">
        <v>46045</v>
      </c>
      <c r="O213" s="1">
        <v>46045</v>
      </c>
      <c r="P213" t="s">
        <v>254</v>
      </c>
      <c r="Q213" t="s">
        <v>50</v>
      </c>
      <c r="R213">
        <v>1</v>
      </c>
      <c r="S213" t="b">
        <v>0</v>
      </c>
      <c r="T213" t="s">
        <v>47</v>
      </c>
      <c r="U213" t="s">
        <v>47</v>
      </c>
      <c r="V213" t="s">
        <v>47</v>
      </c>
      <c r="W213" t="s">
        <v>47</v>
      </c>
      <c r="X213" t="s">
        <v>51</v>
      </c>
      <c r="Y213" t="b">
        <v>0</v>
      </c>
      <c r="Z213" t="s">
        <v>47</v>
      </c>
      <c r="AA213" t="s">
        <v>47</v>
      </c>
      <c r="AC213" t="b">
        <v>1</v>
      </c>
      <c r="AD213" t="s">
        <v>52</v>
      </c>
      <c r="AE213" t="s">
        <v>1452</v>
      </c>
      <c r="AF213" t="s">
        <v>1447</v>
      </c>
      <c r="AG213" t="s">
        <v>1453</v>
      </c>
      <c r="AH213" t="s">
        <v>55</v>
      </c>
      <c r="AI213" s="2">
        <v>46160.229166666664</v>
      </c>
      <c r="AJ213" t="s">
        <v>47</v>
      </c>
      <c r="AK213" t="s">
        <v>47</v>
      </c>
      <c r="AL213" s="2">
        <v>46160.458333333336</v>
      </c>
      <c r="AM213" s="2">
        <v>46160.458333333336</v>
      </c>
    </row>
    <row r="214" spans="1:39" x14ac:dyDescent="0.3">
      <c r="A214" t="s">
        <v>1454</v>
      </c>
      <c r="B214" t="s">
        <v>1455</v>
      </c>
      <c r="C214" t="s">
        <v>41</v>
      </c>
      <c r="D214" t="s">
        <v>1456</v>
      </c>
      <c r="E214" t="s">
        <v>1457</v>
      </c>
      <c r="F214" t="s">
        <v>1458</v>
      </c>
      <c r="G214" t="s">
        <v>1459</v>
      </c>
      <c r="H214" t="s">
        <v>1460</v>
      </c>
      <c r="I214" t="s">
        <v>47</v>
      </c>
      <c r="J214" t="s">
        <v>47</v>
      </c>
      <c r="K214" t="s">
        <v>314</v>
      </c>
      <c r="L214" t="s">
        <v>47</v>
      </c>
      <c r="M214" t="s">
        <v>47</v>
      </c>
      <c r="N214" s="1">
        <v>46045</v>
      </c>
      <c r="O214" s="1">
        <v>46045</v>
      </c>
      <c r="P214" t="s">
        <v>315</v>
      </c>
      <c r="Q214" t="s">
        <v>50</v>
      </c>
      <c r="R214">
        <v>1</v>
      </c>
      <c r="S214" t="b">
        <v>0</v>
      </c>
      <c r="T214" t="s">
        <v>47</v>
      </c>
      <c r="U214" t="s">
        <v>47</v>
      </c>
      <c r="V214" t="s">
        <v>47</v>
      </c>
      <c r="W214" t="s">
        <v>47</v>
      </c>
      <c r="X214" t="s">
        <v>51</v>
      </c>
      <c r="Y214" t="b">
        <v>0</v>
      </c>
      <c r="Z214" t="s">
        <v>47</v>
      </c>
      <c r="AA214" t="s">
        <v>47</v>
      </c>
      <c r="AC214" t="b">
        <v>1</v>
      </c>
      <c r="AD214" t="s">
        <v>52</v>
      </c>
      <c r="AE214" t="s">
        <v>1461</v>
      </c>
      <c r="AF214" t="s">
        <v>1456</v>
      </c>
      <c r="AG214" t="s">
        <v>1462</v>
      </c>
      <c r="AH214" t="s">
        <v>55</v>
      </c>
      <c r="AI214" s="2">
        <v>46160.173611111109</v>
      </c>
      <c r="AJ214" t="s">
        <v>47</v>
      </c>
      <c r="AK214" t="s">
        <v>47</v>
      </c>
      <c r="AL214" s="2">
        <v>46160.402777777781</v>
      </c>
      <c r="AM214" s="2">
        <v>46160.402777777781</v>
      </c>
    </row>
    <row r="215" spans="1:39" x14ac:dyDescent="0.3">
      <c r="A215" t="s">
        <v>1463</v>
      </c>
      <c r="B215" t="s">
        <v>1464</v>
      </c>
      <c r="C215" t="s">
        <v>41</v>
      </c>
      <c r="D215" t="s">
        <v>1465</v>
      </c>
      <c r="E215" t="s">
        <v>1466</v>
      </c>
      <c r="F215" t="s">
        <v>800</v>
      </c>
      <c r="G215" t="s">
        <v>801</v>
      </c>
      <c r="H215" t="s">
        <v>1467</v>
      </c>
      <c r="I215" t="s">
        <v>47</v>
      </c>
      <c r="J215" t="s">
        <v>47</v>
      </c>
      <c r="K215" t="s">
        <v>48</v>
      </c>
      <c r="L215" t="s">
        <v>47</v>
      </c>
      <c r="M215" t="s">
        <v>47</v>
      </c>
      <c r="N215" s="1">
        <v>46045</v>
      </c>
      <c r="O215" s="1">
        <v>46045</v>
      </c>
      <c r="P215" t="s">
        <v>49</v>
      </c>
      <c r="Q215" t="s">
        <v>50</v>
      </c>
      <c r="R215">
        <v>2</v>
      </c>
      <c r="S215" t="b">
        <v>0</v>
      </c>
      <c r="T215" t="s">
        <v>47</v>
      </c>
      <c r="U215" t="s">
        <v>47</v>
      </c>
      <c r="V215" t="s">
        <v>47</v>
      </c>
      <c r="W215" t="s">
        <v>47</v>
      </c>
      <c r="X215" t="s">
        <v>51</v>
      </c>
      <c r="Y215" t="b">
        <v>0</v>
      </c>
      <c r="Z215" t="s">
        <v>47</v>
      </c>
      <c r="AA215" t="s">
        <v>47</v>
      </c>
      <c r="AC215" t="b">
        <v>1</v>
      </c>
      <c r="AD215" t="s">
        <v>52</v>
      </c>
      <c r="AE215" t="s">
        <v>1468</v>
      </c>
      <c r="AF215" t="s">
        <v>1465</v>
      </c>
      <c r="AG215" t="s">
        <v>1469</v>
      </c>
      <c r="AH215" t="s">
        <v>55</v>
      </c>
      <c r="AI215" s="2">
        <v>46160.270833333336</v>
      </c>
      <c r="AJ215" t="s">
        <v>47</v>
      </c>
      <c r="AK215" t="s">
        <v>47</v>
      </c>
      <c r="AL215" s="2">
        <v>46160.5</v>
      </c>
      <c r="AM215" s="2">
        <v>46160.5</v>
      </c>
    </row>
    <row r="216" spans="1:39" x14ac:dyDescent="0.3">
      <c r="A216" t="s">
        <v>1470</v>
      </c>
      <c r="B216" t="s">
        <v>1471</v>
      </c>
      <c r="C216" t="s">
        <v>41</v>
      </c>
      <c r="D216" t="s">
        <v>1472</v>
      </c>
      <c r="E216" t="s">
        <v>1473</v>
      </c>
      <c r="F216" t="s">
        <v>83</v>
      </c>
      <c r="G216" t="s">
        <v>84</v>
      </c>
      <c r="H216" t="s">
        <v>85</v>
      </c>
      <c r="I216" t="s">
        <v>47</v>
      </c>
      <c r="J216" t="s">
        <v>47</v>
      </c>
      <c r="K216" t="s">
        <v>48</v>
      </c>
      <c r="L216" t="s">
        <v>47</v>
      </c>
      <c r="M216" s="1">
        <v>46045</v>
      </c>
      <c r="N216" s="1">
        <v>46045</v>
      </c>
      <c r="O216" s="1">
        <v>46045</v>
      </c>
      <c r="P216" t="s">
        <v>49</v>
      </c>
      <c r="Q216" t="s">
        <v>50</v>
      </c>
      <c r="R216">
        <v>2</v>
      </c>
      <c r="S216" t="b">
        <v>0</v>
      </c>
      <c r="T216" t="s">
        <v>47</v>
      </c>
      <c r="U216" t="s">
        <v>47</v>
      </c>
      <c r="V216" t="s">
        <v>47</v>
      </c>
      <c r="W216" t="s">
        <v>47</v>
      </c>
      <c r="X216" t="s">
        <v>51</v>
      </c>
      <c r="Y216" t="b">
        <v>0</v>
      </c>
      <c r="Z216" t="s">
        <v>47</v>
      </c>
      <c r="AA216" t="s">
        <v>47</v>
      </c>
      <c r="AB216" t="s">
        <v>47</v>
      </c>
      <c r="AC216" t="b">
        <v>1</v>
      </c>
      <c r="AD216" t="s">
        <v>52</v>
      </c>
      <c r="AE216" t="s">
        <v>1474</v>
      </c>
      <c r="AF216" t="s">
        <v>1472</v>
      </c>
      <c r="AG216" t="s">
        <v>47</v>
      </c>
      <c r="AH216" t="s">
        <v>87</v>
      </c>
      <c r="AI216" s="2">
        <v>46160.581724537034</v>
      </c>
      <c r="AJ216" t="s">
        <v>47</v>
      </c>
      <c r="AK216" t="s">
        <v>47</v>
      </c>
      <c r="AL216" s="2">
        <v>46160.581724537034</v>
      </c>
      <c r="AM216" s="2">
        <v>46160.581724537034</v>
      </c>
    </row>
    <row r="217" spans="1:39" x14ac:dyDescent="0.3">
      <c r="A217" t="s">
        <v>1475</v>
      </c>
      <c r="B217" t="s">
        <v>1476</v>
      </c>
      <c r="C217" t="s">
        <v>41</v>
      </c>
      <c r="D217" t="s">
        <v>1477</v>
      </c>
      <c r="E217" t="s">
        <v>1478</v>
      </c>
      <c r="F217" t="s">
        <v>83</v>
      </c>
      <c r="G217" t="s">
        <v>84</v>
      </c>
      <c r="H217" t="s">
        <v>85</v>
      </c>
      <c r="I217" t="s">
        <v>47</v>
      </c>
      <c r="J217" t="s">
        <v>47</v>
      </c>
      <c r="K217" t="s">
        <v>48</v>
      </c>
      <c r="L217" t="s">
        <v>47</v>
      </c>
      <c r="M217" s="1">
        <v>46045</v>
      </c>
      <c r="N217" s="1">
        <v>46045</v>
      </c>
      <c r="O217" s="1">
        <v>46045</v>
      </c>
      <c r="P217" t="s">
        <v>49</v>
      </c>
      <c r="Q217" t="s">
        <v>50</v>
      </c>
      <c r="R217">
        <v>2</v>
      </c>
      <c r="S217" t="b">
        <v>0</v>
      </c>
      <c r="T217" t="s">
        <v>47</v>
      </c>
      <c r="U217" t="s">
        <v>47</v>
      </c>
      <c r="V217" t="s">
        <v>47</v>
      </c>
      <c r="W217" t="s">
        <v>47</v>
      </c>
      <c r="X217" t="s">
        <v>51</v>
      </c>
      <c r="Y217" t="b">
        <v>0</v>
      </c>
      <c r="Z217" t="s">
        <v>47</v>
      </c>
      <c r="AA217" t="s">
        <v>47</v>
      </c>
      <c r="AB217" t="s">
        <v>47</v>
      </c>
      <c r="AC217" t="b">
        <v>1</v>
      </c>
      <c r="AD217" t="s">
        <v>52</v>
      </c>
      <c r="AE217" t="s">
        <v>1479</v>
      </c>
      <c r="AF217" t="s">
        <v>1477</v>
      </c>
      <c r="AG217" t="s">
        <v>47</v>
      </c>
      <c r="AH217" t="s">
        <v>87</v>
      </c>
      <c r="AI217" s="2">
        <v>46160.565381944441</v>
      </c>
      <c r="AJ217" t="s">
        <v>47</v>
      </c>
      <c r="AK217" t="s">
        <v>47</v>
      </c>
      <c r="AL217" s="2">
        <v>46160.565381944441</v>
      </c>
      <c r="AM217" s="2">
        <v>46160.565381944441</v>
      </c>
    </row>
    <row r="218" spans="1:39" x14ac:dyDescent="0.3">
      <c r="A218" t="s">
        <v>1480</v>
      </c>
      <c r="B218" t="s">
        <v>1481</v>
      </c>
      <c r="C218" t="s">
        <v>41</v>
      </c>
      <c r="D218" t="s">
        <v>1482</v>
      </c>
      <c r="E218" t="s">
        <v>1483</v>
      </c>
      <c r="F218" t="s">
        <v>83</v>
      </c>
      <c r="G218" t="s">
        <v>84</v>
      </c>
      <c r="H218" t="s">
        <v>85</v>
      </c>
      <c r="I218" t="s">
        <v>47</v>
      </c>
      <c r="J218" t="s">
        <v>47</v>
      </c>
      <c r="K218" t="s">
        <v>48</v>
      </c>
      <c r="L218" t="s">
        <v>47</v>
      </c>
      <c r="M218" s="1">
        <v>46045</v>
      </c>
      <c r="N218" s="1">
        <v>46045</v>
      </c>
      <c r="O218" s="1">
        <v>46045</v>
      </c>
      <c r="P218" t="s">
        <v>49</v>
      </c>
      <c r="Q218" t="s">
        <v>50</v>
      </c>
      <c r="R218">
        <v>2</v>
      </c>
      <c r="S218" t="b">
        <v>0</v>
      </c>
      <c r="T218" t="s">
        <v>47</v>
      </c>
      <c r="U218" t="s">
        <v>47</v>
      </c>
      <c r="V218" t="s">
        <v>47</v>
      </c>
      <c r="W218" t="s">
        <v>47</v>
      </c>
      <c r="X218" t="s">
        <v>51</v>
      </c>
      <c r="Y218" t="b">
        <v>0</v>
      </c>
      <c r="Z218" t="s">
        <v>47</v>
      </c>
      <c r="AA218" t="s">
        <v>47</v>
      </c>
      <c r="AB218" t="s">
        <v>47</v>
      </c>
      <c r="AC218" t="b">
        <v>1</v>
      </c>
      <c r="AD218" t="s">
        <v>52</v>
      </c>
      <c r="AE218" t="s">
        <v>1484</v>
      </c>
      <c r="AF218" t="s">
        <v>1482</v>
      </c>
      <c r="AG218" t="s">
        <v>47</v>
      </c>
      <c r="AH218" t="s">
        <v>87</v>
      </c>
      <c r="AI218" s="2">
        <v>46160.581724537034</v>
      </c>
      <c r="AJ218" t="s">
        <v>47</v>
      </c>
      <c r="AK218" t="s">
        <v>47</v>
      </c>
      <c r="AL218" s="2">
        <v>46160.581724537034</v>
      </c>
      <c r="AM218" s="2">
        <v>46160.581724537034</v>
      </c>
    </row>
    <row r="219" spans="1:39" x14ac:dyDescent="0.3">
      <c r="A219" t="s">
        <v>1485</v>
      </c>
      <c r="B219" t="s">
        <v>1486</v>
      </c>
      <c r="C219" t="s">
        <v>41</v>
      </c>
      <c r="D219" t="s">
        <v>1487</v>
      </c>
      <c r="E219" t="s">
        <v>1488</v>
      </c>
      <c r="F219" t="s">
        <v>800</v>
      </c>
      <c r="G219" t="s">
        <v>801</v>
      </c>
      <c r="H219" t="s">
        <v>1489</v>
      </c>
      <c r="I219" t="s">
        <v>47</v>
      </c>
      <c r="J219" t="s">
        <v>47</v>
      </c>
      <c r="K219" t="s">
        <v>48</v>
      </c>
      <c r="L219" t="s">
        <v>47</v>
      </c>
      <c r="M219" t="s">
        <v>47</v>
      </c>
      <c r="N219" s="1">
        <v>46045</v>
      </c>
      <c r="O219" s="1">
        <v>46045</v>
      </c>
      <c r="P219" t="s">
        <v>49</v>
      </c>
      <c r="Q219" t="s">
        <v>50</v>
      </c>
      <c r="R219">
        <v>2</v>
      </c>
      <c r="S219" t="b">
        <v>0</v>
      </c>
      <c r="T219" t="s">
        <v>47</v>
      </c>
      <c r="U219" t="s">
        <v>47</v>
      </c>
      <c r="V219" t="s">
        <v>47</v>
      </c>
      <c r="W219" t="s">
        <v>47</v>
      </c>
      <c r="X219" t="s">
        <v>51</v>
      </c>
      <c r="Y219" t="b">
        <v>0</v>
      </c>
      <c r="Z219" t="s">
        <v>47</v>
      </c>
      <c r="AA219" t="s">
        <v>47</v>
      </c>
      <c r="AC219" t="b">
        <v>1</v>
      </c>
      <c r="AD219" t="s">
        <v>52</v>
      </c>
      <c r="AE219" t="s">
        <v>1490</v>
      </c>
      <c r="AF219" t="s">
        <v>1487</v>
      </c>
      <c r="AG219" t="s">
        <v>1491</v>
      </c>
      <c r="AH219" t="s">
        <v>55</v>
      </c>
      <c r="AI219" s="2">
        <v>46160.270833333336</v>
      </c>
      <c r="AJ219" t="s">
        <v>47</v>
      </c>
      <c r="AK219" t="s">
        <v>47</v>
      </c>
      <c r="AL219" s="2">
        <v>46160.5</v>
      </c>
      <c r="AM219" s="2">
        <v>46160.5</v>
      </c>
    </row>
    <row r="220" spans="1:39" x14ac:dyDescent="0.3">
      <c r="A220" t="s">
        <v>1492</v>
      </c>
      <c r="B220" t="s">
        <v>1493</v>
      </c>
      <c r="C220" t="s">
        <v>41</v>
      </c>
      <c r="D220" t="s">
        <v>1494</v>
      </c>
      <c r="E220" t="s">
        <v>1495</v>
      </c>
      <c r="F220" t="s">
        <v>83</v>
      </c>
      <c r="G220" t="s">
        <v>84</v>
      </c>
      <c r="H220" t="s">
        <v>85</v>
      </c>
      <c r="I220" t="s">
        <v>47</v>
      </c>
      <c r="J220" t="s">
        <v>47</v>
      </c>
      <c r="K220" t="s">
        <v>48</v>
      </c>
      <c r="L220" t="s">
        <v>47</v>
      </c>
      <c r="M220" s="1">
        <v>46045</v>
      </c>
      <c r="N220" s="1">
        <v>46045</v>
      </c>
      <c r="O220" s="1">
        <v>46045</v>
      </c>
      <c r="P220" t="s">
        <v>49</v>
      </c>
      <c r="Q220" t="s">
        <v>50</v>
      </c>
      <c r="R220">
        <v>2</v>
      </c>
      <c r="S220" t="b">
        <v>0</v>
      </c>
      <c r="T220" t="s">
        <v>47</v>
      </c>
      <c r="U220" t="s">
        <v>47</v>
      </c>
      <c r="V220" t="s">
        <v>47</v>
      </c>
      <c r="W220" t="s">
        <v>47</v>
      </c>
      <c r="X220" t="s">
        <v>51</v>
      </c>
      <c r="Y220" t="b">
        <v>0</v>
      </c>
      <c r="Z220" t="s">
        <v>47</v>
      </c>
      <c r="AA220" t="s">
        <v>47</v>
      </c>
      <c r="AB220" t="s">
        <v>47</v>
      </c>
      <c r="AC220" t="b">
        <v>1</v>
      </c>
      <c r="AD220" t="s">
        <v>52</v>
      </c>
      <c r="AE220" t="s">
        <v>1496</v>
      </c>
      <c r="AF220" t="s">
        <v>1494</v>
      </c>
      <c r="AG220" t="s">
        <v>47</v>
      </c>
      <c r="AH220" t="s">
        <v>87</v>
      </c>
      <c r="AI220" s="2">
        <v>46160.565381944441</v>
      </c>
      <c r="AJ220" t="s">
        <v>47</v>
      </c>
      <c r="AK220" t="s">
        <v>47</v>
      </c>
      <c r="AL220" s="2">
        <v>46160.565381944441</v>
      </c>
      <c r="AM220" s="2">
        <v>46160.565381944441</v>
      </c>
    </row>
    <row r="221" spans="1:39" x14ac:dyDescent="0.3">
      <c r="A221" t="s">
        <v>1497</v>
      </c>
      <c r="B221" t="s">
        <v>1498</v>
      </c>
      <c r="C221" t="s">
        <v>41</v>
      </c>
      <c r="D221" t="s">
        <v>1499</v>
      </c>
      <c r="E221" t="s">
        <v>1500</v>
      </c>
      <c r="F221" t="s">
        <v>83</v>
      </c>
      <c r="G221" t="s">
        <v>84</v>
      </c>
      <c r="H221" t="s">
        <v>85</v>
      </c>
      <c r="I221" t="s">
        <v>47</v>
      </c>
      <c r="J221" t="s">
        <v>47</v>
      </c>
      <c r="K221" t="s">
        <v>48</v>
      </c>
      <c r="L221" t="s">
        <v>47</v>
      </c>
      <c r="M221" s="1">
        <v>46045</v>
      </c>
      <c r="N221" s="1">
        <v>46045</v>
      </c>
      <c r="O221" s="1">
        <v>46045</v>
      </c>
      <c r="P221" t="s">
        <v>49</v>
      </c>
      <c r="Q221" t="s">
        <v>50</v>
      </c>
      <c r="R221">
        <v>2</v>
      </c>
      <c r="S221" t="b">
        <v>0</v>
      </c>
      <c r="T221" t="s">
        <v>47</v>
      </c>
      <c r="U221" t="s">
        <v>47</v>
      </c>
      <c r="V221" t="s">
        <v>47</v>
      </c>
      <c r="W221" t="s">
        <v>47</v>
      </c>
      <c r="X221" t="s">
        <v>51</v>
      </c>
      <c r="Y221" t="b">
        <v>0</v>
      </c>
      <c r="Z221" t="s">
        <v>47</v>
      </c>
      <c r="AA221" t="s">
        <v>47</v>
      </c>
      <c r="AB221" t="s">
        <v>47</v>
      </c>
      <c r="AC221" t="b">
        <v>1</v>
      </c>
      <c r="AD221" t="s">
        <v>52</v>
      </c>
      <c r="AE221" t="s">
        <v>1501</v>
      </c>
      <c r="AF221" t="s">
        <v>1499</v>
      </c>
      <c r="AG221" t="s">
        <v>47</v>
      </c>
      <c r="AH221" t="s">
        <v>87</v>
      </c>
      <c r="AI221" s="2">
        <v>46160.614004629628</v>
      </c>
      <c r="AJ221" t="s">
        <v>47</v>
      </c>
      <c r="AK221" t="s">
        <v>47</v>
      </c>
      <c r="AL221" s="2">
        <v>46160.614004629628</v>
      </c>
      <c r="AM221" s="2">
        <v>46160.614004629628</v>
      </c>
    </row>
    <row r="222" spans="1:39" x14ac:dyDescent="0.3">
      <c r="A222" t="s">
        <v>1502</v>
      </c>
      <c r="B222" t="s">
        <v>1503</v>
      </c>
      <c r="C222" t="s">
        <v>41</v>
      </c>
      <c r="D222" t="s">
        <v>1504</v>
      </c>
      <c r="E222" t="s">
        <v>1505</v>
      </c>
      <c r="F222" t="s">
        <v>1506</v>
      </c>
      <c r="G222" t="s">
        <v>1507</v>
      </c>
      <c r="H222" t="s">
        <v>1508</v>
      </c>
      <c r="I222" t="s">
        <v>47</v>
      </c>
      <c r="J222" t="s">
        <v>47</v>
      </c>
      <c r="K222" t="s">
        <v>314</v>
      </c>
      <c r="L222" t="s">
        <v>47</v>
      </c>
      <c r="M222" t="s">
        <v>47</v>
      </c>
      <c r="N222" s="1">
        <v>46045</v>
      </c>
      <c r="O222" s="1">
        <v>46045</v>
      </c>
      <c r="P222" t="s">
        <v>315</v>
      </c>
      <c r="Q222" t="s">
        <v>50</v>
      </c>
      <c r="R222">
        <v>1</v>
      </c>
      <c r="S222" t="b">
        <v>0</v>
      </c>
      <c r="T222" t="s">
        <v>47</v>
      </c>
      <c r="U222" t="s">
        <v>47</v>
      </c>
      <c r="V222" t="s">
        <v>47</v>
      </c>
      <c r="W222" t="s">
        <v>47</v>
      </c>
      <c r="X222" t="s">
        <v>51</v>
      </c>
      <c r="Y222" t="b">
        <v>0</v>
      </c>
      <c r="Z222" t="s">
        <v>47</v>
      </c>
      <c r="AA222" t="s">
        <v>47</v>
      </c>
      <c r="AC222" t="b">
        <v>1</v>
      </c>
      <c r="AD222" t="s">
        <v>52</v>
      </c>
      <c r="AE222" t="s">
        <v>1509</v>
      </c>
      <c r="AF222" t="s">
        <v>1504</v>
      </c>
      <c r="AG222" t="s">
        <v>1510</v>
      </c>
      <c r="AH222" t="s">
        <v>55</v>
      </c>
      <c r="AI222" s="2">
        <v>46160.173611111109</v>
      </c>
      <c r="AJ222" t="s">
        <v>47</v>
      </c>
      <c r="AK222" t="s">
        <v>47</v>
      </c>
      <c r="AL222" s="2">
        <v>46160.402777777781</v>
      </c>
      <c r="AM222" s="2">
        <v>46160.402777777781</v>
      </c>
    </row>
    <row r="223" spans="1:39" x14ac:dyDescent="0.3">
      <c r="A223" t="s">
        <v>1511</v>
      </c>
      <c r="B223" t="s">
        <v>1512</v>
      </c>
      <c r="C223" t="s">
        <v>41</v>
      </c>
      <c r="D223" t="s">
        <v>1513</v>
      </c>
      <c r="E223" t="s">
        <v>1514</v>
      </c>
      <c r="F223" t="s">
        <v>107</v>
      </c>
      <c r="G223" t="s">
        <v>108</v>
      </c>
      <c r="H223" t="s">
        <v>109</v>
      </c>
      <c r="I223" t="s">
        <v>47</v>
      </c>
      <c r="J223" t="s">
        <v>47</v>
      </c>
      <c r="K223" t="s">
        <v>48</v>
      </c>
      <c r="L223" t="s">
        <v>47</v>
      </c>
      <c r="M223" t="s">
        <v>47</v>
      </c>
      <c r="N223" s="1">
        <v>46046</v>
      </c>
      <c r="O223" s="1">
        <v>46046</v>
      </c>
      <c r="P223" t="s">
        <v>49</v>
      </c>
      <c r="Q223" t="s">
        <v>50</v>
      </c>
      <c r="R223">
        <v>2</v>
      </c>
      <c r="S223" t="b">
        <v>0</v>
      </c>
      <c r="T223" t="s">
        <v>47</v>
      </c>
      <c r="U223" t="s">
        <v>47</v>
      </c>
      <c r="V223" t="s">
        <v>47</v>
      </c>
      <c r="W223" t="s">
        <v>47</v>
      </c>
      <c r="X223" t="s">
        <v>51</v>
      </c>
      <c r="Y223" t="b">
        <v>0</v>
      </c>
      <c r="Z223" t="s">
        <v>47</v>
      </c>
      <c r="AA223" t="s">
        <v>47</v>
      </c>
      <c r="AC223" t="b">
        <v>1</v>
      </c>
      <c r="AD223" t="s">
        <v>52</v>
      </c>
      <c r="AE223" t="s">
        <v>1515</v>
      </c>
      <c r="AF223" t="s">
        <v>1513</v>
      </c>
      <c r="AG223" t="s">
        <v>1516</v>
      </c>
      <c r="AH223" t="s">
        <v>55</v>
      </c>
      <c r="AI223" s="2">
        <v>46160.25</v>
      </c>
      <c r="AJ223" t="s">
        <v>47</v>
      </c>
      <c r="AK223" t="s">
        <v>47</v>
      </c>
      <c r="AL223" s="2">
        <v>46160.479166666664</v>
      </c>
      <c r="AM223" s="2">
        <v>46160.479166666664</v>
      </c>
    </row>
    <row r="224" spans="1:39" x14ac:dyDescent="0.3">
      <c r="A224" t="s">
        <v>1517</v>
      </c>
      <c r="B224" t="s">
        <v>1518</v>
      </c>
      <c r="C224" t="s">
        <v>41</v>
      </c>
      <c r="D224" t="s">
        <v>1519</v>
      </c>
      <c r="E224" t="s">
        <v>1520</v>
      </c>
      <c r="F224" t="s">
        <v>83</v>
      </c>
      <c r="G224" t="s">
        <v>84</v>
      </c>
      <c r="H224" t="s">
        <v>85</v>
      </c>
      <c r="I224" t="s">
        <v>47</v>
      </c>
      <c r="J224" t="s">
        <v>47</v>
      </c>
      <c r="K224" t="s">
        <v>48</v>
      </c>
      <c r="L224" t="s">
        <v>47</v>
      </c>
      <c r="M224" s="1">
        <v>46046</v>
      </c>
      <c r="N224" s="1">
        <v>46046</v>
      </c>
      <c r="O224" s="1">
        <v>46046</v>
      </c>
      <c r="P224" t="s">
        <v>49</v>
      </c>
      <c r="Q224" t="s">
        <v>50</v>
      </c>
      <c r="R224">
        <v>2</v>
      </c>
      <c r="S224" t="b">
        <v>0</v>
      </c>
      <c r="T224" t="s">
        <v>47</v>
      </c>
      <c r="U224" t="s">
        <v>47</v>
      </c>
      <c r="V224" t="s">
        <v>47</v>
      </c>
      <c r="W224" t="s">
        <v>47</v>
      </c>
      <c r="X224" t="s">
        <v>51</v>
      </c>
      <c r="Y224" t="b">
        <v>0</v>
      </c>
      <c r="Z224" t="s">
        <v>47</v>
      </c>
      <c r="AA224" t="s">
        <v>47</v>
      </c>
      <c r="AB224" t="s">
        <v>47</v>
      </c>
      <c r="AC224" t="b">
        <v>1</v>
      </c>
      <c r="AD224" t="s">
        <v>52</v>
      </c>
      <c r="AE224" t="s">
        <v>1521</v>
      </c>
      <c r="AF224" t="s">
        <v>1519</v>
      </c>
      <c r="AG224" t="s">
        <v>47</v>
      </c>
      <c r="AH224" t="s">
        <v>87</v>
      </c>
      <c r="AI224" s="2">
        <v>46160.598310185182</v>
      </c>
      <c r="AJ224" t="s">
        <v>47</v>
      </c>
      <c r="AK224" t="s">
        <v>47</v>
      </c>
      <c r="AL224" s="2">
        <v>46160.598310185182</v>
      </c>
      <c r="AM224" s="2">
        <v>46160.598310185182</v>
      </c>
    </row>
    <row r="225" spans="1:39" x14ac:dyDescent="0.3">
      <c r="A225" t="s">
        <v>1522</v>
      </c>
      <c r="B225" t="s">
        <v>1523</v>
      </c>
      <c r="C225" t="s">
        <v>41</v>
      </c>
      <c r="D225" t="s">
        <v>1524</v>
      </c>
      <c r="E225" t="s">
        <v>1525</v>
      </c>
      <c r="F225" t="s">
        <v>83</v>
      </c>
      <c r="G225" t="s">
        <v>84</v>
      </c>
      <c r="H225" t="s">
        <v>85</v>
      </c>
      <c r="I225" t="s">
        <v>47</v>
      </c>
      <c r="J225" t="s">
        <v>47</v>
      </c>
      <c r="K225" t="s">
        <v>48</v>
      </c>
      <c r="L225" t="s">
        <v>47</v>
      </c>
      <c r="M225" s="1">
        <v>46046</v>
      </c>
      <c r="N225" s="1">
        <v>46046</v>
      </c>
      <c r="O225" s="1">
        <v>46046</v>
      </c>
      <c r="P225" t="s">
        <v>49</v>
      </c>
      <c r="Q225" t="s">
        <v>50</v>
      </c>
      <c r="R225">
        <v>2</v>
      </c>
      <c r="S225" t="b">
        <v>0</v>
      </c>
      <c r="T225" t="s">
        <v>47</v>
      </c>
      <c r="U225" t="s">
        <v>47</v>
      </c>
      <c r="V225" t="s">
        <v>47</v>
      </c>
      <c r="W225" t="s">
        <v>47</v>
      </c>
      <c r="X225" t="s">
        <v>51</v>
      </c>
      <c r="Y225" t="b">
        <v>0</v>
      </c>
      <c r="Z225" t="s">
        <v>47</v>
      </c>
      <c r="AA225" t="s">
        <v>47</v>
      </c>
      <c r="AB225" t="s">
        <v>47</v>
      </c>
      <c r="AC225" t="b">
        <v>1</v>
      </c>
      <c r="AD225" t="s">
        <v>52</v>
      </c>
      <c r="AE225" t="s">
        <v>1526</v>
      </c>
      <c r="AF225" t="s">
        <v>1524</v>
      </c>
      <c r="AG225" t="s">
        <v>47</v>
      </c>
      <c r="AH225" t="s">
        <v>87</v>
      </c>
      <c r="AI225" s="2">
        <v>46160.598310185182</v>
      </c>
      <c r="AJ225" t="s">
        <v>47</v>
      </c>
      <c r="AK225" t="s">
        <v>47</v>
      </c>
      <c r="AL225" s="2">
        <v>46160.598310185182</v>
      </c>
      <c r="AM225" s="2">
        <v>46160.598310185182</v>
      </c>
    </row>
    <row r="226" spans="1:39" x14ac:dyDescent="0.3">
      <c r="A226" t="s">
        <v>1527</v>
      </c>
      <c r="B226" t="s">
        <v>1528</v>
      </c>
      <c r="C226" t="s">
        <v>41</v>
      </c>
      <c r="D226" t="s">
        <v>1529</v>
      </c>
      <c r="E226" t="s">
        <v>1530</v>
      </c>
      <c r="F226" t="s">
        <v>83</v>
      </c>
      <c r="G226" t="s">
        <v>84</v>
      </c>
      <c r="H226" t="s">
        <v>85</v>
      </c>
      <c r="I226" t="s">
        <v>47</v>
      </c>
      <c r="J226" t="s">
        <v>47</v>
      </c>
      <c r="K226" t="s">
        <v>48</v>
      </c>
      <c r="L226" t="s">
        <v>47</v>
      </c>
      <c r="M226" s="1">
        <v>46046</v>
      </c>
      <c r="N226" s="1">
        <v>46046</v>
      </c>
      <c r="O226" s="1">
        <v>46046</v>
      </c>
      <c r="P226" t="s">
        <v>49</v>
      </c>
      <c r="Q226" t="s">
        <v>50</v>
      </c>
      <c r="R226">
        <v>2</v>
      </c>
      <c r="S226" t="b">
        <v>0</v>
      </c>
      <c r="T226" t="s">
        <v>47</v>
      </c>
      <c r="U226" t="s">
        <v>47</v>
      </c>
      <c r="V226" t="s">
        <v>47</v>
      </c>
      <c r="W226" t="s">
        <v>47</v>
      </c>
      <c r="X226" t="s">
        <v>51</v>
      </c>
      <c r="Y226" t="b">
        <v>0</v>
      </c>
      <c r="Z226" t="s">
        <v>47</v>
      </c>
      <c r="AA226" t="s">
        <v>47</v>
      </c>
      <c r="AB226" t="s">
        <v>47</v>
      </c>
      <c r="AC226" t="b">
        <v>1</v>
      </c>
      <c r="AD226" t="s">
        <v>52</v>
      </c>
      <c r="AE226" t="s">
        <v>1531</v>
      </c>
      <c r="AF226" t="s">
        <v>1529</v>
      </c>
      <c r="AG226" t="s">
        <v>47</v>
      </c>
      <c r="AH226" t="s">
        <v>87</v>
      </c>
      <c r="AI226" s="2">
        <v>46160.598310185182</v>
      </c>
      <c r="AJ226" t="s">
        <v>47</v>
      </c>
      <c r="AK226" t="s">
        <v>47</v>
      </c>
      <c r="AL226" s="2">
        <v>46160.598310185182</v>
      </c>
      <c r="AM226" s="2">
        <v>46160.598310185182</v>
      </c>
    </row>
    <row r="227" spans="1:39" x14ac:dyDescent="0.3">
      <c r="A227" t="s">
        <v>1532</v>
      </c>
      <c r="B227" t="s">
        <v>1533</v>
      </c>
      <c r="C227" t="s">
        <v>41</v>
      </c>
      <c r="D227" t="s">
        <v>1534</v>
      </c>
      <c r="E227" t="s">
        <v>1535</v>
      </c>
      <c r="F227" t="s">
        <v>83</v>
      </c>
      <c r="G227" t="s">
        <v>84</v>
      </c>
      <c r="H227" t="s">
        <v>85</v>
      </c>
      <c r="I227" t="s">
        <v>47</v>
      </c>
      <c r="J227" t="s">
        <v>47</v>
      </c>
      <c r="K227" t="s">
        <v>48</v>
      </c>
      <c r="L227" t="s">
        <v>47</v>
      </c>
      <c r="M227" s="1">
        <v>46046</v>
      </c>
      <c r="N227" s="1">
        <v>46046</v>
      </c>
      <c r="O227" s="1">
        <v>46046</v>
      </c>
      <c r="P227" t="s">
        <v>49</v>
      </c>
      <c r="Q227" t="s">
        <v>50</v>
      </c>
      <c r="R227">
        <v>2</v>
      </c>
      <c r="S227" t="b">
        <v>0</v>
      </c>
      <c r="T227" t="s">
        <v>47</v>
      </c>
      <c r="U227" t="s">
        <v>47</v>
      </c>
      <c r="V227" t="s">
        <v>47</v>
      </c>
      <c r="W227" t="s">
        <v>47</v>
      </c>
      <c r="X227" t="s">
        <v>51</v>
      </c>
      <c r="Y227" t="b">
        <v>0</v>
      </c>
      <c r="Z227" t="s">
        <v>47</v>
      </c>
      <c r="AA227" t="s">
        <v>47</v>
      </c>
      <c r="AB227" t="s">
        <v>47</v>
      </c>
      <c r="AC227" t="b">
        <v>1</v>
      </c>
      <c r="AD227" t="s">
        <v>52</v>
      </c>
      <c r="AE227" t="s">
        <v>1536</v>
      </c>
      <c r="AF227" t="s">
        <v>1534</v>
      </c>
      <c r="AG227" t="s">
        <v>47</v>
      </c>
      <c r="AH227" t="s">
        <v>87</v>
      </c>
      <c r="AI227" s="2">
        <v>46160.565381944441</v>
      </c>
      <c r="AJ227" t="s">
        <v>47</v>
      </c>
      <c r="AK227" t="s">
        <v>47</v>
      </c>
      <c r="AL227" s="2">
        <v>46160.565381944441</v>
      </c>
      <c r="AM227" s="2">
        <v>46160.565381944441</v>
      </c>
    </row>
    <row r="228" spans="1:39" x14ac:dyDescent="0.3">
      <c r="A228" t="s">
        <v>1537</v>
      </c>
      <c r="B228" t="s">
        <v>1538</v>
      </c>
      <c r="C228" t="s">
        <v>41</v>
      </c>
      <c r="D228" t="s">
        <v>1539</v>
      </c>
      <c r="E228" t="s">
        <v>1540</v>
      </c>
      <c r="F228" t="s">
        <v>83</v>
      </c>
      <c r="G228" t="s">
        <v>84</v>
      </c>
      <c r="H228" t="s">
        <v>85</v>
      </c>
      <c r="I228" t="s">
        <v>47</v>
      </c>
      <c r="J228" t="s">
        <v>47</v>
      </c>
      <c r="K228" t="s">
        <v>48</v>
      </c>
      <c r="L228" t="s">
        <v>47</v>
      </c>
      <c r="M228" s="1">
        <v>46046</v>
      </c>
      <c r="N228" s="1">
        <v>46046</v>
      </c>
      <c r="O228" s="1">
        <v>46046</v>
      </c>
      <c r="P228" t="s">
        <v>49</v>
      </c>
      <c r="Q228" t="s">
        <v>50</v>
      </c>
      <c r="R228">
        <v>2</v>
      </c>
      <c r="S228" t="b">
        <v>0</v>
      </c>
      <c r="T228" t="s">
        <v>47</v>
      </c>
      <c r="U228" t="s">
        <v>47</v>
      </c>
      <c r="V228" t="s">
        <v>47</v>
      </c>
      <c r="W228" t="s">
        <v>47</v>
      </c>
      <c r="X228" t="s">
        <v>51</v>
      </c>
      <c r="Y228" t="b">
        <v>0</v>
      </c>
      <c r="Z228" t="s">
        <v>47</v>
      </c>
      <c r="AA228" t="s">
        <v>47</v>
      </c>
      <c r="AB228" t="s">
        <v>47</v>
      </c>
      <c r="AC228" t="b">
        <v>1</v>
      </c>
      <c r="AD228" t="s">
        <v>52</v>
      </c>
      <c r="AE228" t="s">
        <v>1541</v>
      </c>
      <c r="AF228" t="s">
        <v>1539</v>
      </c>
      <c r="AG228" t="s">
        <v>47</v>
      </c>
      <c r="AH228" t="s">
        <v>87</v>
      </c>
      <c r="AI228" s="2">
        <v>46160.581724537034</v>
      </c>
      <c r="AJ228" t="s">
        <v>47</v>
      </c>
      <c r="AK228" t="s">
        <v>47</v>
      </c>
      <c r="AL228" s="2">
        <v>46160.581724537034</v>
      </c>
      <c r="AM228" s="2">
        <v>46160.581724537034</v>
      </c>
    </row>
    <row r="229" spans="1:39" x14ac:dyDescent="0.3">
      <c r="A229" t="s">
        <v>1542</v>
      </c>
      <c r="B229" t="s">
        <v>1543</v>
      </c>
      <c r="C229" t="s">
        <v>41</v>
      </c>
      <c r="D229" t="s">
        <v>1544</v>
      </c>
      <c r="E229" t="s">
        <v>1545</v>
      </c>
      <c r="F229" t="s">
        <v>180</v>
      </c>
      <c r="G229" t="s">
        <v>181</v>
      </c>
      <c r="H229" t="s">
        <v>182</v>
      </c>
      <c r="I229" t="s">
        <v>47</v>
      </c>
      <c r="J229" t="s">
        <v>47</v>
      </c>
      <c r="K229" t="s">
        <v>47</v>
      </c>
      <c r="L229" t="s">
        <v>47</v>
      </c>
      <c r="M229" t="s">
        <v>47</v>
      </c>
      <c r="N229" s="1">
        <v>46046</v>
      </c>
      <c r="O229" s="1">
        <v>46046</v>
      </c>
      <c r="P229" t="s">
        <v>183</v>
      </c>
      <c r="Q229" t="s">
        <v>184</v>
      </c>
      <c r="R229">
        <v>1</v>
      </c>
      <c r="S229" t="b">
        <v>0</v>
      </c>
      <c r="T229" t="s">
        <v>47</v>
      </c>
      <c r="U229" t="s">
        <v>47</v>
      </c>
      <c r="V229" t="s">
        <v>47</v>
      </c>
      <c r="W229" t="s">
        <v>47</v>
      </c>
      <c r="X229" t="s">
        <v>51</v>
      </c>
      <c r="Y229" t="b">
        <v>0</v>
      </c>
      <c r="Z229" t="s">
        <v>47</v>
      </c>
      <c r="AA229" t="s">
        <v>47</v>
      </c>
      <c r="AC229" t="b">
        <v>1</v>
      </c>
      <c r="AD229" t="s">
        <v>52</v>
      </c>
      <c r="AE229" t="s">
        <v>1546</v>
      </c>
      <c r="AF229" t="s">
        <v>1544</v>
      </c>
      <c r="AG229" t="s">
        <v>1547</v>
      </c>
      <c r="AH229" t="s">
        <v>55</v>
      </c>
      <c r="AI229" s="2">
        <v>46160.201388888891</v>
      </c>
      <c r="AJ229" t="s">
        <v>47</v>
      </c>
      <c r="AK229" t="s">
        <v>47</v>
      </c>
      <c r="AL229" s="2">
        <v>46160.430555555555</v>
      </c>
      <c r="AM229" s="2">
        <v>46160.430555555555</v>
      </c>
    </row>
    <row r="230" spans="1:39" x14ac:dyDescent="0.3">
      <c r="A230" t="s">
        <v>1548</v>
      </c>
      <c r="B230" t="s">
        <v>1549</v>
      </c>
      <c r="C230" t="s">
        <v>41</v>
      </c>
      <c r="D230" t="s">
        <v>1550</v>
      </c>
      <c r="E230" t="s">
        <v>1551</v>
      </c>
      <c r="F230" t="s">
        <v>1552</v>
      </c>
      <c r="G230" t="s">
        <v>1553</v>
      </c>
      <c r="H230" t="s">
        <v>1554</v>
      </c>
      <c r="I230" t="s">
        <v>47</v>
      </c>
      <c r="J230" t="s">
        <v>47</v>
      </c>
      <c r="K230" t="s">
        <v>47</v>
      </c>
      <c r="L230" t="s">
        <v>47</v>
      </c>
      <c r="M230" t="s">
        <v>47</v>
      </c>
      <c r="N230" s="1">
        <v>46048</v>
      </c>
      <c r="O230" s="1">
        <v>46048</v>
      </c>
      <c r="P230" t="s">
        <v>219</v>
      </c>
      <c r="Q230" t="s">
        <v>50</v>
      </c>
      <c r="R230">
        <v>2</v>
      </c>
      <c r="S230" t="b">
        <v>1</v>
      </c>
      <c r="T230" t="s">
        <v>47</v>
      </c>
      <c r="U230" t="s">
        <v>47</v>
      </c>
      <c r="V230" t="s">
        <v>47</v>
      </c>
      <c r="W230" t="s">
        <v>47</v>
      </c>
      <c r="X230" t="s">
        <v>51</v>
      </c>
      <c r="Y230" t="b">
        <v>0</v>
      </c>
      <c r="Z230" t="s">
        <v>47</v>
      </c>
      <c r="AA230" t="s">
        <v>47</v>
      </c>
      <c r="AB230">
        <v>0.55000000000000004</v>
      </c>
      <c r="AC230" t="b">
        <v>1</v>
      </c>
      <c r="AD230" t="s">
        <v>52</v>
      </c>
      <c r="AE230" t="s">
        <v>1555</v>
      </c>
      <c r="AF230" t="s">
        <v>1550</v>
      </c>
      <c r="AG230" t="s">
        <v>1556</v>
      </c>
      <c r="AH230" t="s">
        <v>55</v>
      </c>
      <c r="AI230" s="2">
        <v>46160.25</v>
      </c>
      <c r="AJ230" t="s">
        <v>47</v>
      </c>
      <c r="AK230" t="s">
        <v>47</v>
      </c>
      <c r="AL230" s="2">
        <v>46160.479166666664</v>
      </c>
      <c r="AM230" s="2">
        <v>46160.479166666664</v>
      </c>
    </row>
    <row r="231" spans="1:39" x14ac:dyDescent="0.3">
      <c r="A231" t="s">
        <v>1557</v>
      </c>
      <c r="B231" t="s">
        <v>1558</v>
      </c>
      <c r="C231" t="s">
        <v>41</v>
      </c>
      <c r="D231" t="s">
        <v>1559</v>
      </c>
      <c r="E231" t="s">
        <v>1560</v>
      </c>
      <c r="F231" t="s">
        <v>718</v>
      </c>
      <c r="G231" t="s">
        <v>719</v>
      </c>
      <c r="H231" t="s">
        <v>720</v>
      </c>
      <c r="I231" t="s">
        <v>47</v>
      </c>
      <c r="J231" t="s">
        <v>47</v>
      </c>
      <c r="K231" t="s">
        <v>721</v>
      </c>
      <c r="L231" t="s">
        <v>47</v>
      </c>
      <c r="M231" s="1">
        <v>46048</v>
      </c>
      <c r="N231" s="1">
        <v>46048</v>
      </c>
      <c r="O231" s="1">
        <v>46048</v>
      </c>
      <c r="P231" t="s">
        <v>722</v>
      </c>
      <c r="Q231" t="s">
        <v>50</v>
      </c>
      <c r="R231">
        <v>3</v>
      </c>
      <c r="S231" t="b">
        <v>1</v>
      </c>
      <c r="T231" t="s">
        <v>47</v>
      </c>
      <c r="U231" t="s">
        <v>47</v>
      </c>
      <c r="V231" t="s">
        <v>47</v>
      </c>
      <c r="W231" t="s">
        <v>47</v>
      </c>
      <c r="X231" t="s">
        <v>51</v>
      </c>
      <c r="Y231" t="b">
        <v>0</v>
      </c>
      <c r="Z231" t="s">
        <v>47</v>
      </c>
      <c r="AA231" t="s">
        <v>47</v>
      </c>
      <c r="AB231" t="s">
        <v>47</v>
      </c>
      <c r="AC231" t="b">
        <v>1</v>
      </c>
      <c r="AD231" t="s">
        <v>52</v>
      </c>
      <c r="AE231" t="s">
        <v>1561</v>
      </c>
      <c r="AF231" t="s">
        <v>1559</v>
      </c>
      <c r="AG231" t="s">
        <v>47</v>
      </c>
      <c r="AH231" t="s">
        <v>87</v>
      </c>
      <c r="AI231" s="2">
        <v>46160.614004629628</v>
      </c>
      <c r="AJ231" t="s">
        <v>47</v>
      </c>
      <c r="AK231" t="s">
        <v>47</v>
      </c>
      <c r="AL231" s="2">
        <v>46160.614004629628</v>
      </c>
      <c r="AM231" s="2">
        <v>46160.614004629628</v>
      </c>
    </row>
    <row r="232" spans="1:39" x14ac:dyDescent="0.3">
      <c r="A232" t="s">
        <v>1562</v>
      </c>
      <c r="B232" t="s">
        <v>1563</v>
      </c>
      <c r="C232" t="s">
        <v>41</v>
      </c>
      <c r="D232" t="s">
        <v>1564</v>
      </c>
      <c r="E232" t="s">
        <v>1565</v>
      </c>
      <c r="F232" t="s">
        <v>172</v>
      </c>
      <c r="G232" t="s">
        <v>173</v>
      </c>
      <c r="H232" t="s">
        <v>174</v>
      </c>
      <c r="I232" t="s">
        <v>47</v>
      </c>
      <c r="J232" t="s">
        <v>47</v>
      </c>
      <c r="K232" t="s">
        <v>130</v>
      </c>
      <c r="L232" t="s">
        <v>47</v>
      </c>
      <c r="M232" s="1">
        <v>46048</v>
      </c>
      <c r="N232" s="1">
        <v>46048</v>
      </c>
      <c r="O232" s="1">
        <v>46048</v>
      </c>
      <c r="P232" t="s">
        <v>49</v>
      </c>
      <c r="Q232" t="s">
        <v>50</v>
      </c>
      <c r="R232">
        <v>3</v>
      </c>
      <c r="S232" t="b">
        <v>1</v>
      </c>
      <c r="T232" t="s">
        <v>47</v>
      </c>
      <c r="U232" t="s">
        <v>47</v>
      </c>
      <c r="V232" t="s">
        <v>47</v>
      </c>
      <c r="W232" t="s">
        <v>47</v>
      </c>
      <c r="X232" t="s">
        <v>51</v>
      </c>
      <c r="Y232" t="b">
        <v>0</v>
      </c>
      <c r="Z232" t="s">
        <v>47</v>
      </c>
      <c r="AA232" t="s">
        <v>47</v>
      </c>
      <c r="AB232" t="s">
        <v>47</v>
      </c>
      <c r="AC232" t="b">
        <v>1</v>
      </c>
      <c r="AD232" t="s">
        <v>52</v>
      </c>
      <c r="AE232" t="s">
        <v>1566</v>
      </c>
      <c r="AF232" t="s">
        <v>1564</v>
      </c>
      <c r="AG232" t="s">
        <v>47</v>
      </c>
      <c r="AH232" t="s">
        <v>87</v>
      </c>
      <c r="AI232" s="2">
        <v>46160.565381944441</v>
      </c>
      <c r="AJ232" t="s">
        <v>47</v>
      </c>
      <c r="AK232" t="s">
        <v>47</v>
      </c>
      <c r="AL232" s="2">
        <v>46160.565381944441</v>
      </c>
      <c r="AM232" s="2">
        <v>46160.565381944441</v>
      </c>
    </row>
    <row r="233" spans="1:39" x14ac:dyDescent="0.3">
      <c r="A233" t="s">
        <v>1567</v>
      </c>
      <c r="B233" t="s">
        <v>1568</v>
      </c>
      <c r="C233" t="s">
        <v>41</v>
      </c>
      <c r="D233" t="s">
        <v>1569</v>
      </c>
      <c r="E233" t="s">
        <v>1570</v>
      </c>
      <c r="F233" t="s">
        <v>322</v>
      </c>
      <c r="G233" t="s">
        <v>323</v>
      </c>
      <c r="H233" t="s">
        <v>324</v>
      </c>
      <c r="I233" t="s">
        <v>47</v>
      </c>
      <c r="J233" t="s">
        <v>47</v>
      </c>
      <c r="K233" t="s">
        <v>253</v>
      </c>
      <c r="L233" t="s">
        <v>47</v>
      </c>
      <c r="M233" t="s">
        <v>47</v>
      </c>
      <c r="N233" s="1">
        <v>46049</v>
      </c>
      <c r="O233" s="1">
        <v>46049</v>
      </c>
      <c r="P233" t="s">
        <v>254</v>
      </c>
      <c r="Q233" t="s">
        <v>50</v>
      </c>
      <c r="R233">
        <v>1</v>
      </c>
      <c r="S233" t="b">
        <v>0</v>
      </c>
      <c r="T233" t="s">
        <v>47</v>
      </c>
      <c r="U233" t="s">
        <v>47</v>
      </c>
      <c r="V233" t="s">
        <v>47</v>
      </c>
      <c r="W233" t="s">
        <v>47</v>
      </c>
      <c r="X233" t="s">
        <v>51</v>
      </c>
      <c r="Y233" t="b">
        <v>0</v>
      </c>
      <c r="Z233" t="s">
        <v>47</v>
      </c>
      <c r="AA233" t="s">
        <v>47</v>
      </c>
      <c r="AC233" t="b">
        <v>1</v>
      </c>
      <c r="AD233" t="s">
        <v>52</v>
      </c>
      <c r="AE233" t="s">
        <v>1571</v>
      </c>
      <c r="AF233" t="s">
        <v>1569</v>
      </c>
      <c r="AG233" t="s">
        <v>1572</v>
      </c>
      <c r="AH233" t="s">
        <v>55</v>
      </c>
      <c r="AI233" s="2">
        <v>46160.229166666664</v>
      </c>
      <c r="AJ233" t="s">
        <v>47</v>
      </c>
      <c r="AK233" t="s">
        <v>47</v>
      </c>
      <c r="AL233" s="2">
        <v>46160.458333333336</v>
      </c>
      <c r="AM233" s="2">
        <v>46160.458333333336</v>
      </c>
    </row>
    <row r="234" spans="1:39" x14ac:dyDescent="0.3">
      <c r="A234" t="s">
        <v>1573</v>
      </c>
      <c r="B234" t="s">
        <v>1574</v>
      </c>
      <c r="C234" t="s">
        <v>41</v>
      </c>
      <c r="D234" t="s">
        <v>1575</v>
      </c>
      <c r="E234" t="s">
        <v>1576</v>
      </c>
      <c r="F234" t="s">
        <v>127</v>
      </c>
      <c r="G234" t="s">
        <v>128</v>
      </c>
      <c r="H234" t="s">
        <v>129</v>
      </c>
      <c r="I234" t="s">
        <v>47</v>
      </c>
      <c r="J234" t="s">
        <v>47</v>
      </c>
      <c r="K234" t="s">
        <v>130</v>
      </c>
      <c r="L234" t="s">
        <v>47</v>
      </c>
      <c r="M234" t="s">
        <v>47</v>
      </c>
      <c r="N234" s="1">
        <v>46049</v>
      </c>
      <c r="O234" s="1">
        <v>46049</v>
      </c>
      <c r="P234" t="s">
        <v>49</v>
      </c>
      <c r="Q234" t="s">
        <v>50</v>
      </c>
      <c r="R234">
        <v>3</v>
      </c>
      <c r="S234" t="b">
        <v>1</v>
      </c>
      <c r="T234" t="s">
        <v>47</v>
      </c>
      <c r="U234" t="s">
        <v>47</v>
      </c>
      <c r="V234" t="s">
        <v>47</v>
      </c>
      <c r="W234" t="s">
        <v>47</v>
      </c>
      <c r="X234" t="s">
        <v>51</v>
      </c>
      <c r="Y234" t="b">
        <v>0</v>
      </c>
      <c r="Z234" t="s">
        <v>47</v>
      </c>
      <c r="AA234" t="s">
        <v>47</v>
      </c>
      <c r="AB234">
        <v>0.6</v>
      </c>
      <c r="AC234" t="b">
        <v>1</v>
      </c>
      <c r="AD234" t="s">
        <v>52</v>
      </c>
      <c r="AE234" t="s">
        <v>1577</v>
      </c>
      <c r="AF234" t="s">
        <v>1575</v>
      </c>
      <c r="AG234" t="s">
        <v>1578</v>
      </c>
      <c r="AH234" t="s">
        <v>55</v>
      </c>
      <c r="AI234" s="2">
        <v>46160.201388888891</v>
      </c>
      <c r="AJ234" t="s">
        <v>47</v>
      </c>
      <c r="AK234" t="s">
        <v>47</v>
      </c>
      <c r="AL234" s="2">
        <v>46160.430555555555</v>
      </c>
      <c r="AM234" s="2">
        <v>46160.430555555555</v>
      </c>
    </row>
    <row r="235" spans="1:39" x14ac:dyDescent="0.3">
      <c r="A235" t="s">
        <v>1579</v>
      </c>
      <c r="B235" t="s">
        <v>1580</v>
      </c>
      <c r="C235" t="s">
        <v>41</v>
      </c>
      <c r="D235" t="s">
        <v>1581</v>
      </c>
      <c r="E235" t="s">
        <v>1582</v>
      </c>
      <c r="F235" t="s">
        <v>680</v>
      </c>
      <c r="G235" t="s">
        <v>681</v>
      </c>
      <c r="H235" t="s">
        <v>682</v>
      </c>
      <c r="I235" t="s">
        <v>47</v>
      </c>
      <c r="J235" t="s">
        <v>47</v>
      </c>
      <c r="K235" t="s">
        <v>130</v>
      </c>
      <c r="L235" t="s">
        <v>47</v>
      </c>
      <c r="M235" t="s">
        <v>47</v>
      </c>
      <c r="N235" s="1">
        <v>46048</v>
      </c>
      <c r="O235" s="1">
        <v>46048</v>
      </c>
      <c r="P235" t="s">
        <v>49</v>
      </c>
      <c r="Q235" t="s">
        <v>50</v>
      </c>
      <c r="R235">
        <v>3</v>
      </c>
      <c r="S235" t="b">
        <v>1</v>
      </c>
      <c r="T235" t="s">
        <v>47</v>
      </c>
      <c r="U235" t="s">
        <v>47</v>
      </c>
      <c r="V235" t="s">
        <v>47</v>
      </c>
      <c r="W235" t="s">
        <v>47</v>
      </c>
      <c r="X235" t="s">
        <v>51</v>
      </c>
      <c r="Y235" t="b">
        <v>0</v>
      </c>
      <c r="Z235" t="s">
        <v>47</v>
      </c>
      <c r="AA235" t="s">
        <v>47</v>
      </c>
      <c r="AB235">
        <v>0.6</v>
      </c>
      <c r="AC235" t="b">
        <v>1</v>
      </c>
      <c r="AD235" t="s">
        <v>52</v>
      </c>
      <c r="AE235" t="s">
        <v>1583</v>
      </c>
      <c r="AF235" t="s">
        <v>1581</v>
      </c>
      <c r="AG235" t="s">
        <v>1584</v>
      </c>
      <c r="AH235" t="s">
        <v>55</v>
      </c>
      <c r="AI235" s="2">
        <v>46160.270833333336</v>
      </c>
      <c r="AJ235" t="s">
        <v>47</v>
      </c>
      <c r="AK235" t="s">
        <v>47</v>
      </c>
      <c r="AL235" s="2">
        <v>46160.5</v>
      </c>
      <c r="AM235" s="2">
        <v>46160.5</v>
      </c>
    </row>
    <row r="236" spans="1:39" x14ac:dyDescent="0.3">
      <c r="A236" t="s">
        <v>1585</v>
      </c>
      <c r="B236" t="s">
        <v>1586</v>
      </c>
      <c r="C236" t="s">
        <v>41</v>
      </c>
      <c r="D236" t="s">
        <v>1587</v>
      </c>
      <c r="E236" t="s">
        <v>1588</v>
      </c>
      <c r="F236" t="s">
        <v>1589</v>
      </c>
      <c r="G236" t="s">
        <v>1590</v>
      </c>
      <c r="H236" t="s">
        <v>1591</v>
      </c>
      <c r="I236" t="s">
        <v>47</v>
      </c>
      <c r="J236" t="s">
        <v>47</v>
      </c>
      <c r="K236" t="s">
        <v>47</v>
      </c>
      <c r="L236" t="s">
        <v>47</v>
      </c>
      <c r="M236" t="s">
        <v>47</v>
      </c>
      <c r="N236" s="1">
        <v>46048</v>
      </c>
      <c r="O236" s="1">
        <v>46048</v>
      </c>
      <c r="P236" t="s">
        <v>353</v>
      </c>
      <c r="Q236" t="s">
        <v>50</v>
      </c>
      <c r="R236">
        <v>3</v>
      </c>
      <c r="S236" t="b">
        <v>0</v>
      </c>
      <c r="T236" t="s">
        <v>47</v>
      </c>
      <c r="U236" t="s">
        <v>47</v>
      </c>
      <c r="V236" t="s">
        <v>47</v>
      </c>
      <c r="W236" t="s">
        <v>47</v>
      </c>
      <c r="X236" t="s">
        <v>51</v>
      </c>
      <c r="Y236" t="b">
        <v>0</v>
      </c>
      <c r="Z236" t="s">
        <v>47</v>
      </c>
      <c r="AA236" t="s">
        <v>47</v>
      </c>
      <c r="AC236" t="b">
        <v>1</v>
      </c>
      <c r="AD236" t="s">
        <v>52</v>
      </c>
      <c r="AE236" t="s">
        <v>1592</v>
      </c>
      <c r="AF236" t="s">
        <v>1587</v>
      </c>
      <c r="AG236" t="s">
        <v>1593</v>
      </c>
      <c r="AH236" t="s">
        <v>55</v>
      </c>
      <c r="AI236" s="2">
        <v>46160.229166666664</v>
      </c>
      <c r="AJ236" t="s">
        <v>47</v>
      </c>
      <c r="AK236" t="s">
        <v>47</v>
      </c>
      <c r="AL236" s="2">
        <v>46160.458333333336</v>
      </c>
      <c r="AM236" s="2">
        <v>46160.458333333336</v>
      </c>
    </row>
    <row r="237" spans="1:39" x14ac:dyDescent="0.3">
      <c r="A237" t="s">
        <v>1594</v>
      </c>
      <c r="B237" t="s">
        <v>1595</v>
      </c>
      <c r="C237" t="s">
        <v>41</v>
      </c>
      <c r="D237" t="s">
        <v>1596</v>
      </c>
      <c r="E237" t="s">
        <v>1597</v>
      </c>
      <c r="F237" t="s">
        <v>1598</v>
      </c>
      <c r="G237" t="s">
        <v>1599</v>
      </c>
      <c r="H237" t="s">
        <v>1600</v>
      </c>
      <c r="I237" t="s">
        <v>47</v>
      </c>
      <c r="J237" t="s">
        <v>47</v>
      </c>
      <c r="K237" t="s">
        <v>47</v>
      </c>
      <c r="L237" t="s">
        <v>47</v>
      </c>
      <c r="M237" t="s">
        <v>47</v>
      </c>
      <c r="N237" s="1">
        <v>46050</v>
      </c>
      <c r="O237" s="1">
        <v>46050</v>
      </c>
      <c r="P237" t="s">
        <v>183</v>
      </c>
      <c r="Q237" t="s">
        <v>50</v>
      </c>
      <c r="R237">
        <v>2</v>
      </c>
      <c r="S237" t="b">
        <v>0</v>
      </c>
      <c r="T237" t="s">
        <v>47</v>
      </c>
      <c r="U237" t="s">
        <v>47</v>
      </c>
      <c r="V237" t="s">
        <v>47</v>
      </c>
      <c r="W237" t="s">
        <v>47</v>
      </c>
      <c r="X237" t="s">
        <v>51</v>
      </c>
      <c r="Y237" t="b">
        <v>0</v>
      </c>
      <c r="Z237" t="s">
        <v>47</v>
      </c>
      <c r="AA237" t="s">
        <v>47</v>
      </c>
      <c r="AC237" t="b">
        <v>1</v>
      </c>
      <c r="AD237" t="s">
        <v>52</v>
      </c>
      <c r="AE237" t="s">
        <v>1601</v>
      </c>
      <c r="AF237" t="s">
        <v>1596</v>
      </c>
      <c r="AG237" t="s">
        <v>1602</v>
      </c>
      <c r="AH237" t="s">
        <v>55</v>
      </c>
      <c r="AI237" s="2">
        <v>46160.173611111109</v>
      </c>
      <c r="AJ237" t="s">
        <v>47</v>
      </c>
      <c r="AK237" t="s">
        <v>47</v>
      </c>
      <c r="AL237" s="2">
        <v>46160.402777777781</v>
      </c>
      <c r="AM237" s="2">
        <v>46160.402777777781</v>
      </c>
    </row>
    <row r="238" spans="1:39" x14ac:dyDescent="0.3">
      <c r="A238" t="s">
        <v>1603</v>
      </c>
      <c r="B238" t="s">
        <v>1604</v>
      </c>
      <c r="C238" t="s">
        <v>41</v>
      </c>
      <c r="D238" t="s">
        <v>1605</v>
      </c>
      <c r="E238" t="s">
        <v>1606</v>
      </c>
      <c r="F238" t="s">
        <v>1607</v>
      </c>
      <c r="G238" t="s">
        <v>1608</v>
      </c>
      <c r="H238" t="s">
        <v>1609</v>
      </c>
      <c r="I238" t="s">
        <v>47</v>
      </c>
      <c r="J238" t="s">
        <v>47</v>
      </c>
      <c r="K238" t="s">
        <v>47</v>
      </c>
      <c r="L238" t="s">
        <v>47</v>
      </c>
      <c r="M238" t="s">
        <v>47</v>
      </c>
      <c r="N238" s="1">
        <v>46049</v>
      </c>
      <c r="O238" s="1">
        <v>46049</v>
      </c>
      <c r="P238" t="s">
        <v>183</v>
      </c>
      <c r="Q238" t="s">
        <v>50</v>
      </c>
      <c r="R238">
        <v>2</v>
      </c>
      <c r="S238" t="b">
        <v>0</v>
      </c>
      <c r="T238" t="s">
        <v>47</v>
      </c>
      <c r="U238" t="s">
        <v>47</v>
      </c>
      <c r="V238" t="s">
        <v>47</v>
      </c>
      <c r="W238" t="s">
        <v>47</v>
      </c>
      <c r="X238" t="s">
        <v>51</v>
      </c>
      <c r="Y238" t="b">
        <v>0</v>
      </c>
      <c r="Z238" t="s">
        <v>47</v>
      </c>
      <c r="AA238" t="s">
        <v>47</v>
      </c>
      <c r="AC238" t="b">
        <v>1</v>
      </c>
      <c r="AD238" t="s">
        <v>52</v>
      </c>
      <c r="AE238" t="s">
        <v>1610</v>
      </c>
      <c r="AF238" t="s">
        <v>1605</v>
      </c>
      <c r="AG238" t="s">
        <v>1611</v>
      </c>
      <c r="AH238" t="s">
        <v>55</v>
      </c>
      <c r="AI238" s="2">
        <v>46160.201388888891</v>
      </c>
      <c r="AJ238" t="s">
        <v>47</v>
      </c>
      <c r="AK238" t="s">
        <v>47</v>
      </c>
      <c r="AL238" s="2">
        <v>46160.430555555555</v>
      </c>
      <c r="AM238" s="2">
        <v>46160.430555555555</v>
      </c>
    </row>
    <row r="239" spans="1:39" x14ac:dyDescent="0.3">
      <c r="A239" t="s">
        <v>1612</v>
      </c>
      <c r="B239" t="s">
        <v>1613</v>
      </c>
      <c r="C239" t="s">
        <v>41</v>
      </c>
      <c r="D239" t="s">
        <v>1614</v>
      </c>
      <c r="E239" t="s">
        <v>1615</v>
      </c>
      <c r="F239" t="s">
        <v>1616</v>
      </c>
      <c r="G239" t="s">
        <v>1617</v>
      </c>
      <c r="H239" t="s">
        <v>1618</v>
      </c>
      <c r="I239" t="s">
        <v>47</v>
      </c>
      <c r="J239" t="s">
        <v>47</v>
      </c>
      <c r="K239" t="s">
        <v>1619</v>
      </c>
      <c r="L239" t="s">
        <v>47</v>
      </c>
      <c r="M239" t="s">
        <v>47</v>
      </c>
      <c r="N239" s="1">
        <v>46049</v>
      </c>
      <c r="O239" s="1">
        <v>46049</v>
      </c>
      <c r="P239" t="s">
        <v>370</v>
      </c>
      <c r="Q239" t="s">
        <v>50</v>
      </c>
      <c r="R239">
        <v>3</v>
      </c>
      <c r="S239" t="b">
        <v>1</v>
      </c>
      <c r="T239" t="s">
        <v>47</v>
      </c>
      <c r="U239" t="s">
        <v>47</v>
      </c>
      <c r="V239" t="s">
        <v>47</v>
      </c>
      <c r="W239" t="s">
        <v>47</v>
      </c>
      <c r="X239" t="s">
        <v>51</v>
      </c>
      <c r="Y239" t="b">
        <v>0</v>
      </c>
      <c r="Z239" t="s">
        <v>47</v>
      </c>
      <c r="AA239" t="s">
        <v>47</v>
      </c>
      <c r="AB239">
        <v>0.7</v>
      </c>
      <c r="AC239" t="b">
        <v>1</v>
      </c>
      <c r="AD239" t="s">
        <v>52</v>
      </c>
      <c r="AE239" t="s">
        <v>1620</v>
      </c>
      <c r="AF239" t="s">
        <v>1614</v>
      </c>
      <c r="AG239" t="s">
        <v>1621</v>
      </c>
      <c r="AH239" t="s">
        <v>55</v>
      </c>
      <c r="AI239" s="2">
        <v>46160.229166666664</v>
      </c>
      <c r="AJ239" t="s">
        <v>47</v>
      </c>
      <c r="AK239" t="s">
        <v>47</v>
      </c>
      <c r="AL239" s="2">
        <v>46160.458333333336</v>
      </c>
      <c r="AM239" s="2">
        <v>46160.458333333336</v>
      </c>
    </row>
    <row r="240" spans="1:39" x14ac:dyDescent="0.3">
      <c r="A240" t="s">
        <v>1622</v>
      </c>
      <c r="B240" t="s">
        <v>1623</v>
      </c>
      <c r="C240" t="s">
        <v>41</v>
      </c>
      <c r="D240" t="s">
        <v>1624</v>
      </c>
      <c r="E240" t="s">
        <v>1625</v>
      </c>
      <c r="F240" t="s">
        <v>1626</v>
      </c>
      <c r="G240" t="s">
        <v>1627</v>
      </c>
      <c r="H240" t="s">
        <v>1628</v>
      </c>
      <c r="I240" t="s">
        <v>47</v>
      </c>
      <c r="J240" t="s">
        <v>47</v>
      </c>
      <c r="K240" t="s">
        <v>314</v>
      </c>
      <c r="L240" t="s">
        <v>47</v>
      </c>
      <c r="M240" t="s">
        <v>47</v>
      </c>
      <c r="N240" s="1">
        <v>46050</v>
      </c>
      <c r="O240" s="1">
        <v>46050</v>
      </c>
      <c r="P240" t="s">
        <v>315</v>
      </c>
      <c r="Q240" t="s">
        <v>50</v>
      </c>
      <c r="R240">
        <v>1</v>
      </c>
      <c r="S240" t="b">
        <v>0</v>
      </c>
      <c r="T240" t="s">
        <v>47</v>
      </c>
      <c r="U240" t="s">
        <v>47</v>
      </c>
      <c r="V240" t="s">
        <v>47</v>
      </c>
      <c r="W240" t="s">
        <v>47</v>
      </c>
      <c r="X240" t="s">
        <v>51</v>
      </c>
      <c r="Y240" t="b">
        <v>0</v>
      </c>
      <c r="Z240" t="s">
        <v>47</v>
      </c>
      <c r="AA240" t="s">
        <v>47</v>
      </c>
      <c r="AC240" t="b">
        <v>1</v>
      </c>
      <c r="AD240" t="s">
        <v>52</v>
      </c>
      <c r="AE240" t="s">
        <v>1629</v>
      </c>
      <c r="AF240" t="s">
        <v>1624</v>
      </c>
      <c r="AG240" t="s">
        <v>1630</v>
      </c>
      <c r="AH240" t="s">
        <v>55</v>
      </c>
      <c r="AI240" s="2">
        <v>46160.229166666664</v>
      </c>
      <c r="AJ240" t="s">
        <v>47</v>
      </c>
      <c r="AK240" t="s">
        <v>47</v>
      </c>
      <c r="AL240" s="2">
        <v>46160.458333333336</v>
      </c>
      <c r="AM240" s="2">
        <v>46160.458333333336</v>
      </c>
    </row>
    <row r="241" spans="1:39" x14ac:dyDescent="0.3">
      <c r="A241" t="s">
        <v>1631</v>
      </c>
      <c r="B241" t="s">
        <v>1632</v>
      </c>
      <c r="C241" t="s">
        <v>41</v>
      </c>
      <c r="D241" t="s">
        <v>1633</v>
      </c>
      <c r="E241" t="s">
        <v>1634</v>
      </c>
      <c r="F241" t="s">
        <v>180</v>
      </c>
      <c r="G241" t="s">
        <v>181</v>
      </c>
      <c r="H241" t="s">
        <v>1635</v>
      </c>
      <c r="I241" t="s">
        <v>47</v>
      </c>
      <c r="J241" t="s">
        <v>47</v>
      </c>
      <c r="K241" t="s">
        <v>47</v>
      </c>
      <c r="L241" t="s">
        <v>47</v>
      </c>
      <c r="M241" t="s">
        <v>47</v>
      </c>
      <c r="N241" s="1">
        <v>46050</v>
      </c>
      <c r="O241" s="1">
        <v>46050</v>
      </c>
      <c r="P241" t="s">
        <v>183</v>
      </c>
      <c r="Q241" t="s">
        <v>184</v>
      </c>
      <c r="R241">
        <v>1</v>
      </c>
      <c r="S241" t="b">
        <v>0</v>
      </c>
      <c r="T241" t="s">
        <v>47</v>
      </c>
      <c r="U241" t="s">
        <v>47</v>
      </c>
      <c r="V241" t="s">
        <v>47</v>
      </c>
      <c r="W241" t="s">
        <v>47</v>
      </c>
      <c r="X241" t="s">
        <v>51</v>
      </c>
      <c r="Y241" t="b">
        <v>0</v>
      </c>
      <c r="Z241" t="s">
        <v>47</v>
      </c>
      <c r="AA241" t="s">
        <v>47</v>
      </c>
      <c r="AC241" t="b">
        <v>1</v>
      </c>
      <c r="AD241" t="s">
        <v>52</v>
      </c>
      <c r="AE241" t="s">
        <v>1636</v>
      </c>
      <c r="AF241" t="s">
        <v>1633</v>
      </c>
      <c r="AG241" t="s">
        <v>1637</v>
      </c>
      <c r="AH241" t="s">
        <v>55</v>
      </c>
      <c r="AI241" s="2">
        <v>46160.173611111109</v>
      </c>
      <c r="AJ241" t="s">
        <v>47</v>
      </c>
      <c r="AK241" t="s">
        <v>47</v>
      </c>
      <c r="AL241" s="2">
        <v>46160.402777777781</v>
      </c>
      <c r="AM241" s="2">
        <v>46160.402777777781</v>
      </c>
    </row>
    <row r="242" spans="1:39" x14ac:dyDescent="0.3">
      <c r="A242" t="s">
        <v>1638</v>
      </c>
      <c r="B242" t="s">
        <v>1639</v>
      </c>
      <c r="C242" t="s">
        <v>41</v>
      </c>
      <c r="D242" t="s">
        <v>1640</v>
      </c>
      <c r="E242" t="s">
        <v>1641</v>
      </c>
      <c r="F242" t="s">
        <v>322</v>
      </c>
      <c r="G242" t="s">
        <v>323</v>
      </c>
      <c r="H242" t="s">
        <v>379</v>
      </c>
      <c r="I242" t="s">
        <v>47</v>
      </c>
      <c r="J242" t="s">
        <v>47</v>
      </c>
      <c r="K242" t="s">
        <v>253</v>
      </c>
      <c r="L242" t="s">
        <v>47</v>
      </c>
      <c r="M242" t="s">
        <v>47</v>
      </c>
      <c r="N242" s="1">
        <v>46050</v>
      </c>
      <c r="O242" s="1">
        <v>46050</v>
      </c>
      <c r="P242" t="s">
        <v>254</v>
      </c>
      <c r="Q242" t="s">
        <v>50</v>
      </c>
      <c r="R242">
        <v>1</v>
      </c>
      <c r="S242" t="b">
        <v>0</v>
      </c>
      <c r="T242" t="s">
        <v>47</v>
      </c>
      <c r="U242" t="s">
        <v>47</v>
      </c>
      <c r="V242" t="s">
        <v>47</v>
      </c>
      <c r="W242" t="s">
        <v>47</v>
      </c>
      <c r="X242" t="s">
        <v>51</v>
      </c>
      <c r="Y242" t="b">
        <v>0</v>
      </c>
      <c r="Z242" t="s">
        <v>47</v>
      </c>
      <c r="AA242" t="s">
        <v>47</v>
      </c>
      <c r="AC242" t="b">
        <v>1</v>
      </c>
      <c r="AD242" t="s">
        <v>52</v>
      </c>
      <c r="AE242" t="s">
        <v>1642</v>
      </c>
      <c r="AF242" t="s">
        <v>1640</v>
      </c>
      <c r="AG242" t="s">
        <v>1643</v>
      </c>
      <c r="AH242" t="s">
        <v>55</v>
      </c>
      <c r="AI242" s="2">
        <v>46160.173611111109</v>
      </c>
      <c r="AJ242" t="s">
        <v>47</v>
      </c>
      <c r="AK242" t="s">
        <v>47</v>
      </c>
      <c r="AL242" s="2">
        <v>46160.402777777781</v>
      </c>
      <c r="AM242" s="2">
        <v>46160.402777777781</v>
      </c>
    </row>
    <row r="243" spans="1:39" x14ac:dyDescent="0.3">
      <c r="A243" t="s">
        <v>1644</v>
      </c>
      <c r="B243" t="s">
        <v>1645</v>
      </c>
      <c r="C243" t="s">
        <v>41</v>
      </c>
      <c r="D243" t="s">
        <v>1646</v>
      </c>
      <c r="E243" t="s">
        <v>1647</v>
      </c>
      <c r="F243" t="s">
        <v>1648</v>
      </c>
      <c r="G243" t="s">
        <v>1649</v>
      </c>
      <c r="H243" t="s">
        <v>1650</v>
      </c>
      <c r="I243" t="s">
        <v>47</v>
      </c>
      <c r="J243" t="s">
        <v>47</v>
      </c>
      <c r="K243" t="s">
        <v>1651</v>
      </c>
      <c r="L243" t="s">
        <v>47</v>
      </c>
      <c r="M243" s="1">
        <v>46050</v>
      </c>
      <c r="N243" s="1">
        <v>46050</v>
      </c>
      <c r="O243" s="1">
        <v>46050</v>
      </c>
      <c r="P243" t="s">
        <v>353</v>
      </c>
      <c r="Q243" t="s">
        <v>76</v>
      </c>
      <c r="R243">
        <v>3</v>
      </c>
      <c r="S243" t="b">
        <v>0</v>
      </c>
      <c r="T243" t="s">
        <v>47</v>
      </c>
      <c r="U243" t="s">
        <v>47</v>
      </c>
      <c r="V243" t="s">
        <v>47</v>
      </c>
      <c r="W243" t="s">
        <v>47</v>
      </c>
      <c r="X243" t="s">
        <v>51</v>
      </c>
      <c r="Y243" t="b">
        <v>0</v>
      </c>
      <c r="Z243" t="s">
        <v>47</v>
      </c>
      <c r="AA243" t="s">
        <v>47</v>
      </c>
      <c r="AB243" t="s">
        <v>47</v>
      </c>
      <c r="AC243" t="b">
        <v>1</v>
      </c>
      <c r="AD243" t="s">
        <v>52</v>
      </c>
      <c r="AE243" t="s">
        <v>1652</v>
      </c>
      <c r="AF243" t="s">
        <v>1646</v>
      </c>
      <c r="AG243" t="s">
        <v>47</v>
      </c>
      <c r="AH243" t="s">
        <v>87</v>
      </c>
      <c r="AI243" s="2">
        <v>46160.598310185182</v>
      </c>
      <c r="AJ243" t="s">
        <v>47</v>
      </c>
      <c r="AK243" t="s">
        <v>47</v>
      </c>
      <c r="AL243" s="2">
        <v>46160.598310185182</v>
      </c>
      <c r="AM243" s="2">
        <v>46160.598310185182</v>
      </c>
    </row>
    <row r="244" spans="1:39" x14ac:dyDescent="0.3">
      <c r="A244" t="s">
        <v>1653</v>
      </c>
      <c r="B244" t="s">
        <v>1654</v>
      </c>
      <c r="C244" t="s">
        <v>41</v>
      </c>
      <c r="D244" t="s">
        <v>1655</v>
      </c>
      <c r="E244" t="s">
        <v>1656</v>
      </c>
      <c r="F244" t="s">
        <v>1657</v>
      </c>
      <c r="G244" t="s">
        <v>1658</v>
      </c>
      <c r="H244" t="s">
        <v>1659</v>
      </c>
      <c r="I244" t="s">
        <v>47</v>
      </c>
      <c r="J244" t="s">
        <v>47</v>
      </c>
      <c r="K244" t="s">
        <v>1660</v>
      </c>
      <c r="L244" t="s">
        <v>47</v>
      </c>
      <c r="M244" t="s">
        <v>47</v>
      </c>
      <c r="N244" s="1">
        <v>46051</v>
      </c>
      <c r="O244" s="1">
        <v>46051</v>
      </c>
      <c r="P244" t="s">
        <v>1661</v>
      </c>
      <c r="Q244" t="s">
        <v>50</v>
      </c>
      <c r="R244">
        <v>3</v>
      </c>
      <c r="S244" t="b">
        <v>1</v>
      </c>
      <c r="T244" t="s">
        <v>47</v>
      </c>
      <c r="U244" t="s">
        <v>47</v>
      </c>
      <c r="V244" t="s">
        <v>47</v>
      </c>
      <c r="W244" t="s">
        <v>47</v>
      </c>
      <c r="X244" t="s">
        <v>51</v>
      </c>
      <c r="Y244" t="b">
        <v>0</v>
      </c>
      <c r="Z244" t="s">
        <v>47</v>
      </c>
      <c r="AA244" t="s">
        <v>47</v>
      </c>
      <c r="AB244">
        <v>0.55000000000000004</v>
      </c>
      <c r="AC244" t="b">
        <v>1</v>
      </c>
      <c r="AD244" t="s">
        <v>52</v>
      </c>
      <c r="AE244" t="s">
        <v>1662</v>
      </c>
      <c r="AF244" t="s">
        <v>1655</v>
      </c>
      <c r="AG244" t="s">
        <v>1663</v>
      </c>
      <c r="AH244" t="s">
        <v>55</v>
      </c>
      <c r="AI244" s="2">
        <v>46160.25</v>
      </c>
      <c r="AJ244" t="s">
        <v>47</v>
      </c>
      <c r="AK244" t="s">
        <v>47</v>
      </c>
      <c r="AL244" s="2">
        <v>46160.479166666664</v>
      </c>
      <c r="AM244" s="2">
        <v>46160.479166666664</v>
      </c>
    </row>
    <row r="245" spans="1:39" x14ac:dyDescent="0.3">
      <c r="A245" t="s">
        <v>1664</v>
      </c>
      <c r="B245" t="s">
        <v>1665</v>
      </c>
      <c r="C245" t="s">
        <v>41</v>
      </c>
      <c r="D245" t="s">
        <v>1666</v>
      </c>
      <c r="E245" t="s">
        <v>1667</v>
      </c>
      <c r="F245" t="s">
        <v>172</v>
      </c>
      <c r="G245" t="s">
        <v>173</v>
      </c>
      <c r="H245" t="s">
        <v>1668</v>
      </c>
      <c r="I245" t="s">
        <v>47</v>
      </c>
      <c r="J245" t="s">
        <v>47</v>
      </c>
      <c r="K245" t="s">
        <v>130</v>
      </c>
      <c r="L245" t="s">
        <v>47</v>
      </c>
      <c r="M245" s="1">
        <v>46051</v>
      </c>
      <c r="N245" s="1">
        <v>46051</v>
      </c>
      <c r="O245" s="1">
        <v>46051</v>
      </c>
      <c r="P245" t="s">
        <v>49</v>
      </c>
      <c r="Q245" t="s">
        <v>50</v>
      </c>
      <c r="R245">
        <v>3</v>
      </c>
      <c r="S245" t="b">
        <v>1</v>
      </c>
      <c r="T245" t="s">
        <v>47</v>
      </c>
      <c r="U245" t="s">
        <v>47</v>
      </c>
      <c r="V245" t="s">
        <v>47</v>
      </c>
      <c r="W245" t="s">
        <v>47</v>
      </c>
      <c r="X245" t="s">
        <v>51</v>
      </c>
      <c r="Y245" t="b">
        <v>0</v>
      </c>
      <c r="Z245" t="s">
        <v>47</v>
      </c>
      <c r="AA245" t="s">
        <v>47</v>
      </c>
      <c r="AB245" t="s">
        <v>47</v>
      </c>
      <c r="AC245" t="b">
        <v>1</v>
      </c>
      <c r="AD245" t="s">
        <v>52</v>
      </c>
      <c r="AE245" t="s">
        <v>1669</v>
      </c>
      <c r="AF245" t="s">
        <v>1666</v>
      </c>
      <c r="AG245" t="s">
        <v>47</v>
      </c>
      <c r="AH245" t="s">
        <v>87</v>
      </c>
      <c r="AI245" s="2">
        <v>46160.565381944441</v>
      </c>
      <c r="AJ245" t="s">
        <v>47</v>
      </c>
      <c r="AK245" t="s">
        <v>47</v>
      </c>
      <c r="AL245" s="2">
        <v>46160.565381944441</v>
      </c>
      <c r="AM245" s="2">
        <v>46160.565381944441</v>
      </c>
    </row>
    <row r="246" spans="1:39" x14ac:dyDescent="0.3">
      <c r="A246" t="s">
        <v>1670</v>
      </c>
      <c r="B246" t="s">
        <v>1671</v>
      </c>
      <c r="C246" t="s">
        <v>41</v>
      </c>
      <c r="D246" t="s">
        <v>1672</v>
      </c>
      <c r="E246" t="s">
        <v>1673</v>
      </c>
      <c r="F246" t="s">
        <v>1674</v>
      </c>
      <c r="G246" t="s">
        <v>1675</v>
      </c>
      <c r="H246" t="s">
        <v>1676</v>
      </c>
      <c r="I246" t="s">
        <v>47</v>
      </c>
      <c r="J246" t="s">
        <v>47</v>
      </c>
      <c r="K246" t="s">
        <v>1677</v>
      </c>
      <c r="L246" t="s">
        <v>47</v>
      </c>
      <c r="M246" s="1">
        <v>46051</v>
      </c>
      <c r="N246" s="1">
        <v>46051</v>
      </c>
      <c r="O246" s="1">
        <v>46051</v>
      </c>
      <c r="P246" t="s">
        <v>1678</v>
      </c>
      <c r="Q246" t="s">
        <v>50</v>
      </c>
      <c r="R246">
        <v>1</v>
      </c>
      <c r="S246" t="b">
        <v>0</v>
      </c>
      <c r="T246" t="s">
        <v>47</v>
      </c>
      <c r="U246" t="s">
        <v>47</v>
      </c>
      <c r="V246" t="s">
        <v>47</v>
      </c>
      <c r="W246" t="s">
        <v>47</v>
      </c>
      <c r="X246" t="s">
        <v>51</v>
      </c>
      <c r="Y246" t="b">
        <v>0</v>
      </c>
      <c r="Z246" t="s">
        <v>47</v>
      </c>
      <c r="AA246" t="s">
        <v>47</v>
      </c>
      <c r="AB246" t="s">
        <v>47</v>
      </c>
      <c r="AC246" t="b">
        <v>1</v>
      </c>
      <c r="AD246" t="s">
        <v>52</v>
      </c>
      <c r="AE246" t="s">
        <v>1679</v>
      </c>
      <c r="AF246" t="s">
        <v>1672</v>
      </c>
      <c r="AG246" t="s">
        <v>47</v>
      </c>
      <c r="AH246" t="s">
        <v>87</v>
      </c>
      <c r="AI246" s="2">
        <v>46160.614004629628</v>
      </c>
      <c r="AJ246" t="s">
        <v>47</v>
      </c>
      <c r="AK246" t="s">
        <v>47</v>
      </c>
      <c r="AL246" s="2">
        <v>46160.614004629628</v>
      </c>
      <c r="AM246" s="2">
        <v>46160.614004629628</v>
      </c>
    </row>
    <row r="247" spans="1:39" x14ac:dyDescent="0.3">
      <c r="A247" t="s">
        <v>1680</v>
      </c>
      <c r="B247" t="s">
        <v>1681</v>
      </c>
      <c r="C247" t="s">
        <v>41</v>
      </c>
      <c r="D247" t="s">
        <v>1682</v>
      </c>
      <c r="E247" t="s">
        <v>1683</v>
      </c>
      <c r="F247" t="s">
        <v>1684</v>
      </c>
      <c r="G247" t="s">
        <v>1685</v>
      </c>
      <c r="H247" t="s">
        <v>1686</v>
      </c>
      <c r="I247" t="s">
        <v>47</v>
      </c>
      <c r="J247" t="s">
        <v>47</v>
      </c>
      <c r="K247" t="s">
        <v>130</v>
      </c>
      <c r="L247" t="s">
        <v>47</v>
      </c>
      <c r="M247" t="s">
        <v>47</v>
      </c>
      <c r="N247" s="1">
        <v>46051</v>
      </c>
      <c r="O247" s="1">
        <v>46051</v>
      </c>
      <c r="P247" t="s">
        <v>49</v>
      </c>
      <c r="Q247" t="s">
        <v>50</v>
      </c>
      <c r="R247">
        <v>3</v>
      </c>
      <c r="S247" t="b">
        <v>1</v>
      </c>
      <c r="T247" t="s">
        <v>47</v>
      </c>
      <c r="U247" t="s">
        <v>47</v>
      </c>
      <c r="V247" t="s">
        <v>47</v>
      </c>
      <c r="W247" t="s">
        <v>47</v>
      </c>
      <c r="X247" t="s">
        <v>51</v>
      </c>
      <c r="Y247" t="b">
        <v>0</v>
      </c>
      <c r="Z247" t="s">
        <v>47</v>
      </c>
      <c r="AA247" t="s">
        <v>47</v>
      </c>
      <c r="AB247">
        <v>0.6</v>
      </c>
      <c r="AC247" t="b">
        <v>1</v>
      </c>
      <c r="AD247" t="s">
        <v>52</v>
      </c>
      <c r="AE247" t="s">
        <v>1687</v>
      </c>
      <c r="AF247" t="s">
        <v>1682</v>
      </c>
      <c r="AG247" t="s">
        <v>1688</v>
      </c>
      <c r="AH247" t="s">
        <v>55</v>
      </c>
      <c r="AI247" s="2">
        <v>46160.270833333336</v>
      </c>
      <c r="AJ247" t="s">
        <v>47</v>
      </c>
      <c r="AK247" t="s">
        <v>47</v>
      </c>
      <c r="AL247" s="2">
        <v>46160.5</v>
      </c>
      <c r="AM247" s="2">
        <v>46160.5</v>
      </c>
    </row>
    <row r="248" spans="1:39" x14ac:dyDescent="0.3">
      <c r="A248" t="s">
        <v>1689</v>
      </c>
      <c r="B248" t="s">
        <v>1690</v>
      </c>
      <c r="C248" t="s">
        <v>41</v>
      </c>
      <c r="D248" t="s">
        <v>1691</v>
      </c>
      <c r="E248" t="s">
        <v>1692</v>
      </c>
      <c r="F248" t="s">
        <v>127</v>
      </c>
      <c r="G248" t="s">
        <v>128</v>
      </c>
      <c r="H248" t="s">
        <v>129</v>
      </c>
      <c r="I248" t="s">
        <v>47</v>
      </c>
      <c r="J248" t="s">
        <v>47</v>
      </c>
      <c r="K248" t="s">
        <v>130</v>
      </c>
      <c r="L248" t="s">
        <v>47</v>
      </c>
      <c r="M248" t="s">
        <v>47</v>
      </c>
      <c r="N248" s="1">
        <v>46050</v>
      </c>
      <c r="O248" s="1">
        <v>46050</v>
      </c>
      <c r="P248" t="s">
        <v>49</v>
      </c>
      <c r="Q248" t="s">
        <v>50</v>
      </c>
      <c r="R248">
        <v>3</v>
      </c>
      <c r="S248" t="b">
        <v>1</v>
      </c>
      <c r="T248" t="s">
        <v>47</v>
      </c>
      <c r="U248" t="s">
        <v>47</v>
      </c>
      <c r="V248" t="s">
        <v>47</v>
      </c>
      <c r="W248" t="s">
        <v>47</v>
      </c>
      <c r="X248" t="s">
        <v>51</v>
      </c>
      <c r="Y248" t="b">
        <v>0</v>
      </c>
      <c r="Z248" t="s">
        <v>47</v>
      </c>
      <c r="AA248" t="s">
        <v>47</v>
      </c>
      <c r="AB248">
        <v>0.6</v>
      </c>
      <c r="AC248" t="b">
        <v>1</v>
      </c>
      <c r="AD248" t="s">
        <v>52</v>
      </c>
      <c r="AE248" t="s">
        <v>1693</v>
      </c>
      <c r="AF248" t="s">
        <v>1691</v>
      </c>
      <c r="AG248" t="s">
        <v>1694</v>
      </c>
      <c r="AH248" t="s">
        <v>55</v>
      </c>
      <c r="AI248" s="2">
        <v>46160.173611111109</v>
      </c>
      <c r="AJ248" t="s">
        <v>47</v>
      </c>
      <c r="AK248" t="s">
        <v>47</v>
      </c>
      <c r="AL248" s="2">
        <v>46160.402777777781</v>
      </c>
      <c r="AM248" s="2">
        <v>46160.402777777781</v>
      </c>
    </row>
    <row r="249" spans="1:39" x14ac:dyDescent="0.3">
      <c r="A249" t="s">
        <v>1695</v>
      </c>
      <c r="B249" t="s">
        <v>1696</v>
      </c>
      <c r="C249" t="s">
        <v>41</v>
      </c>
      <c r="D249" t="s">
        <v>1697</v>
      </c>
      <c r="E249" t="s">
        <v>1698</v>
      </c>
      <c r="F249" t="s">
        <v>1699</v>
      </c>
      <c r="G249" t="s">
        <v>1700</v>
      </c>
      <c r="H249" t="s">
        <v>1701</v>
      </c>
      <c r="I249" t="s">
        <v>47</v>
      </c>
      <c r="J249" t="s">
        <v>47</v>
      </c>
      <c r="K249" t="s">
        <v>47</v>
      </c>
      <c r="L249" t="s">
        <v>47</v>
      </c>
      <c r="M249" t="s">
        <v>47</v>
      </c>
      <c r="N249" s="1">
        <v>46051</v>
      </c>
      <c r="O249" s="1">
        <v>46051</v>
      </c>
      <c r="P249" t="s">
        <v>621</v>
      </c>
      <c r="Q249" t="s">
        <v>184</v>
      </c>
      <c r="R249">
        <v>2</v>
      </c>
      <c r="S249" t="b">
        <v>1</v>
      </c>
      <c r="T249" t="s">
        <v>47</v>
      </c>
      <c r="U249" t="s">
        <v>47</v>
      </c>
      <c r="V249" t="s">
        <v>47</v>
      </c>
      <c r="W249" t="s">
        <v>47</v>
      </c>
      <c r="X249" t="s">
        <v>51</v>
      </c>
      <c r="Y249" t="b">
        <v>0</v>
      </c>
      <c r="Z249" t="s">
        <v>47</v>
      </c>
      <c r="AA249" t="s">
        <v>47</v>
      </c>
      <c r="AB249">
        <v>0.55000000000000004</v>
      </c>
      <c r="AC249" t="b">
        <v>1</v>
      </c>
      <c r="AD249" t="s">
        <v>52</v>
      </c>
      <c r="AE249" t="s">
        <v>1702</v>
      </c>
      <c r="AF249" t="s">
        <v>1697</v>
      </c>
      <c r="AG249" t="s">
        <v>1703</v>
      </c>
      <c r="AH249" t="s">
        <v>55</v>
      </c>
      <c r="AI249" s="2">
        <v>46160.229166666664</v>
      </c>
      <c r="AJ249" t="s">
        <v>47</v>
      </c>
      <c r="AK249" t="s">
        <v>47</v>
      </c>
      <c r="AL249" s="2">
        <v>46160.458333333336</v>
      </c>
      <c r="AM249" s="2">
        <v>46160.458333333336</v>
      </c>
    </row>
    <row r="250" spans="1:39" x14ac:dyDescent="0.3">
      <c r="A250" t="s">
        <v>1704</v>
      </c>
      <c r="B250" t="s">
        <v>1705</v>
      </c>
      <c r="C250" t="s">
        <v>41</v>
      </c>
      <c r="D250" t="s">
        <v>1706</v>
      </c>
      <c r="E250" t="s">
        <v>1707</v>
      </c>
      <c r="F250" t="s">
        <v>322</v>
      </c>
      <c r="G250" t="s">
        <v>323</v>
      </c>
      <c r="H250" t="s">
        <v>779</v>
      </c>
      <c r="I250" t="s">
        <v>47</v>
      </c>
      <c r="J250" t="s">
        <v>47</v>
      </c>
      <c r="K250" t="s">
        <v>253</v>
      </c>
      <c r="L250" t="s">
        <v>47</v>
      </c>
      <c r="M250" t="s">
        <v>47</v>
      </c>
      <c r="N250" s="1">
        <v>46052</v>
      </c>
      <c r="O250" s="1">
        <v>46052</v>
      </c>
      <c r="P250" t="s">
        <v>254</v>
      </c>
      <c r="Q250" t="s">
        <v>50</v>
      </c>
      <c r="R250">
        <v>1</v>
      </c>
      <c r="S250" t="b">
        <v>0</v>
      </c>
      <c r="T250" t="s">
        <v>47</v>
      </c>
      <c r="U250" t="s">
        <v>47</v>
      </c>
      <c r="V250" t="s">
        <v>47</v>
      </c>
      <c r="W250" t="s">
        <v>47</v>
      </c>
      <c r="X250" t="s">
        <v>51</v>
      </c>
      <c r="Y250" t="b">
        <v>0</v>
      </c>
      <c r="Z250" t="s">
        <v>47</v>
      </c>
      <c r="AA250" t="s">
        <v>47</v>
      </c>
      <c r="AC250" t="b">
        <v>1</v>
      </c>
      <c r="AD250" t="s">
        <v>52</v>
      </c>
      <c r="AE250" t="s">
        <v>1708</v>
      </c>
      <c r="AF250" t="s">
        <v>1706</v>
      </c>
      <c r="AG250" t="s">
        <v>1709</v>
      </c>
      <c r="AH250" t="s">
        <v>55</v>
      </c>
      <c r="AI250" s="2">
        <v>46160.201388888891</v>
      </c>
      <c r="AJ250" t="s">
        <v>47</v>
      </c>
      <c r="AK250" t="s">
        <v>47</v>
      </c>
      <c r="AL250" s="2">
        <v>46160.430555555555</v>
      </c>
      <c r="AM250" s="2">
        <v>46160.430555555555</v>
      </c>
    </row>
    <row r="251" spans="1:39" x14ac:dyDescent="0.3">
      <c r="A251" t="s">
        <v>1710</v>
      </c>
      <c r="B251" t="s">
        <v>1711</v>
      </c>
      <c r="C251" t="s">
        <v>41</v>
      </c>
      <c r="D251" t="s">
        <v>1712</v>
      </c>
      <c r="E251" t="s">
        <v>1713</v>
      </c>
      <c r="F251" t="s">
        <v>1714</v>
      </c>
      <c r="G251" t="s">
        <v>1715</v>
      </c>
      <c r="H251" t="s">
        <v>1716</v>
      </c>
      <c r="I251" t="s">
        <v>47</v>
      </c>
      <c r="J251" t="s">
        <v>47</v>
      </c>
      <c r="K251" t="s">
        <v>314</v>
      </c>
      <c r="L251" t="s">
        <v>47</v>
      </c>
      <c r="M251" t="s">
        <v>47</v>
      </c>
      <c r="N251" s="1">
        <v>46052</v>
      </c>
      <c r="O251" s="1">
        <v>46052</v>
      </c>
      <c r="P251" t="s">
        <v>315</v>
      </c>
      <c r="Q251" t="s">
        <v>50</v>
      </c>
      <c r="R251">
        <v>1</v>
      </c>
      <c r="S251" t="b">
        <v>0</v>
      </c>
      <c r="T251" t="s">
        <v>47</v>
      </c>
      <c r="U251" t="s">
        <v>47</v>
      </c>
      <c r="V251" t="s">
        <v>47</v>
      </c>
      <c r="W251" t="s">
        <v>47</v>
      </c>
      <c r="X251" t="s">
        <v>51</v>
      </c>
      <c r="Y251" t="b">
        <v>0</v>
      </c>
      <c r="Z251" t="s">
        <v>47</v>
      </c>
      <c r="AA251" t="s">
        <v>47</v>
      </c>
      <c r="AC251" t="b">
        <v>1</v>
      </c>
      <c r="AD251" t="s">
        <v>52</v>
      </c>
      <c r="AE251" t="s">
        <v>1717</v>
      </c>
      <c r="AF251" t="s">
        <v>1712</v>
      </c>
      <c r="AG251" t="s">
        <v>1718</v>
      </c>
      <c r="AH251" t="s">
        <v>55</v>
      </c>
      <c r="AI251" s="2">
        <v>46160.173611111109</v>
      </c>
      <c r="AJ251" t="s">
        <v>47</v>
      </c>
      <c r="AK251" t="s">
        <v>47</v>
      </c>
      <c r="AL251" s="2">
        <v>46160.402777777781</v>
      </c>
      <c r="AM251" s="2">
        <v>46160.402777777781</v>
      </c>
    </row>
    <row r="252" spans="1:39" x14ac:dyDescent="0.3">
      <c r="A252" t="s">
        <v>1719</v>
      </c>
      <c r="B252" t="s">
        <v>1720</v>
      </c>
      <c r="C252" t="s">
        <v>41</v>
      </c>
      <c r="D252" t="s">
        <v>1721</v>
      </c>
      <c r="E252" t="s">
        <v>1722</v>
      </c>
      <c r="F252" t="s">
        <v>1723</v>
      </c>
      <c r="G252" t="s">
        <v>1724</v>
      </c>
      <c r="H252" t="s">
        <v>1725</v>
      </c>
      <c r="I252" t="s">
        <v>47</v>
      </c>
      <c r="J252" t="s">
        <v>47</v>
      </c>
      <c r="K252" t="s">
        <v>1726</v>
      </c>
      <c r="L252" t="s">
        <v>47</v>
      </c>
      <c r="M252" s="1">
        <v>46052</v>
      </c>
      <c r="N252" s="1">
        <v>46052</v>
      </c>
      <c r="O252" s="1">
        <v>46052</v>
      </c>
      <c r="P252" t="s">
        <v>1139</v>
      </c>
      <c r="Q252" t="s">
        <v>76</v>
      </c>
      <c r="R252">
        <v>4</v>
      </c>
      <c r="S252" t="b">
        <v>1</v>
      </c>
      <c r="T252" t="s">
        <v>47</v>
      </c>
      <c r="U252" t="s">
        <v>47</v>
      </c>
      <c r="V252" t="s">
        <v>47</v>
      </c>
      <c r="W252" t="s">
        <v>47</v>
      </c>
      <c r="X252" t="s">
        <v>51</v>
      </c>
      <c r="Y252" t="b">
        <v>0</v>
      </c>
      <c r="Z252" t="s">
        <v>47</v>
      </c>
      <c r="AA252" t="s">
        <v>47</v>
      </c>
      <c r="AB252" t="s">
        <v>47</v>
      </c>
      <c r="AC252" t="b">
        <v>1</v>
      </c>
      <c r="AD252" t="s">
        <v>52</v>
      </c>
      <c r="AE252" t="s">
        <v>1727</v>
      </c>
      <c r="AF252" t="s">
        <v>1721</v>
      </c>
      <c r="AG252" t="s">
        <v>47</v>
      </c>
      <c r="AH252" t="s">
        <v>87</v>
      </c>
      <c r="AI252" s="2">
        <v>46160.565381944441</v>
      </c>
      <c r="AJ252" t="s">
        <v>47</v>
      </c>
      <c r="AK252" t="s">
        <v>47</v>
      </c>
      <c r="AL252" s="2">
        <v>46160.565381944441</v>
      </c>
      <c r="AM252" s="2">
        <v>46160.565381944441</v>
      </c>
    </row>
    <row r="253" spans="1:39" x14ac:dyDescent="0.3">
      <c r="A253" t="s">
        <v>1728</v>
      </c>
      <c r="B253" t="s">
        <v>1729</v>
      </c>
      <c r="C253" t="s">
        <v>41</v>
      </c>
      <c r="D253" t="s">
        <v>1730</v>
      </c>
      <c r="E253" t="s">
        <v>1731</v>
      </c>
      <c r="F253" t="s">
        <v>1732</v>
      </c>
      <c r="G253" t="s">
        <v>1733</v>
      </c>
      <c r="H253" t="s">
        <v>1734</v>
      </c>
      <c r="I253" t="s">
        <v>47</v>
      </c>
      <c r="J253" t="s">
        <v>47</v>
      </c>
      <c r="K253" t="s">
        <v>314</v>
      </c>
      <c r="L253" t="s">
        <v>47</v>
      </c>
      <c r="M253" t="s">
        <v>47</v>
      </c>
      <c r="N253" s="1">
        <v>46052</v>
      </c>
      <c r="O253" s="1">
        <v>46052</v>
      </c>
      <c r="P253" t="s">
        <v>315</v>
      </c>
      <c r="Q253" t="s">
        <v>50</v>
      </c>
      <c r="R253">
        <v>1</v>
      </c>
      <c r="S253" t="b">
        <v>0</v>
      </c>
      <c r="T253" t="s">
        <v>47</v>
      </c>
      <c r="U253" t="s">
        <v>47</v>
      </c>
      <c r="V253" t="s">
        <v>47</v>
      </c>
      <c r="W253" t="s">
        <v>47</v>
      </c>
      <c r="X253" t="s">
        <v>51</v>
      </c>
      <c r="Y253" t="b">
        <v>0</v>
      </c>
      <c r="Z253" t="s">
        <v>47</v>
      </c>
      <c r="AA253" t="s">
        <v>47</v>
      </c>
      <c r="AC253" t="b">
        <v>1</v>
      </c>
      <c r="AD253" t="s">
        <v>52</v>
      </c>
      <c r="AE253" t="s">
        <v>1735</v>
      </c>
      <c r="AF253" t="s">
        <v>1730</v>
      </c>
      <c r="AG253" t="s">
        <v>1736</v>
      </c>
      <c r="AH253" t="s">
        <v>55</v>
      </c>
      <c r="AI253" s="2">
        <v>46160.149305555555</v>
      </c>
      <c r="AJ253" t="s">
        <v>47</v>
      </c>
      <c r="AK253" t="s">
        <v>47</v>
      </c>
      <c r="AL253" s="2">
        <v>46160.171903877315</v>
      </c>
      <c r="AM253" s="2">
        <v>46160.171903877315</v>
      </c>
    </row>
    <row r="254" spans="1:39" x14ac:dyDescent="0.3">
      <c r="A254" t="s">
        <v>1737</v>
      </c>
      <c r="B254" t="s">
        <v>1738</v>
      </c>
      <c r="C254" t="s">
        <v>41</v>
      </c>
      <c r="D254" t="s">
        <v>1739</v>
      </c>
      <c r="E254" t="s">
        <v>1740</v>
      </c>
      <c r="F254" t="s">
        <v>322</v>
      </c>
      <c r="G254" t="s">
        <v>323</v>
      </c>
      <c r="H254" t="s">
        <v>779</v>
      </c>
      <c r="I254" t="s">
        <v>47</v>
      </c>
      <c r="J254" t="s">
        <v>47</v>
      </c>
      <c r="K254" t="s">
        <v>253</v>
      </c>
      <c r="L254" t="s">
        <v>47</v>
      </c>
      <c r="M254" t="s">
        <v>47</v>
      </c>
      <c r="N254" s="1">
        <v>46052</v>
      </c>
      <c r="O254" s="1">
        <v>46052</v>
      </c>
      <c r="P254" t="s">
        <v>254</v>
      </c>
      <c r="Q254" t="s">
        <v>50</v>
      </c>
      <c r="R254">
        <v>1</v>
      </c>
      <c r="S254" t="b">
        <v>0</v>
      </c>
      <c r="T254" t="s">
        <v>47</v>
      </c>
      <c r="U254" t="s">
        <v>47</v>
      </c>
      <c r="V254" t="s">
        <v>47</v>
      </c>
      <c r="W254" t="s">
        <v>47</v>
      </c>
      <c r="X254" t="s">
        <v>51</v>
      </c>
      <c r="Y254" t="b">
        <v>0</v>
      </c>
      <c r="Z254" t="s">
        <v>47</v>
      </c>
      <c r="AA254" t="s">
        <v>47</v>
      </c>
      <c r="AC254" t="b">
        <v>1</v>
      </c>
      <c r="AD254" t="s">
        <v>52</v>
      </c>
      <c r="AE254" t="s">
        <v>1741</v>
      </c>
      <c r="AF254" t="s">
        <v>1739</v>
      </c>
      <c r="AG254" t="s">
        <v>1742</v>
      </c>
      <c r="AH254" t="s">
        <v>55</v>
      </c>
      <c r="AI254" s="2">
        <v>46160.201388888891</v>
      </c>
      <c r="AJ254" t="s">
        <v>47</v>
      </c>
      <c r="AK254" t="s">
        <v>47</v>
      </c>
      <c r="AL254" s="2">
        <v>46160.430555555555</v>
      </c>
      <c r="AM254" s="2">
        <v>46160.430555555555</v>
      </c>
    </row>
    <row r="255" spans="1:39" x14ac:dyDescent="0.3">
      <c r="A255" t="s">
        <v>1743</v>
      </c>
      <c r="B255" t="s">
        <v>1744</v>
      </c>
      <c r="C255" t="s">
        <v>41</v>
      </c>
      <c r="D255" t="s">
        <v>1745</v>
      </c>
      <c r="E255" t="s">
        <v>1746</v>
      </c>
      <c r="F255" t="s">
        <v>322</v>
      </c>
      <c r="G255" t="s">
        <v>323</v>
      </c>
      <c r="H255" t="s">
        <v>779</v>
      </c>
      <c r="I255" t="s">
        <v>47</v>
      </c>
      <c r="J255" t="s">
        <v>47</v>
      </c>
      <c r="K255" t="s">
        <v>253</v>
      </c>
      <c r="L255" t="s">
        <v>47</v>
      </c>
      <c r="M255" t="s">
        <v>47</v>
      </c>
      <c r="N255" s="1">
        <v>46052</v>
      </c>
      <c r="O255" s="1">
        <v>46052</v>
      </c>
      <c r="P255" t="s">
        <v>254</v>
      </c>
      <c r="Q255" t="s">
        <v>50</v>
      </c>
      <c r="R255">
        <v>1</v>
      </c>
      <c r="S255" t="b">
        <v>0</v>
      </c>
      <c r="T255" t="s">
        <v>47</v>
      </c>
      <c r="U255" t="s">
        <v>47</v>
      </c>
      <c r="V255" t="s">
        <v>47</v>
      </c>
      <c r="W255" t="s">
        <v>47</v>
      </c>
      <c r="X255" t="s">
        <v>51</v>
      </c>
      <c r="Y255" t="b">
        <v>0</v>
      </c>
      <c r="Z255" t="s">
        <v>47</v>
      </c>
      <c r="AA255" t="s">
        <v>47</v>
      </c>
      <c r="AC255" t="b">
        <v>1</v>
      </c>
      <c r="AD255" t="s">
        <v>52</v>
      </c>
      <c r="AE255" t="s">
        <v>1747</v>
      </c>
      <c r="AF255" t="s">
        <v>1745</v>
      </c>
      <c r="AG255" t="s">
        <v>1748</v>
      </c>
      <c r="AH255" t="s">
        <v>55</v>
      </c>
      <c r="AI255" s="2">
        <v>46160.201388888891</v>
      </c>
      <c r="AJ255" t="s">
        <v>47</v>
      </c>
      <c r="AK255" t="s">
        <v>47</v>
      </c>
      <c r="AL255" s="2">
        <v>46160.430555555555</v>
      </c>
      <c r="AM255" s="2">
        <v>46160.430555555555</v>
      </c>
    </row>
    <row r="256" spans="1:39" x14ac:dyDescent="0.3">
      <c r="A256" t="s">
        <v>1749</v>
      </c>
      <c r="B256" t="s">
        <v>1750</v>
      </c>
      <c r="C256" t="s">
        <v>41</v>
      </c>
      <c r="D256" t="s">
        <v>1751</v>
      </c>
      <c r="E256" t="s">
        <v>1752</v>
      </c>
      <c r="F256" t="s">
        <v>180</v>
      </c>
      <c r="G256" t="s">
        <v>181</v>
      </c>
      <c r="H256" t="s">
        <v>182</v>
      </c>
      <c r="I256" t="s">
        <v>47</v>
      </c>
      <c r="J256" t="s">
        <v>47</v>
      </c>
      <c r="K256" t="s">
        <v>47</v>
      </c>
      <c r="L256" t="s">
        <v>47</v>
      </c>
      <c r="M256" t="s">
        <v>47</v>
      </c>
      <c r="N256" s="1">
        <v>46052</v>
      </c>
      <c r="O256" s="1">
        <v>46052</v>
      </c>
      <c r="P256" t="s">
        <v>183</v>
      </c>
      <c r="Q256" t="s">
        <v>184</v>
      </c>
      <c r="R256">
        <v>1</v>
      </c>
      <c r="S256" t="b">
        <v>0</v>
      </c>
      <c r="T256" t="s">
        <v>47</v>
      </c>
      <c r="U256" t="s">
        <v>47</v>
      </c>
      <c r="V256" t="s">
        <v>47</v>
      </c>
      <c r="W256" t="s">
        <v>47</v>
      </c>
      <c r="X256" t="s">
        <v>51</v>
      </c>
      <c r="Y256" t="b">
        <v>0</v>
      </c>
      <c r="Z256" t="s">
        <v>47</v>
      </c>
      <c r="AA256" t="s">
        <v>47</v>
      </c>
      <c r="AC256" t="b">
        <v>1</v>
      </c>
      <c r="AD256" t="s">
        <v>52</v>
      </c>
      <c r="AE256" t="s">
        <v>1753</v>
      </c>
      <c r="AF256" t="s">
        <v>1751</v>
      </c>
      <c r="AG256" t="s">
        <v>1754</v>
      </c>
      <c r="AH256" t="s">
        <v>55</v>
      </c>
      <c r="AI256" s="2">
        <v>46160.201388888891</v>
      </c>
      <c r="AJ256" t="s">
        <v>47</v>
      </c>
      <c r="AK256" t="s">
        <v>47</v>
      </c>
      <c r="AL256" s="2">
        <v>46160.430555555555</v>
      </c>
      <c r="AM256" s="2">
        <v>46160.430555555555</v>
      </c>
    </row>
    <row r="257" spans="1:39" x14ac:dyDescent="0.3">
      <c r="A257" t="s">
        <v>1755</v>
      </c>
      <c r="B257" t="s">
        <v>1756</v>
      </c>
      <c r="C257" t="s">
        <v>41</v>
      </c>
      <c r="D257" t="s">
        <v>1757</v>
      </c>
      <c r="E257" t="s">
        <v>1758</v>
      </c>
      <c r="F257" t="s">
        <v>1759</v>
      </c>
      <c r="G257" t="s">
        <v>1760</v>
      </c>
      <c r="H257" t="s">
        <v>1761</v>
      </c>
      <c r="I257" t="s">
        <v>47</v>
      </c>
      <c r="J257" t="s">
        <v>47</v>
      </c>
      <c r="K257" t="s">
        <v>1128</v>
      </c>
      <c r="L257" t="s">
        <v>47</v>
      </c>
      <c r="M257" s="1">
        <v>46053</v>
      </c>
      <c r="N257" s="1">
        <v>46053</v>
      </c>
      <c r="O257" s="1">
        <v>46053</v>
      </c>
      <c r="P257" t="s">
        <v>465</v>
      </c>
      <c r="Q257" t="s">
        <v>371</v>
      </c>
      <c r="R257">
        <v>4</v>
      </c>
      <c r="S257" t="b">
        <v>1</v>
      </c>
      <c r="T257" t="s">
        <v>47</v>
      </c>
      <c r="U257" t="s">
        <v>47</v>
      </c>
      <c r="V257" t="s">
        <v>47</v>
      </c>
      <c r="W257" t="s">
        <v>47</v>
      </c>
      <c r="X257" t="s">
        <v>51</v>
      </c>
      <c r="Y257" t="b">
        <v>0</v>
      </c>
      <c r="Z257" t="s">
        <v>47</v>
      </c>
      <c r="AA257" t="s">
        <v>47</v>
      </c>
      <c r="AB257" t="s">
        <v>47</v>
      </c>
      <c r="AC257" t="b">
        <v>1</v>
      </c>
      <c r="AD257" t="s">
        <v>52</v>
      </c>
      <c r="AE257" t="s">
        <v>1762</v>
      </c>
      <c r="AF257" t="s">
        <v>1757</v>
      </c>
      <c r="AG257" t="s">
        <v>47</v>
      </c>
      <c r="AH257" t="s">
        <v>87</v>
      </c>
      <c r="AI257" s="2">
        <v>46160.614004629628</v>
      </c>
      <c r="AJ257" t="s">
        <v>47</v>
      </c>
      <c r="AK257" t="s">
        <v>47</v>
      </c>
      <c r="AL257" s="2">
        <v>46160.614004629628</v>
      </c>
      <c r="AM257" s="2">
        <v>46160.614004629628</v>
      </c>
    </row>
    <row r="258" spans="1:39" x14ac:dyDescent="0.3">
      <c r="A258" t="s">
        <v>1763</v>
      </c>
      <c r="B258" t="s">
        <v>1764</v>
      </c>
      <c r="C258" t="s">
        <v>41</v>
      </c>
      <c r="D258" t="s">
        <v>1765</v>
      </c>
      <c r="E258" t="s">
        <v>1766</v>
      </c>
      <c r="F258" t="s">
        <v>1767</v>
      </c>
      <c r="G258" t="s">
        <v>1768</v>
      </c>
      <c r="H258" t="s">
        <v>1769</v>
      </c>
      <c r="I258" t="s">
        <v>47</v>
      </c>
      <c r="J258" t="s">
        <v>47</v>
      </c>
      <c r="K258" t="s">
        <v>1770</v>
      </c>
      <c r="L258" t="s">
        <v>47</v>
      </c>
      <c r="M258" s="1">
        <v>46054</v>
      </c>
      <c r="N258" s="1">
        <v>46054</v>
      </c>
      <c r="O258" s="1">
        <v>46054</v>
      </c>
      <c r="P258" t="s">
        <v>1771</v>
      </c>
      <c r="Q258" t="s">
        <v>371</v>
      </c>
      <c r="R258">
        <v>3</v>
      </c>
      <c r="S258" t="b">
        <v>1</v>
      </c>
      <c r="T258" t="s">
        <v>1772</v>
      </c>
      <c r="U258" t="s">
        <v>47</v>
      </c>
      <c r="V258" t="s">
        <v>47</v>
      </c>
      <c r="W258" t="s">
        <v>47</v>
      </c>
      <c r="X258" t="s">
        <v>51</v>
      </c>
      <c r="Y258" t="b">
        <v>0</v>
      </c>
      <c r="Z258" t="s">
        <v>47</v>
      </c>
      <c r="AA258" t="s">
        <v>47</v>
      </c>
      <c r="AB258" t="s">
        <v>47</v>
      </c>
      <c r="AC258" t="b">
        <v>1</v>
      </c>
      <c r="AD258" t="s">
        <v>52</v>
      </c>
      <c r="AE258" t="s">
        <v>1773</v>
      </c>
      <c r="AF258" t="s">
        <v>1765</v>
      </c>
      <c r="AG258" t="s">
        <v>47</v>
      </c>
      <c r="AH258" t="s">
        <v>87</v>
      </c>
      <c r="AI258" s="2">
        <v>46160.565381944441</v>
      </c>
      <c r="AJ258" t="s">
        <v>47</v>
      </c>
      <c r="AK258" t="s">
        <v>47</v>
      </c>
      <c r="AL258" s="2">
        <v>46160.565381944441</v>
      </c>
      <c r="AM258" s="2">
        <v>46160.565381944441</v>
      </c>
    </row>
    <row r="259" spans="1:39" x14ac:dyDescent="0.3">
      <c r="A259" t="s">
        <v>1774</v>
      </c>
      <c r="B259" t="s">
        <v>1775</v>
      </c>
      <c r="C259" t="s">
        <v>41</v>
      </c>
      <c r="D259" t="s">
        <v>1776</v>
      </c>
      <c r="E259" t="s">
        <v>1777</v>
      </c>
      <c r="F259" t="s">
        <v>180</v>
      </c>
      <c r="G259" t="s">
        <v>181</v>
      </c>
      <c r="H259" t="s">
        <v>182</v>
      </c>
      <c r="I259" t="s">
        <v>47</v>
      </c>
      <c r="J259" t="s">
        <v>47</v>
      </c>
      <c r="K259" t="s">
        <v>47</v>
      </c>
      <c r="L259" t="s">
        <v>47</v>
      </c>
      <c r="M259" t="s">
        <v>47</v>
      </c>
      <c r="N259" s="1">
        <v>46052</v>
      </c>
      <c r="O259" s="1">
        <v>46052</v>
      </c>
      <c r="P259" t="s">
        <v>183</v>
      </c>
      <c r="Q259" t="s">
        <v>184</v>
      </c>
      <c r="R259">
        <v>1</v>
      </c>
      <c r="S259" t="b">
        <v>0</v>
      </c>
      <c r="T259" t="s">
        <v>47</v>
      </c>
      <c r="U259" t="s">
        <v>47</v>
      </c>
      <c r="V259" t="s">
        <v>47</v>
      </c>
      <c r="W259" t="s">
        <v>47</v>
      </c>
      <c r="X259" t="s">
        <v>51</v>
      </c>
      <c r="Y259" t="b">
        <v>0</v>
      </c>
      <c r="Z259" t="s">
        <v>47</v>
      </c>
      <c r="AA259" t="s">
        <v>47</v>
      </c>
      <c r="AC259" t="b">
        <v>1</v>
      </c>
      <c r="AD259" t="s">
        <v>52</v>
      </c>
      <c r="AE259" t="s">
        <v>1778</v>
      </c>
      <c r="AF259" t="s">
        <v>1776</v>
      </c>
      <c r="AG259" t="s">
        <v>1779</v>
      </c>
      <c r="AH259" t="s">
        <v>55</v>
      </c>
      <c r="AI259" s="2">
        <v>46160.229166666664</v>
      </c>
      <c r="AJ259" t="s">
        <v>47</v>
      </c>
      <c r="AK259" t="s">
        <v>47</v>
      </c>
      <c r="AL259" s="2">
        <v>46160.458333333336</v>
      </c>
      <c r="AM259" s="2">
        <v>46160.458333333336</v>
      </c>
    </row>
    <row r="260" spans="1:39" x14ac:dyDescent="0.3">
      <c r="A260" t="s">
        <v>1780</v>
      </c>
      <c r="B260" t="s">
        <v>1781</v>
      </c>
      <c r="C260" t="s">
        <v>41</v>
      </c>
      <c r="D260" t="s">
        <v>1782</v>
      </c>
      <c r="E260" t="s">
        <v>1783</v>
      </c>
      <c r="F260" t="s">
        <v>1784</v>
      </c>
      <c r="G260" t="s">
        <v>1785</v>
      </c>
      <c r="H260" t="s">
        <v>1786</v>
      </c>
      <c r="I260" t="s">
        <v>47</v>
      </c>
      <c r="J260" t="s">
        <v>47</v>
      </c>
      <c r="K260" t="s">
        <v>369</v>
      </c>
      <c r="L260" t="s">
        <v>47</v>
      </c>
      <c r="M260" t="s">
        <v>47</v>
      </c>
      <c r="N260" s="1">
        <v>46053</v>
      </c>
      <c r="O260" s="1">
        <v>46053</v>
      </c>
      <c r="P260" t="s">
        <v>370</v>
      </c>
      <c r="Q260" t="s">
        <v>371</v>
      </c>
      <c r="R260">
        <v>4</v>
      </c>
      <c r="S260" t="b">
        <v>1</v>
      </c>
      <c r="T260" t="s">
        <v>47</v>
      </c>
      <c r="U260" t="s">
        <v>1787</v>
      </c>
      <c r="V260" t="s">
        <v>47</v>
      </c>
      <c r="W260" t="s">
        <v>47</v>
      </c>
      <c r="X260" t="s">
        <v>51</v>
      </c>
      <c r="Y260" t="b">
        <v>0</v>
      </c>
      <c r="Z260" t="s">
        <v>47</v>
      </c>
      <c r="AA260" t="s">
        <v>47</v>
      </c>
      <c r="AB260">
        <v>0.95</v>
      </c>
      <c r="AC260" t="b">
        <v>1</v>
      </c>
      <c r="AD260" t="s">
        <v>52</v>
      </c>
      <c r="AE260" t="s">
        <v>1788</v>
      </c>
      <c r="AF260" t="s">
        <v>1782</v>
      </c>
      <c r="AG260" t="s">
        <v>1789</v>
      </c>
      <c r="AH260" t="s">
        <v>55</v>
      </c>
      <c r="AI260" s="2">
        <v>46160.201388888891</v>
      </c>
      <c r="AJ260" t="s">
        <v>47</v>
      </c>
      <c r="AK260" t="s">
        <v>47</v>
      </c>
      <c r="AL260" s="2">
        <v>46160.430555555555</v>
      </c>
      <c r="AM260" s="2">
        <v>46160.430555555555</v>
      </c>
    </row>
    <row r="261" spans="1:39" x14ac:dyDescent="0.3">
      <c r="A261" t="s">
        <v>1790</v>
      </c>
      <c r="B261" t="s">
        <v>1791</v>
      </c>
      <c r="C261" t="s">
        <v>41</v>
      </c>
      <c r="D261" t="s">
        <v>1792</v>
      </c>
      <c r="E261" t="s">
        <v>1793</v>
      </c>
      <c r="F261" t="s">
        <v>1552</v>
      </c>
      <c r="G261" t="s">
        <v>1553</v>
      </c>
      <c r="H261" t="s">
        <v>1794</v>
      </c>
      <c r="I261" t="s">
        <v>47</v>
      </c>
      <c r="J261" t="s">
        <v>47</v>
      </c>
      <c r="K261" t="s">
        <v>47</v>
      </c>
      <c r="L261" t="s">
        <v>47</v>
      </c>
      <c r="M261" t="s">
        <v>47</v>
      </c>
      <c r="N261" s="1">
        <v>46055</v>
      </c>
      <c r="O261" s="1">
        <v>46055</v>
      </c>
      <c r="P261" t="s">
        <v>219</v>
      </c>
      <c r="Q261" t="s">
        <v>50</v>
      </c>
      <c r="R261">
        <v>2</v>
      </c>
      <c r="S261" t="b">
        <v>1</v>
      </c>
      <c r="T261" t="s">
        <v>47</v>
      </c>
      <c r="U261" t="s">
        <v>47</v>
      </c>
      <c r="V261" t="s">
        <v>47</v>
      </c>
      <c r="W261" t="s">
        <v>47</v>
      </c>
      <c r="X261" t="s">
        <v>51</v>
      </c>
      <c r="Y261" t="b">
        <v>0</v>
      </c>
      <c r="Z261" t="s">
        <v>47</v>
      </c>
      <c r="AA261" t="s">
        <v>47</v>
      </c>
      <c r="AB261">
        <v>0.55000000000000004</v>
      </c>
      <c r="AC261" t="b">
        <v>1</v>
      </c>
      <c r="AD261" t="s">
        <v>52</v>
      </c>
      <c r="AE261" t="s">
        <v>1795</v>
      </c>
      <c r="AF261" t="s">
        <v>1792</v>
      </c>
      <c r="AG261" t="s">
        <v>1796</v>
      </c>
      <c r="AH261" t="s">
        <v>55</v>
      </c>
      <c r="AI261" s="2">
        <v>46160.25</v>
      </c>
      <c r="AJ261" t="s">
        <v>47</v>
      </c>
      <c r="AK261" t="s">
        <v>47</v>
      </c>
      <c r="AL261" s="2">
        <v>46160.479166666664</v>
      </c>
      <c r="AM261" s="2">
        <v>46160.479166666664</v>
      </c>
    </row>
    <row r="262" spans="1:39" x14ac:dyDescent="0.3">
      <c r="A262" t="s">
        <v>1797</v>
      </c>
      <c r="B262" t="s">
        <v>1798</v>
      </c>
      <c r="C262" t="s">
        <v>41</v>
      </c>
      <c r="D262" t="s">
        <v>1799</v>
      </c>
      <c r="E262" t="s">
        <v>1800</v>
      </c>
      <c r="F262" t="s">
        <v>1801</v>
      </c>
      <c r="G262" t="s">
        <v>1802</v>
      </c>
      <c r="H262" t="s">
        <v>1803</v>
      </c>
      <c r="I262" t="s">
        <v>47</v>
      </c>
      <c r="J262" t="s">
        <v>47</v>
      </c>
      <c r="K262" t="s">
        <v>1804</v>
      </c>
      <c r="L262" t="s">
        <v>47</v>
      </c>
      <c r="M262" s="1">
        <v>46055</v>
      </c>
      <c r="N262" s="1">
        <v>46055</v>
      </c>
      <c r="O262" s="1">
        <v>46055</v>
      </c>
      <c r="P262" t="s">
        <v>1139</v>
      </c>
      <c r="Q262" t="s">
        <v>76</v>
      </c>
      <c r="R262">
        <v>4</v>
      </c>
      <c r="S262" t="b">
        <v>1</v>
      </c>
      <c r="T262" t="s">
        <v>47</v>
      </c>
      <c r="U262" t="s">
        <v>47</v>
      </c>
      <c r="V262" t="s">
        <v>47</v>
      </c>
      <c r="W262" t="s">
        <v>47</v>
      </c>
      <c r="X262" t="s">
        <v>51</v>
      </c>
      <c r="Y262" t="b">
        <v>0</v>
      </c>
      <c r="Z262" t="s">
        <v>47</v>
      </c>
      <c r="AA262" t="s">
        <v>47</v>
      </c>
      <c r="AB262" t="s">
        <v>47</v>
      </c>
      <c r="AC262" t="b">
        <v>1</v>
      </c>
      <c r="AD262" t="s">
        <v>52</v>
      </c>
      <c r="AE262" t="s">
        <v>1805</v>
      </c>
      <c r="AF262" t="s">
        <v>1799</v>
      </c>
      <c r="AG262" t="s">
        <v>47</v>
      </c>
      <c r="AH262" t="s">
        <v>87</v>
      </c>
      <c r="AI262" s="2">
        <v>46160.565381944441</v>
      </c>
      <c r="AJ262" t="s">
        <v>47</v>
      </c>
      <c r="AK262" t="s">
        <v>47</v>
      </c>
      <c r="AL262" s="2">
        <v>46160.565381944441</v>
      </c>
      <c r="AM262" s="2">
        <v>46160.565381944441</v>
      </c>
    </row>
    <row r="263" spans="1:39" x14ac:dyDescent="0.3">
      <c r="A263" t="s">
        <v>1806</v>
      </c>
      <c r="B263" t="s">
        <v>1807</v>
      </c>
      <c r="C263" t="s">
        <v>41</v>
      </c>
      <c r="D263" t="s">
        <v>1808</v>
      </c>
      <c r="E263" t="s">
        <v>1809</v>
      </c>
      <c r="F263" t="s">
        <v>107</v>
      </c>
      <c r="G263" t="s">
        <v>108</v>
      </c>
      <c r="H263" t="s">
        <v>1810</v>
      </c>
      <c r="I263" t="s">
        <v>47</v>
      </c>
      <c r="J263" t="s">
        <v>47</v>
      </c>
      <c r="K263" t="s">
        <v>48</v>
      </c>
      <c r="L263" t="s">
        <v>47</v>
      </c>
      <c r="M263" t="s">
        <v>47</v>
      </c>
      <c r="N263" s="1">
        <v>46055</v>
      </c>
      <c r="O263" s="1">
        <v>46055</v>
      </c>
      <c r="P263" t="s">
        <v>49</v>
      </c>
      <c r="Q263" t="s">
        <v>50</v>
      </c>
      <c r="R263">
        <v>2</v>
      </c>
      <c r="S263" t="b">
        <v>0</v>
      </c>
      <c r="T263" t="s">
        <v>47</v>
      </c>
      <c r="U263" t="s">
        <v>47</v>
      </c>
      <c r="V263" t="s">
        <v>47</v>
      </c>
      <c r="W263" t="s">
        <v>47</v>
      </c>
      <c r="X263" t="s">
        <v>51</v>
      </c>
      <c r="Y263" t="b">
        <v>0</v>
      </c>
      <c r="Z263" t="s">
        <v>47</v>
      </c>
      <c r="AA263" t="s">
        <v>47</v>
      </c>
      <c r="AC263" t="b">
        <v>1</v>
      </c>
      <c r="AD263" t="s">
        <v>52</v>
      </c>
      <c r="AE263" t="s">
        <v>1811</v>
      </c>
      <c r="AF263" t="s">
        <v>1808</v>
      </c>
      <c r="AG263" t="s">
        <v>1812</v>
      </c>
      <c r="AH263" t="s">
        <v>55</v>
      </c>
      <c r="AI263" s="2">
        <v>46160.270833333336</v>
      </c>
      <c r="AJ263" t="s">
        <v>47</v>
      </c>
      <c r="AK263" t="s">
        <v>47</v>
      </c>
      <c r="AL263" s="2">
        <v>46160.5</v>
      </c>
      <c r="AM263" s="2">
        <v>46160.5</v>
      </c>
    </row>
    <row r="264" spans="1:39" x14ac:dyDescent="0.3">
      <c r="A264" t="s">
        <v>1813</v>
      </c>
      <c r="B264" t="s">
        <v>1814</v>
      </c>
      <c r="C264" t="s">
        <v>41</v>
      </c>
      <c r="D264" t="s">
        <v>1815</v>
      </c>
      <c r="E264" t="s">
        <v>1816</v>
      </c>
      <c r="F264" t="s">
        <v>83</v>
      </c>
      <c r="G264" t="s">
        <v>84</v>
      </c>
      <c r="H264" t="s">
        <v>85</v>
      </c>
      <c r="I264" t="s">
        <v>47</v>
      </c>
      <c r="J264" t="s">
        <v>47</v>
      </c>
      <c r="K264" t="s">
        <v>48</v>
      </c>
      <c r="L264" t="s">
        <v>47</v>
      </c>
      <c r="M264" s="1">
        <v>46055</v>
      </c>
      <c r="N264" s="1">
        <v>46055</v>
      </c>
      <c r="O264" s="1">
        <v>46055</v>
      </c>
      <c r="P264" t="s">
        <v>49</v>
      </c>
      <c r="Q264" t="s">
        <v>50</v>
      </c>
      <c r="R264">
        <v>2</v>
      </c>
      <c r="S264" t="b">
        <v>0</v>
      </c>
      <c r="T264" t="s">
        <v>47</v>
      </c>
      <c r="U264" t="s">
        <v>47</v>
      </c>
      <c r="V264" t="s">
        <v>47</v>
      </c>
      <c r="W264" t="s">
        <v>47</v>
      </c>
      <c r="X264" t="s">
        <v>51</v>
      </c>
      <c r="Y264" t="b">
        <v>0</v>
      </c>
      <c r="Z264" t="s">
        <v>47</v>
      </c>
      <c r="AA264" t="s">
        <v>47</v>
      </c>
      <c r="AB264" t="s">
        <v>47</v>
      </c>
      <c r="AC264" t="b">
        <v>1</v>
      </c>
      <c r="AD264" t="s">
        <v>52</v>
      </c>
      <c r="AE264" t="s">
        <v>1817</v>
      </c>
      <c r="AF264" t="s">
        <v>1815</v>
      </c>
      <c r="AG264" t="s">
        <v>47</v>
      </c>
      <c r="AH264" t="s">
        <v>87</v>
      </c>
      <c r="AI264" s="2">
        <v>46160.614004629628</v>
      </c>
      <c r="AJ264" t="s">
        <v>47</v>
      </c>
      <c r="AK264" t="s">
        <v>47</v>
      </c>
      <c r="AL264" s="2">
        <v>46160.614004629628</v>
      </c>
      <c r="AM264" s="2">
        <v>46160.614004629628</v>
      </c>
    </row>
    <row r="265" spans="1:39" x14ac:dyDescent="0.3">
      <c r="A265" t="s">
        <v>1818</v>
      </c>
      <c r="B265" t="s">
        <v>1819</v>
      </c>
      <c r="C265" t="s">
        <v>41</v>
      </c>
      <c r="D265" t="s">
        <v>1820</v>
      </c>
      <c r="E265" t="s">
        <v>1821</v>
      </c>
      <c r="F265" t="s">
        <v>1822</v>
      </c>
      <c r="G265" t="s">
        <v>1823</v>
      </c>
      <c r="H265" t="s">
        <v>1824</v>
      </c>
      <c r="I265" t="s">
        <v>47</v>
      </c>
      <c r="J265" t="s">
        <v>47</v>
      </c>
      <c r="K265" t="s">
        <v>47</v>
      </c>
      <c r="L265" t="s">
        <v>47</v>
      </c>
      <c r="M265" t="s">
        <v>47</v>
      </c>
      <c r="N265" s="1">
        <v>46055</v>
      </c>
      <c r="O265" s="1">
        <v>46055</v>
      </c>
      <c r="P265" t="s">
        <v>1771</v>
      </c>
      <c r="Q265" t="s">
        <v>184</v>
      </c>
      <c r="R265">
        <v>2</v>
      </c>
      <c r="S265" t="b">
        <v>1</v>
      </c>
      <c r="T265" t="s">
        <v>47</v>
      </c>
      <c r="U265" t="s">
        <v>47</v>
      </c>
      <c r="V265" t="s">
        <v>47</v>
      </c>
      <c r="W265" t="s">
        <v>47</v>
      </c>
      <c r="X265" t="s">
        <v>51</v>
      </c>
      <c r="Y265" t="b">
        <v>0</v>
      </c>
      <c r="Z265" t="s">
        <v>47</v>
      </c>
      <c r="AA265" t="s">
        <v>47</v>
      </c>
      <c r="AB265">
        <v>0.5</v>
      </c>
      <c r="AC265" t="b">
        <v>1</v>
      </c>
      <c r="AD265" t="s">
        <v>52</v>
      </c>
      <c r="AE265" t="s">
        <v>1825</v>
      </c>
      <c r="AF265" t="s">
        <v>1820</v>
      </c>
      <c r="AG265" t="s">
        <v>1826</v>
      </c>
      <c r="AH265" t="s">
        <v>55</v>
      </c>
      <c r="AI265" s="2">
        <v>46160.173611111109</v>
      </c>
      <c r="AJ265" t="s">
        <v>47</v>
      </c>
      <c r="AK265" t="s">
        <v>47</v>
      </c>
      <c r="AL265" s="2">
        <v>46160.402777777781</v>
      </c>
      <c r="AM265" s="2">
        <v>46160.402777777781</v>
      </c>
    </row>
    <row r="266" spans="1:39" x14ac:dyDescent="0.3">
      <c r="A266" t="s">
        <v>1827</v>
      </c>
      <c r="B266" t="s">
        <v>1828</v>
      </c>
      <c r="C266" t="s">
        <v>41</v>
      </c>
      <c r="D266" t="s">
        <v>1829</v>
      </c>
      <c r="E266" t="s">
        <v>1830</v>
      </c>
      <c r="F266" t="s">
        <v>718</v>
      </c>
      <c r="G266" t="s">
        <v>719</v>
      </c>
      <c r="H266" t="s">
        <v>720</v>
      </c>
      <c r="I266" t="s">
        <v>47</v>
      </c>
      <c r="J266" t="s">
        <v>47</v>
      </c>
      <c r="K266" t="s">
        <v>721</v>
      </c>
      <c r="L266" t="s">
        <v>47</v>
      </c>
      <c r="M266" s="1">
        <v>46055</v>
      </c>
      <c r="N266" s="1">
        <v>46055</v>
      </c>
      <c r="O266" s="1">
        <v>46055</v>
      </c>
      <c r="P266" t="s">
        <v>722</v>
      </c>
      <c r="Q266" t="s">
        <v>50</v>
      </c>
      <c r="R266">
        <v>3</v>
      </c>
      <c r="S266" t="b">
        <v>1</v>
      </c>
      <c r="T266" t="s">
        <v>47</v>
      </c>
      <c r="U266" t="s">
        <v>47</v>
      </c>
      <c r="V266" t="s">
        <v>47</v>
      </c>
      <c r="W266" t="s">
        <v>47</v>
      </c>
      <c r="X266" t="s">
        <v>51</v>
      </c>
      <c r="Y266" t="b">
        <v>0</v>
      </c>
      <c r="Z266" t="s">
        <v>47</v>
      </c>
      <c r="AA266" t="s">
        <v>47</v>
      </c>
      <c r="AB266" t="s">
        <v>47</v>
      </c>
      <c r="AC266" t="b">
        <v>1</v>
      </c>
      <c r="AD266" t="s">
        <v>52</v>
      </c>
      <c r="AE266" t="s">
        <v>1831</v>
      </c>
      <c r="AF266" t="s">
        <v>1829</v>
      </c>
      <c r="AG266" t="s">
        <v>47</v>
      </c>
      <c r="AH266" t="s">
        <v>87</v>
      </c>
      <c r="AI266" s="2">
        <v>46160.598310185182</v>
      </c>
      <c r="AJ266" t="s">
        <v>47</v>
      </c>
      <c r="AK266" t="s">
        <v>47</v>
      </c>
      <c r="AL266" s="2">
        <v>46160.598310185182</v>
      </c>
      <c r="AM266" s="2">
        <v>46160.598310185182</v>
      </c>
    </row>
    <row r="267" spans="1:39" x14ac:dyDescent="0.3">
      <c r="A267" t="s">
        <v>1832</v>
      </c>
      <c r="B267" t="s">
        <v>1833</v>
      </c>
      <c r="C267" t="s">
        <v>41</v>
      </c>
      <c r="D267" t="s">
        <v>1834</v>
      </c>
      <c r="E267" t="s">
        <v>1835</v>
      </c>
      <c r="F267" t="s">
        <v>107</v>
      </c>
      <c r="G267" t="s">
        <v>108</v>
      </c>
      <c r="H267" t="s">
        <v>109</v>
      </c>
      <c r="I267" t="s">
        <v>47</v>
      </c>
      <c r="J267" t="s">
        <v>47</v>
      </c>
      <c r="K267" t="s">
        <v>48</v>
      </c>
      <c r="L267" t="s">
        <v>47</v>
      </c>
      <c r="M267" t="s">
        <v>47</v>
      </c>
      <c r="N267" s="1">
        <v>46055</v>
      </c>
      <c r="O267" s="1">
        <v>46055</v>
      </c>
      <c r="P267" t="s">
        <v>49</v>
      </c>
      <c r="Q267" t="s">
        <v>50</v>
      </c>
      <c r="R267">
        <v>2</v>
      </c>
      <c r="S267" t="b">
        <v>0</v>
      </c>
      <c r="T267" t="s">
        <v>47</v>
      </c>
      <c r="U267" t="s">
        <v>47</v>
      </c>
      <c r="V267" t="s">
        <v>47</v>
      </c>
      <c r="W267" t="s">
        <v>47</v>
      </c>
      <c r="X267" t="s">
        <v>51</v>
      </c>
      <c r="Y267" t="b">
        <v>0</v>
      </c>
      <c r="Z267" t="s">
        <v>47</v>
      </c>
      <c r="AA267" t="s">
        <v>47</v>
      </c>
      <c r="AC267" t="b">
        <v>1</v>
      </c>
      <c r="AD267" t="s">
        <v>52</v>
      </c>
      <c r="AE267" t="s">
        <v>1836</v>
      </c>
      <c r="AF267" t="s">
        <v>1834</v>
      </c>
      <c r="AG267" t="s">
        <v>1837</v>
      </c>
      <c r="AH267" t="s">
        <v>55</v>
      </c>
      <c r="AI267" s="2">
        <v>46160.25</v>
      </c>
      <c r="AJ267" t="s">
        <v>47</v>
      </c>
      <c r="AK267" t="s">
        <v>47</v>
      </c>
      <c r="AL267" s="2">
        <v>46160.479166666664</v>
      </c>
      <c r="AM267" s="2">
        <v>46160.479166666664</v>
      </c>
    </row>
    <row r="268" spans="1:39" x14ac:dyDescent="0.3">
      <c r="A268" t="s">
        <v>1838</v>
      </c>
      <c r="B268" t="s">
        <v>1839</v>
      </c>
      <c r="C268" t="s">
        <v>41</v>
      </c>
      <c r="D268" t="s">
        <v>1840</v>
      </c>
      <c r="E268" t="s">
        <v>1841</v>
      </c>
      <c r="F268" t="s">
        <v>107</v>
      </c>
      <c r="G268" t="s">
        <v>108</v>
      </c>
      <c r="H268" t="s">
        <v>109</v>
      </c>
      <c r="I268" t="s">
        <v>47</v>
      </c>
      <c r="J268" t="s">
        <v>47</v>
      </c>
      <c r="K268" t="s">
        <v>48</v>
      </c>
      <c r="L268" t="s">
        <v>47</v>
      </c>
      <c r="M268" t="s">
        <v>47</v>
      </c>
      <c r="N268" s="1">
        <v>46055</v>
      </c>
      <c r="O268" s="1">
        <v>46055</v>
      </c>
      <c r="P268" t="s">
        <v>49</v>
      </c>
      <c r="Q268" t="s">
        <v>50</v>
      </c>
      <c r="R268">
        <v>2</v>
      </c>
      <c r="S268" t="b">
        <v>0</v>
      </c>
      <c r="T268" t="s">
        <v>47</v>
      </c>
      <c r="U268" t="s">
        <v>47</v>
      </c>
      <c r="V268" t="s">
        <v>47</v>
      </c>
      <c r="W268" t="s">
        <v>47</v>
      </c>
      <c r="X268" t="s">
        <v>51</v>
      </c>
      <c r="Y268" t="b">
        <v>0</v>
      </c>
      <c r="Z268" t="s">
        <v>47</v>
      </c>
      <c r="AA268" t="s">
        <v>47</v>
      </c>
      <c r="AC268" t="b">
        <v>1</v>
      </c>
      <c r="AD268" t="s">
        <v>52</v>
      </c>
      <c r="AE268" t="s">
        <v>1842</v>
      </c>
      <c r="AF268" t="s">
        <v>1840</v>
      </c>
      <c r="AG268" t="s">
        <v>1843</v>
      </c>
      <c r="AH268" t="s">
        <v>55</v>
      </c>
      <c r="AI268" s="2">
        <v>46160.25</v>
      </c>
      <c r="AJ268" t="s">
        <v>47</v>
      </c>
      <c r="AK268" t="s">
        <v>47</v>
      </c>
      <c r="AL268" s="2">
        <v>46160.479166666664</v>
      </c>
      <c r="AM268" s="2">
        <v>46160.479166666664</v>
      </c>
    </row>
    <row r="269" spans="1:39" x14ac:dyDescent="0.3">
      <c r="A269" t="s">
        <v>1844</v>
      </c>
      <c r="B269" t="s">
        <v>1845</v>
      </c>
      <c r="C269" t="s">
        <v>41</v>
      </c>
      <c r="D269" t="s">
        <v>1846</v>
      </c>
      <c r="E269" t="s">
        <v>1847</v>
      </c>
      <c r="F269" t="s">
        <v>107</v>
      </c>
      <c r="G269" t="s">
        <v>108</v>
      </c>
      <c r="H269" t="s">
        <v>109</v>
      </c>
      <c r="I269" t="s">
        <v>47</v>
      </c>
      <c r="J269" t="s">
        <v>47</v>
      </c>
      <c r="K269" t="s">
        <v>48</v>
      </c>
      <c r="L269" t="s">
        <v>47</v>
      </c>
      <c r="M269" t="s">
        <v>47</v>
      </c>
      <c r="N269" s="1">
        <v>46055</v>
      </c>
      <c r="O269" s="1">
        <v>46055</v>
      </c>
      <c r="P269" t="s">
        <v>49</v>
      </c>
      <c r="Q269" t="s">
        <v>50</v>
      </c>
      <c r="R269">
        <v>2</v>
      </c>
      <c r="S269" t="b">
        <v>0</v>
      </c>
      <c r="T269" t="s">
        <v>47</v>
      </c>
      <c r="U269" t="s">
        <v>47</v>
      </c>
      <c r="V269" t="s">
        <v>47</v>
      </c>
      <c r="W269" t="s">
        <v>47</v>
      </c>
      <c r="X269" t="s">
        <v>51</v>
      </c>
      <c r="Y269" t="b">
        <v>0</v>
      </c>
      <c r="Z269" t="s">
        <v>47</v>
      </c>
      <c r="AA269" t="s">
        <v>47</v>
      </c>
      <c r="AC269" t="b">
        <v>1</v>
      </c>
      <c r="AD269" t="s">
        <v>52</v>
      </c>
      <c r="AE269" t="s">
        <v>1848</v>
      </c>
      <c r="AF269" t="s">
        <v>1846</v>
      </c>
      <c r="AG269" t="s">
        <v>1849</v>
      </c>
      <c r="AH269" t="s">
        <v>55</v>
      </c>
      <c r="AI269" s="2">
        <v>46160.25</v>
      </c>
      <c r="AJ269" t="s">
        <v>47</v>
      </c>
      <c r="AK269" t="s">
        <v>47</v>
      </c>
      <c r="AL269" s="2">
        <v>46160.479166666664</v>
      </c>
      <c r="AM269" s="2">
        <v>46160.479166666664</v>
      </c>
    </row>
    <row r="270" spans="1:39" x14ac:dyDescent="0.3">
      <c r="A270" t="s">
        <v>1850</v>
      </c>
      <c r="B270" t="s">
        <v>1851</v>
      </c>
      <c r="C270" t="s">
        <v>41</v>
      </c>
      <c r="D270" t="s">
        <v>1852</v>
      </c>
      <c r="E270" t="s">
        <v>1853</v>
      </c>
      <c r="F270" t="s">
        <v>107</v>
      </c>
      <c r="G270" t="s">
        <v>108</v>
      </c>
      <c r="H270" t="s">
        <v>109</v>
      </c>
      <c r="I270" t="s">
        <v>47</v>
      </c>
      <c r="J270" t="s">
        <v>47</v>
      </c>
      <c r="K270" t="s">
        <v>48</v>
      </c>
      <c r="L270" t="s">
        <v>47</v>
      </c>
      <c r="M270" t="s">
        <v>47</v>
      </c>
      <c r="N270" s="1">
        <v>46055</v>
      </c>
      <c r="O270" s="1">
        <v>46055</v>
      </c>
      <c r="P270" t="s">
        <v>49</v>
      </c>
      <c r="Q270" t="s">
        <v>50</v>
      </c>
      <c r="R270">
        <v>2</v>
      </c>
      <c r="S270" t="b">
        <v>0</v>
      </c>
      <c r="T270" t="s">
        <v>47</v>
      </c>
      <c r="U270" t="s">
        <v>47</v>
      </c>
      <c r="V270" t="s">
        <v>47</v>
      </c>
      <c r="W270" t="s">
        <v>47</v>
      </c>
      <c r="X270" t="s">
        <v>51</v>
      </c>
      <c r="Y270" t="b">
        <v>0</v>
      </c>
      <c r="Z270" t="s">
        <v>47</v>
      </c>
      <c r="AA270" t="s">
        <v>47</v>
      </c>
      <c r="AC270" t="b">
        <v>1</v>
      </c>
      <c r="AD270" t="s">
        <v>52</v>
      </c>
      <c r="AE270" t="s">
        <v>1854</v>
      </c>
      <c r="AF270" t="s">
        <v>1852</v>
      </c>
      <c r="AG270" t="s">
        <v>1855</v>
      </c>
      <c r="AH270" t="s">
        <v>55</v>
      </c>
      <c r="AI270" s="2">
        <v>46160.229166666664</v>
      </c>
      <c r="AJ270" t="s">
        <v>47</v>
      </c>
      <c r="AK270" t="s">
        <v>47</v>
      </c>
      <c r="AL270" s="2">
        <v>46160.458333333336</v>
      </c>
      <c r="AM270" s="2">
        <v>46160.458333333336</v>
      </c>
    </row>
    <row r="271" spans="1:39" x14ac:dyDescent="0.3">
      <c r="A271" t="s">
        <v>1856</v>
      </c>
      <c r="B271" t="s">
        <v>1857</v>
      </c>
      <c r="C271" t="s">
        <v>41</v>
      </c>
      <c r="D271" t="s">
        <v>1858</v>
      </c>
      <c r="E271" t="s">
        <v>1859</v>
      </c>
      <c r="F271" t="s">
        <v>83</v>
      </c>
      <c r="G271" t="s">
        <v>84</v>
      </c>
      <c r="H271" t="s">
        <v>85</v>
      </c>
      <c r="I271" t="s">
        <v>47</v>
      </c>
      <c r="J271" t="s">
        <v>47</v>
      </c>
      <c r="K271" t="s">
        <v>48</v>
      </c>
      <c r="L271" t="s">
        <v>47</v>
      </c>
      <c r="M271" s="1">
        <v>46055</v>
      </c>
      <c r="N271" s="1">
        <v>46055</v>
      </c>
      <c r="O271" s="1">
        <v>46055</v>
      </c>
      <c r="P271" t="s">
        <v>49</v>
      </c>
      <c r="Q271" t="s">
        <v>50</v>
      </c>
      <c r="R271">
        <v>2</v>
      </c>
      <c r="S271" t="b">
        <v>0</v>
      </c>
      <c r="T271" t="s">
        <v>47</v>
      </c>
      <c r="U271" t="s">
        <v>47</v>
      </c>
      <c r="V271" t="s">
        <v>47</v>
      </c>
      <c r="W271" t="s">
        <v>47</v>
      </c>
      <c r="X271" t="s">
        <v>51</v>
      </c>
      <c r="Y271" t="b">
        <v>0</v>
      </c>
      <c r="Z271" t="s">
        <v>47</v>
      </c>
      <c r="AA271" t="s">
        <v>47</v>
      </c>
      <c r="AB271" t="s">
        <v>47</v>
      </c>
      <c r="AC271" t="b">
        <v>1</v>
      </c>
      <c r="AD271" t="s">
        <v>52</v>
      </c>
      <c r="AE271" t="s">
        <v>1860</v>
      </c>
      <c r="AF271" t="s">
        <v>1858</v>
      </c>
      <c r="AG271" t="s">
        <v>47</v>
      </c>
      <c r="AH271" t="s">
        <v>87</v>
      </c>
      <c r="AI271" s="2">
        <v>46160.581724537034</v>
      </c>
      <c r="AJ271" t="s">
        <v>47</v>
      </c>
      <c r="AK271" t="s">
        <v>47</v>
      </c>
      <c r="AL271" s="2">
        <v>46160.581724537034</v>
      </c>
      <c r="AM271" s="2">
        <v>46160.581724537034</v>
      </c>
    </row>
    <row r="272" spans="1:39" x14ac:dyDescent="0.3">
      <c r="A272" t="s">
        <v>1861</v>
      </c>
      <c r="B272" t="s">
        <v>1862</v>
      </c>
      <c r="C272" t="s">
        <v>41</v>
      </c>
      <c r="D272" t="s">
        <v>1863</v>
      </c>
      <c r="E272" t="s">
        <v>1864</v>
      </c>
      <c r="F272" t="s">
        <v>83</v>
      </c>
      <c r="G272" t="s">
        <v>84</v>
      </c>
      <c r="H272" t="s">
        <v>85</v>
      </c>
      <c r="I272" t="s">
        <v>47</v>
      </c>
      <c r="J272" t="s">
        <v>47</v>
      </c>
      <c r="K272" t="s">
        <v>48</v>
      </c>
      <c r="L272" t="s">
        <v>47</v>
      </c>
      <c r="M272" s="1">
        <v>46055</v>
      </c>
      <c r="N272" s="1">
        <v>46055</v>
      </c>
      <c r="O272" s="1">
        <v>46055</v>
      </c>
      <c r="P272" t="s">
        <v>49</v>
      </c>
      <c r="Q272" t="s">
        <v>50</v>
      </c>
      <c r="R272">
        <v>2</v>
      </c>
      <c r="S272" t="b">
        <v>0</v>
      </c>
      <c r="T272" t="s">
        <v>47</v>
      </c>
      <c r="U272" t="s">
        <v>47</v>
      </c>
      <c r="V272" t="s">
        <v>47</v>
      </c>
      <c r="W272" t="s">
        <v>47</v>
      </c>
      <c r="X272" t="s">
        <v>51</v>
      </c>
      <c r="Y272" t="b">
        <v>0</v>
      </c>
      <c r="Z272" t="s">
        <v>47</v>
      </c>
      <c r="AA272" t="s">
        <v>47</v>
      </c>
      <c r="AB272" t="s">
        <v>47</v>
      </c>
      <c r="AC272" t="b">
        <v>1</v>
      </c>
      <c r="AD272" t="s">
        <v>52</v>
      </c>
      <c r="AE272" t="s">
        <v>1865</v>
      </c>
      <c r="AF272" t="s">
        <v>1863</v>
      </c>
      <c r="AG272" t="s">
        <v>47</v>
      </c>
      <c r="AH272" t="s">
        <v>87</v>
      </c>
      <c r="AI272" s="2">
        <v>46160.614004629628</v>
      </c>
      <c r="AJ272" t="s">
        <v>47</v>
      </c>
      <c r="AK272" t="s">
        <v>47</v>
      </c>
      <c r="AL272" s="2">
        <v>46160.614004629628</v>
      </c>
      <c r="AM272" s="2">
        <v>46160.614004629628</v>
      </c>
    </row>
    <row r="273" spans="1:39" x14ac:dyDescent="0.3">
      <c r="A273" t="s">
        <v>1866</v>
      </c>
      <c r="B273" t="s">
        <v>1867</v>
      </c>
      <c r="C273" t="s">
        <v>41</v>
      </c>
      <c r="D273" t="s">
        <v>1868</v>
      </c>
      <c r="E273" t="s">
        <v>1869</v>
      </c>
      <c r="F273" t="s">
        <v>83</v>
      </c>
      <c r="G273" t="s">
        <v>84</v>
      </c>
      <c r="H273" t="s">
        <v>85</v>
      </c>
      <c r="I273" t="s">
        <v>47</v>
      </c>
      <c r="J273" t="s">
        <v>47</v>
      </c>
      <c r="K273" t="s">
        <v>48</v>
      </c>
      <c r="L273" t="s">
        <v>47</v>
      </c>
      <c r="M273" s="1">
        <v>46055</v>
      </c>
      <c r="N273" s="1">
        <v>46055</v>
      </c>
      <c r="O273" s="1">
        <v>46055</v>
      </c>
      <c r="P273" t="s">
        <v>49</v>
      </c>
      <c r="Q273" t="s">
        <v>50</v>
      </c>
      <c r="R273">
        <v>2</v>
      </c>
      <c r="S273" t="b">
        <v>0</v>
      </c>
      <c r="T273" t="s">
        <v>47</v>
      </c>
      <c r="U273" t="s">
        <v>47</v>
      </c>
      <c r="V273" t="s">
        <v>47</v>
      </c>
      <c r="W273" t="s">
        <v>47</v>
      </c>
      <c r="X273" t="s">
        <v>51</v>
      </c>
      <c r="Y273" t="b">
        <v>0</v>
      </c>
      <c r="Z273" t="s">
        <v>47</v>
      </c>
      <c r="AA273" t="s">
        <v>47</v>
      </c>
      <c r="AB273" t="s">
        <v>47</v>
      </c>
      <c r="AC273" t="b">
        <v>1</v>
      </c>
      <c r="AD273" t="s">
        <v>52</v>
      </c>
      <c r="AE273" t="s">
        <v>1870</v>
      </c>
      <c r="AF273" t="s">
        <v>1868</v>
      </c>
      <c r="AG273" t="s">
        <v>47</v>
      </c>
      <c r="AH273" t="s">
        <v>87</v>
      </c>
      <c r="AI273" s="2">
        <v>46160.598310185182</v>
      </c>
      <c r="AJ273" t="s">
        <v>47</v>
      </c>
      <c r="AK273" t="s">
        <v>47</v>
      </c>
      <c r="AL273" s="2">
        <v>46160.598310185182</v>
      </c>
      <c r="AM273" s="2">
        <v>46160.598310185182</v>
      </c>
    </row>
    <row r="274" spans="1:39" x14ac:dyDescent="0.3">
      <c r="A274" t="s">
        <v>1871</v>
      </c>
      <c r="B274" t="s">
        <v>1872</v>
      </c>
      <c r="C274" t="s">
        <v>41</v>
      </c>
      <c r="D274" t="s">
        <v>1873</v>
      </c>
      <c r="E274" t="s">
        <v>1874</v>
      </c>
      <c r="F274" t="s">
        <v>83</v>
      </c>
      <c r="G274" t="s">
        <v>84</v>
      </c>
      <c r="H274" t="s">
        <v>85</v>
      </c>
      <c r="I274" t="s">
        <v>47</v>
      </c>
      <c r="J274" t="s">
        <v>47</v>
      </c>
      <c r="K274" t="s">
        <v>48</v>
      </c>
      <c r="L274" t="s">
        <v>47</v>
      </c>
      <c r="M274" s="1">
        <v>46055</v>
      </c>
      <c r="N274" s="1">
        <v>46055</v>
      </c>
      <c r="O274" s="1">
        <v>46055</v>
      </c>
      <c r="P274" t="s">
        <v>49</v>
      </c>
      <c r="Q274" t="s">
        <v>50</v>
      </c>
      <c r="R274">
        <v>2</v>
      </c>
      <c r="S274" t="b">
        <v>0</v>
      </c>
      <c r="T274" t="s">
        <v>47</v>
      </c>
      <c r="U274" t="s">
        <v>47</v>
      </c>
      <c r="V274" t="s">
        <v>47</v>
      </c>
      <c r="W274" t="s">
        <v>47</v>
      </c>
      <c r="X274" t="s">
        <v>51</v>
      </c>
      <c r="Y274" t="b">
        <v>0</v>
      </c>
      <c r="Z274" t="s">
        <v>47</v>
      </c>
      <c r="AA274" t="s">
        <v>47</v>
      </c>
      <c r="AB274" t="s">
        <v>47</v>
      </c>
      <c r="AC274" t="b">
        <v>1</v>
      </c>
      <c r="AD274" t="s">
        <v>52</v>
      </c>
      <c r="AE274" t="s">
        <v>1875</v>
      </c>
      <c r="AF274" t="s">
        <v>1873</v>
      </c>
      <c r="AG274" t="s">
        <v>47</v>
      </c>
      <c r="AH274" t="s">
        <v>87</v>
      </c>
      <c r="AI274" s="2">
        <v>46160.565381944441</v>
      </c>
      <c r="AJ274" t="s">
        <v>47</v>
      </c>
      <c r="AK274" t="s">
        <v>47</v>
      </c>
      <c r="AL274" s="2">
        <v>46160.565381944441</v>
      </c>
      <c r="AM274" s="2">
        <v>46160.565381944441</v>
      </c>
    </row>
    <row r="275" spans="1:39" x14ac:dyDescent="0.3">
      <c r="A275" t="s">
        <v>1876</v>
      </c>
      <c r="B275" t="s">
        <v>1877</v>
      </c>
      <c r="C275" t="s">
        <v>41</v>
      </c>
      <c r="D275" t="s">
        <v>1878</v>
      </c>
      <c r="E275" t="s">
        <v>1879</v>
      </c>
      <c r="F275" t="s">
        <v>83</v>
      </c>
      <c r="G275" t="s">
        <v>84</v>
      </c>
      <c r="H275" t="s">
        <v>85</v>
      </c>
      <c r="I275" t="s">
        <v>47</v>
      </c>
      <c r="J275" t="s">
        <v>47</v>
      </c>
      <c r="K275" t="s">
        <v>48</v>
      </c>
      <c r="L275" t="s">
        <v>47</v>
      </c>
      <c r="M275" s="1">
        <v>46055</v>
      </c>
      <c r="N275" s="1">
        <v>46055</v>
      </c>
      <c r="O275" s="1">
        <v>46055</v>
      </c>
      <c r="P275" t="s">
        <v>49</v>
      </c>
      <c r="Q275" t="s">
        <v>50</v>
      </c>
      <c r="R275">
        <v>2</v>
      </c>
      <c r="S275" t="b">
        <v>0</v>
      </c>
      <c r="T275" t="s">
        <v>47</v>
      </c>
      <c r="U275" t="s">
        <v>47</v>
      </c>
      <c r="V275" t="s">
        <v>47</v>
      </c>
      <c r="W275" t="s">
        <v>47</v>
      </c>
      <c r="X275" t="s">
        <v>51</v>
      </c>
      <c r="Y275" t="b">
        <v>0</v>
      </c>
      <c r="Z275" t="s">
        <v>47</v>
      </c>
      <c r="AA275" t="s">
        <v>47</v>
      </c>
      <c r="AB275" t="s">
        <v>47</v>
      </c>
      <c r="AC275" t="b">
        <v>1</v>
      </c>
      <c r="AD275" t="s">
        <v>52</v>
      </c>
      <c r="AE275" t="s">
        <v>1880</v>
      </c>
      <c r="AF275" t="s">
        <v>1878</v>
      </c>
      <c r="AG275" t="s">
        <v>47</v>
      </c>
      <c r="AH275" t="s">
        <v>87</v>
      </c>
      <c r="AI275" s="2">
        <v>46160.598310185182</v>
      </c>
      <c r="AJ275" t="s">
        <v>47</v>
      </c>
      <c r="AK275" t="s">
        <v>47</v>
      </c>
      <c r="AL275" s="2">
        <v>46160.598310185182</v>
      </c>
      <c r="AM275" s="2">
        <v>46160.598310185182</v>
      </c>
    </row>
    <row r="276" spans="1:39" x14ac:dyDescent="0.3">
      <c r="A276" t="s">
        <v>1881</v>
      </c>
      <c r="B276" t="s">
        <v>1882</v>
      </c>
      <c r="C276" t="s">
        <v>41</v>
      </c>
      <c r="D276" t="s">
        <v>1883</v>
      </c>
      <c r="E276" t="s">
        <v>1884</v>
      </c>
      <c r="F276" t="s">
        <v>322</v>
      </c>
      <c r="G276" t="s">
        <v>323</v>
      </c>
      <c r="H276" t="s">
        <v>379</v>
      </c>
      <c r="I276" t="s">
        <v>47</v>
      </c>
      <c r="J276" t="s">
        <v>47</v>
      </c>
      <c r="K276" t="s">
        <v>253</v>
      </c>
      <c r="L276" t="s">
        <v>47</v>
      </c>
      <c r="M276" t="s">
        <v>47</v>
      </c>
      <c r="N276" s="1">
        <v>46057</v>
      </c>
      <c r="O276" s="1">
        <v>46057</v>
      </c>
      <c r="P276" t="s">
        <v>254</v>
      </c>
      <c r="Q276" t="s">
        <v>50</v>
      </c>
      <c r="R276">
        <v>1</v>
      </c>
      <c r="S276" t="b">
        <v>0</v>
      </c>
      <c r="T276" t="s">
        <v>47</v>
      </c>
      <c r="U276" t="s">
        <v>47</v>
      </c>
      <c r="V276" t="s">
        <v>47</v>
      </c>
      <c r="W276" t="s">
        <v>47</v>
      </c>
      <c r="X276" t="s">
        <v>51</v>
      </c>
      <c r="Y276" t="b">
        <v>0</v>
      </c>
      <c r="Z276" t="s">
        <v>47</v>
      </c>
      <c r="AA276" t="s">
        <v>47</v>
      </c>
      <c r="AC276" t="b">
        <v>1</v>
      </c>
      <c r="AD276" t="s">
        <v>52</v>
      </c>
      <c r="AE276" t="s">
        <v>1885</v>
      </c>
      <c r="AF276" t="s">
        <v>1883</v>
      </c>
      <c r="AG276" t="s">
        <v>1886</v>
      </c>
      <c r="AH276" t="s">
        <v>55</v>
      </c>
      <c r="AI276" s="2">
        <v>46160.173611111109</v>
      </c>
      <c r="AJ276" t="s">
        <v>47</v>
      </c>
      <c r="AK276" t="s">
        <v>47</v>
      </c>
      <c r="AL276" s="2">
        <v>46160.402777777781</v>
      </c>
      <c r="AM276" s="2">
        <v>46160.402777777781</v>
      </c>
    </row>
    <row r="277" spans="1:39" x14ac:dyDescent="0.3">
      <c r="A277" t="s">
        <v>1887</v>
      </c>
      <c r="B277" t="s">
        <v>1888</v>
      </c>
      <c r="C277" t="s">
        <v>41</v>
      </c>
      <c r="D277" t="s">
        <v>1889</v>
      </c>
      <c r="E277" t="s">
        <v>1890</v>
      </c>
      <c r="F277" t="s">
        <v>1891</v>
      </c>
      <c r="G277" t="s">
        <v>1892</v>
      </c>
      <c r="H277" t="s">
        <v>1893</v>
      </c>
      <c r="I277" t="s">
        <v>47</v>
      </c>
      <c r="J277" t="s">
        <v>47</v>
      </c>
      <c r="K277" t="s">
        <v>1894</v>
      </c>
      <c r="L277" t="s">
        <v>47</v>
      </c>
      <c r="M277" t="s">
        <v>47</v>
      </c>
      <c r="N277" s="1">
        <v>46055</v>
      </c>
      <c r="O277" s="1">
        <v>46055</v>
      </c>
      <c r="P277" t="s">
        <v>1895</v>
      </c>
      <c r="Q277" t="s">
        <v>50</v>
      </c>
      <c r="R277">
        <v>3</v>
      </c>
      <c r="S277" t="b">
        <v>1</v>
      </c>
      <c r="T277" t="s">
        <v>47</v>
      </c>
      <c r="U277" t="s">
        <v>47</v>
      </c>
      <c r="V277" t="s">
        <v>47</v>
      </c>
      <c r="W277" t="s">
        <v>47</v>
      </c>
      <c r="X277" t="s">
        <v>51</v>
      </c>
      <c r="Y277" t="b">
        <v>0</v>
      </c>
      <c r="Z277" t="s">
        <v>47</v>
      </c>
      <c r="AA277" t="s">
        <v>47</v>
      </c>
      <c r="AB277">
        <v>0.65</v>
      </c>
      <c r="AC277" t="b">
        <v>1</v>
      </c>
      <c r="AD277" t="s">
        <v>52</v>
      </c>
      <c r="AE277" t="s">
        <v>1896</v>
      </c>
      <c r="AF277" t="s">
        <v>1889</v>
      </c>
      <c r="AG277" t="s">
        <v>1897</v>
      </c>
      <c r="AH277" t="s">
        <v>55</v>
      </c>
      <c r="AI277" s="2">
        <v>46160.270833333336</v>
      </c>
      <c r="AJ277" t="s">
        <v>47</v>
      </c>
      <c r="AK277" t="s">
        <v>47</v>
      </c>
      <c r="AL277" s="2">
        <v>46160.5</v>
      </c>
      <c r="AM277" s="2">
        <v>46160.5</v>
      </c>
    </row>
    <row r="278" spans="1:39" x14ac:dyDescent="0.3">
      <c r="A278" t="s">
        <v>1898</v>
      </c>
      <c r="B278" t="s">
        <v>1899</v>
      </c>
      <c r="C278" t="s">
        <v>41</v>
      </c>
      <c r="D278" t="s">
        <v>1900</v>
      </c>
      <c r="E278" t="s">
        <v>1901</v>
      </c>
      <c r="F278" t="s">
        <v>1902</v>
      </c>
      <c r="G278" t="s">
        <v>1903</v>
      </c>
      <c r="H278" t="s">
        <v>1904</v>
      </c>
      <c r="I278" t="s">
        <v>47</v>
      </c>
      <c r="J278" t="s">
        <v>47</v>
      </c>
      <c r="K278" t="s">
        <v>47</v>
      </c>
      <c r="L278" t="s">
        <v>47</v>
      </c>
      <c r="M278" s="1">
        <v>46055</v>
      </c>
      <c r="N278" s="1">
        <v>46055</v>
      </c>
      <c r="O278" s="1">
        <v>46055</v>
      </c>
      <c r="P278" t="s">
        <v>288</v>
      </c>
      <c r="Q278" t="s">
        <v>237</v>
      </c>
      <c r="R278">
        <v>1</v>
      </c>
      <c r="S278" t="b">
        <v>0</v>
      </c>
      <c r="T278" t="s">
        <v>47</v>
      </c>
      <c r="U278" t="s">
        <v>47</v>
      </c>
      <c r="V278" t="s">
        <v>47</v>
      </c>
      <c r="W278" t="s">
        <v>47</v>
      </c>
      <c r="X278" t="s">
        <v>51</v>
      </c>
      <c r="Y278" t="b">
        <v>0</v>
      </c>
      <c r="Z278" t="s">
        <v>47</v>
      </c>
      <c r="AA278" t="s">
        <v>47</v>
      </c>
      <c r="AB278" t="s">
        <v>47</v>
      </c>
      <c r="AC278" t="b">
        <v>1</v>
      </c>
      <c r="AD278" t="s">
        <v>52</v>
      </c>
      <c r="AE278" t="s">
        <v>1905</v>
      </c>
      <c r="AF278" t="s">
        <v>1900</v>
      </c>
      <c r="AG278" t="s">
        <v>47</v>
      </c>
      <c r="AH278" t="s">
        <v>87</v>
      </c>
      <c r="AI278" s="2">
        <v>46160.614004629628</v>
      </c>
      <c r="AJ278" t="s">
        <v>47</v>
      </c>
      <c r="AK278" t="s">
        <v>47</v>
      </c>
      <c r="AL278" s="2">
        <v>46160.614004629628</v>
      </c>
      <c r="AM278" s="2">
        <v>46160.614004629628</v>
      </c>
    </row>
    <row r="279" spans="1:39" x14ac:dyDescent="0.3">
      <c r="A279" t="s">
        <v>1906</v>
      </c>
      <c r="B279" t="s">
        <v>1907</v>
      </c>
      <c r="C279" t="s">
        <v>41</v>
      </c>
      <c r="D279" t="s">
        <v>1908</v>
      </c>
      <c r="E279" t="s">
        <v>1909</v>
      </c>
      <c r="F279" t="s">
        <v>1902</v>
      </c>
      <c r="G279" t="s">
        <v>1903</v>
      </c>
      <c r="H279" t="s">
        <v>1904</v>
      </c>
      <c r="I279" t="s">
        <v>47</v>
      </c>
      <c r="J279" t="s">
        <v>47</v>
      </c>
      <c r="K279" t="s">
        <v>47</v>
      </c>
      <c r="L279" t="s">
        <v>47</v>
      </c>
      <c r="M279" s="1">
        <v>46055</v>
      </c>
      <c r="N279" s="1">
        <v>46055</v>
      </c>
      <c r="O279" s="1">
        <v>46055</v>
      </c>
      <c r="P279" t="s">
        <v>288</v>
      </c>
      <c r="Q279" t="s">
        <v>237</v>
      </c>
      <c r="R279">
        <v>1</v>
      </c>
      <c r="S279" t="b">
        <v>0</v>
      </c>
      <c r="T279" t="s">
        <v>47</v>
      </c>
      <c r="U279" t="s">
        <v>47</v>
      </c>
      <c r="V279" t="s">
        <v>47</v>
      </c>
      <c r="W279" t="s">
        <v>47</v>
      </c>
      <c r="X279" t="s">
        <v>51</v>
      </c>
      <c r="Y279" t="b">
        <v>0</v>
      </c>
      <c r="Z279" t="s">
        <v>47</v>
      </c>
      <c r="AA279" t="s">
        <v>47</v>
      </c>
      <c r="AB279" t="s">
        <v>47</v>
      </c>
      <c r="AC279" t="b">
        <v>1</v>
      </c>
      <c r="AD279" t="s">
        <v>52</v>
      </c>
      <c r="AE279" t="s">
        <v>1910</v>
      </c>
      <c r="AF279" t="s">
        <v>1908</v>
      </c>
      <c r="AG279" t="s">
        <v>47</v>
      </c>
      <c r="AH279" t="s">
        <v>87</v>
      </c>
      <c r="AI279" s="2">
        <v>46160.614004629628</v>
      </c>
      <c r="AJ279" t="s">
        <v>47</v>
      </c>
      <c r="AK279" t="s">
        <v>47</v>
      </c>
      <c r="AL279" s="2">
        <v>46160.614004629628</v>
      </c>
      <c r="AM279" s="2">
        <v>46160.614004629628</v>
      </c>
    </row>
    <row r="280" spans="1:39" x14ac:dyDescent="0.3">
      <c r="A280" t="s">
        <v>1911</v>
      </c>
      <c r="B280" t="s">
        <v>1912</v>
      </c>
      <c r="C280" t="s">
        <v>41</v>
      </c>
      <c r="D280" t="s">
        <v>1913</v>
      </c>
      <c r="E280" t="s">
        <v>1914</v>
      </c>
      <c r="F280" t="s">
        <v>127</v>
      </c>
      <c r="G280" t="s">
        <v>128</v>
      </c>
      <c r="H280" t="s">
        <v>129</v>
      </c>
      <c r="I280" t="s">
        <v>47</v>
      </c>
      <c r="J280" t="s">
        <v>47</v>
      </c>
      <c r="K280" t="s">
        <v>130</v>
      </c>
      <c r="L280" t="s">
        <v>47</v>
      </c>
      <c r="M280" t="s">
        <v>47</v>
      </c>
      <c r="N280" s="1">
        <v>46057</v>
      </c>
      <c r="O280" s="1">
        <v>46057</v>
      </c>
      <c r="P280" t="s">
        <v>49</v>
      </c>
      <c r="Q280" t="s">
        <v>50</v>
      </c>
      <c r="R280">
        <v>3</v>
      </c>
      <c r="S280" t="b">
        <v>1</v>
      </c>
      <c r="T280" t="s">
        <v>47</v>
      </c>
      <c r="U280" t="s">
        <v>47</v>
      </c>
      <c r="V280" t="s">
        <v>47</v>
      </c>
      <c r="W280" t="s">
        <v>47</v>
      </c>
      <c r="X280" t="s">
        <v>51</v>
      </c>
      <c r="Y280" t="b">
        <v>0</v>
      </c>
      <c r="Z280" t="s">
        <v>47</v>
      </c>
      <c r="AA280" t="s">
        <v>47</v>
      </c>
      <c r="AB280">
        <v>0.6</v>
      </c>
      <c r="AC280" t="b">
        <v>1</v>
      </c>
      <c r="AD280" t="s">
        <v>52</v>
      </c>
      <c r="AE280" t="s">
        <v>1915</v>
      </c>
      <c r="AF280" t="s">
        <v>1913</v>
      </c>
      <c r="AG280" t="s">
        <v>1916</v>
      </c>
      <c r="AH280" t="s">
        <v>55</v>
      </c>
      <c r="AI280" s="2">
        <v>46160.201388888891</v>
      </c>
      <c r="AJ280" t="s">
        <v>47</v>
      </c>
      <c r="AK280" t="s">
        <v>47</v>
      </c>
      <c r="AL280" s="2">
        <v>46160.430555555555</v>
      </c>
      <c r="AM280" s="2">
        <v>46160.430555555555</v>
      </c>
    </row>
    <row r="281" spans="1:39" x14ac:dyDescent="0.3">
      <c r="A281" t="s">
        <v>1917</v>
      </c>
      <c r="B281" t="s">
        <v>1918</v>
      </c>
      <c r="C281" t="s">
        <v>41</v>
      </c>
      <c r="D281" t="s">
        <v>1919</v>
      </c>
      <c r="E281" t="s">
        <v>1920</v>
      </c>
      <c r="F281" t="s">
        <v>1415</v>
      </c>
      <c r="G281" t="s">
        <v>1416</v>
      </c>
      <c r="H281" t="s">
        <v>1921</v>
      </c>
      <c r="I281" t="s">
        <v>47</v>
      </c>
      <c r="J281" t="s">
        <v>47</v>
      </c>
      <c r="K281" t="s">
        <v>1418</v>
      </c>
      <c r="L281" t="s">
        <v>47</v>
      </c>
      <c r="M281" t="s">
        <v>47</v>
      </c>
      <c r="N281" s="1">
        <v>46057</v>
      </c>
      <c r="O281" s="1">
        <v>46057</v>
      </c>
      <c r="P281" t="s">
        <v>1139</v>
      </c>
      <c r="Q281" t="s">
        <v>50</v>
      </c>
      <c r="R281">
        <v>3</v>
      </c>
      <c r="S281" t="b">
        <v>1</v>
      </c>
      <c r="T281" t="s">
        <v>47</v>
      </c>
      <c r="U281" t="s">
        <v>47</v>
      </c>
      <c r="V281" t="s">
        <v>47</v>
      </c>
      <c r="W281" t="s">
        <v>47</v>
      </c>
      <c r="X281" t="s">
        <v>51</v>
      </c>
      <c r="Y281" t="b">
        <v>0</v>
      </c>
      <c r="Z281" t="s">
        <v>47</v>
      </c>
      <c r="AA281" t="s">
        <v>47</v>
      </c>
      <c r="AB281">
        <v>0.6</v>
      </c>
      <c r="AC281" t="b">
        <v>1</v>
      </c>
      <c r="AD281" t="s">
        <v>52</v>
      </c>
      <c r="AE281" t="s">
        <v>1922</v>
      </c>
      <c r="AF281" t="s">
        <v>1919</v>
      </c>
      <c r="AG281" t="s">
        <v>1923</v>
      </c>
      <c r="AH281" t="s">
        <v>55</v>
      </c>
      <c r="AI281" s="2">
        <v>46160.229166666664</v>
      </c>
      <c r="AJ281" t="s">
        <v>47</v>
      </c>
      <c r="AK281" t="s">
        <v>47</v>
      </c>
      <c r="AL281" s="2">
        <v>46160.458333333336</v>
      </c>
      <c r="AM281" s="2">
        <v>46160.458333333336</v>
      </c>
    </row>
    <row r="282" spans="1:39" x14ac:dyDescent="0.3">
      <c r="A282" t="s">
        <v>1924</v>
      </c>
      <c r="B282" t="s">
        <v>1925</v>
      </c>
      <c r="C282" t="s">
        <v>41</v>
      </c>
      <c r="D282" t="s">
        <v>1926</v>
      </c>
      <c r="E282" t="s">
        <v>1927</v>
      </c>
      <c r="F282" t="s">
        <v>322</v>
      </c>
      <c r="G282" t="s">
        <v>323</v>
      </c>
      <c r="H282" t="s">
        <v>379</v>
      </c>
      <c r="I282" t="s">
        <v>47</v>
      </c>
      <c r="J282" t="s">
        <v>47</v>
      </c>
      <c r="K282" t="s">
        <v>253</v>
      </c>
      <c r="L282" t="s">
        <v>47</v>
      </c>
      <c r="M282" t="s">
        <v>47</v>
      </c>
      <c r="N282" s="1">
        <v>46057</v>
      </c>
      <c r="O282" s="1">
        <v>46057</v>
      </c>
      <c r="P282" t="s">
        <v>254</v>
      </c>
      <c r="Q282" t="s">
        <v>50</v>
      </c>
      <c r="R282">
        <v>1</v>
      </c>
      <c r="S282" t="b">
        <v>0</v>
      </c>
      <c r="T282" t="s">
        <v>47</v>
      </c>
      <c r="U282" t="s">
        <v>47</v>
      </c>
      <c r="V282" t="s">
        <v>47</v>
      </c>
      <c r="W282" t="s">
        <v>47</v>
      </c>
      <c r="X282" t="s">
        <v>51</v>
      </c>
      <c r="Y282" t="b">
        <v>0</v>
      </c>
      <c r="Z282" t="s">
        <v>47</v>
      </c>
      <c r="AA282" t="s">
        <v>47</v>
      </c>
      <c r="AC282" t="b">
        <v>1</v>
      </c>
      <c r="AD282" t="s">
        <v>52</v>
      </c>
      <c r="AE282" t="s">
        <v>1928</v>
      </c>
      <c r="AF282" t="s">
        <v>1926</v>
      </c>
      <c r="AG282" t="s">
        <v>1929</v>
      </c>
      <c r="AH282" t="s">
        <v>55</v>
      </c>
      <c r="AI282" s="2">
        <v>46160.173611111109</v>
      </c>
      <c r="AJ282" t="s">
        <v>47</v>
      </c>
      <c r="AK282" t="s">
        <v>47</v>
      </c>
      <c r="AL282" s="2">
        <v>46160.402777777781</v>
      </c>
      <c r="AM282" s="2">
        <v>46160.402777777781</v>
      </c>
    </row>
    <row r="283" spans="1:39" x14ac:dyDescent="0.3">
      <c r="A283" t="s">
        <v>1930</v>
      </c>
      <c r="B283" t="s">
        <v>1931</v>
      </c>
      <c r="C283" t="s">
        <v>41</v>
      </c>
      <c r="D283" t="s">
        <v>1932</v>
      </c>
      <c r="E283" t="s">
        <v>1933</v>
      </c>
      <c r="F283" t="s">
        <v>322</v>
      </c>
      <c r="G283" t="s">
        <v>323</v>
      </c>
      <c r="H283" t="s">
        <v>779</v>
      </c>
      <c r="I283" t="s">
        <v>47</v>
      </c>
      <c r="J283" t="s">
        <v>47</v>
      </c>
      <c r="K283" t="s">
        <v>253</v>
      </c>
      <c r="L283" t="s">
        <v>47</v>
      </c>
      <c r="M283" t="s">
        <v>47</v>
      </c>
      <c r="N283" s="1">
        <v>46057</v>
      </c>
      <c r="O283" s="1">
        <v>46057</v>
      </c>
      <c r="P283" t="s">
        <v>254</v>
      </c>
      <c r="Q283" t="s">
        <v>50</v>
      </c>
      <c r="R283">
        <v>1</v>
      </c>
      <c r="S283" t="b">
        <v>0</v>
      </c>
      <c r="T283" t="s">
        <v>47</v>
      </c>
      <c r="U283" t="s">
        <v>47</v>
      </c>
      <c r="V283" t="s">
        <v>47</v>
      </c>
      <c r="W283" t="s">
        <v>47</v>
      </c>
      <c r="X283" t="s">
        <v>51</v>
      </c>
      <c r="Y283" t="b">
        <v>0</v>
      </c>
      <c r="Z283" t="s">
        <v>47</v>
      </c>
      <c r="AA283" t="s">
        <v>47</v>
      </c>
      <c r="AC283" t="b">
        <v>1</v>
      </c>
      <c r="AD283" t="s">
        <v>52</v>
      </c>
      <c r="AE283" t="s">
        <v>1934</v>
      </c>
      <c r="AF283" t="s">
        <v>1932</v>
      </c>
      <c r="AG283" t="s">
        <v>1935</v>
      </c>
      <c r="AH283" t="s">
        <v>55</v>
      </c>
      <c r="AI283" s="2">
        <v>46160.201388888891</v>
      </c>
      <c r="AJ283" t="s">
        <v>47</v>
      </c>
      <c r="AK283" t="s">
        <v>47</v>
      </c>
      <c r="AL283" s="2">
        <v>46160.430555555555</v>
      </c>
      <c r="AM283" s="2">
        <v>46160.430555555555</v>
      </c>
    </row>
    <row r="284" spans="1:39" x14ac:dyDescent="0.3">
      <c r="A284" t="s">
        <v>1936</v>
      </c>
      <c r="B284" t="s">
        <v>1937</v>
      </c>
      <c r="C284" t="s">
        <v>41</v>
      </c>
      <c r="D284" t="s">
        <v>1938</v>
      </c>
      <c r="E284" t="s">
        <v>1939</v>
      </c>
      <c r="F284" t="s">
        <v>322</v>
      </c>
      <c r="G284" t="s">
        <v>323</v>
      </c>
      <c r="H284" t="s">
        <v>379</v>
      </c>
      <c r="I284" t="s">
        <v>47</v>
      </c>
      <c r="J284" t="s">
        <v>47</v>
      </c>
      <c r="K284" t="s">
        <v>253</v>
      </c>
      <c r="L284" t="s">
        <v>47</v>
      </c>
      <c r="M284" t="s">
        <v>47</v>
      </c>
      <c r="N284" s="1">
        <v>46057</v>
      </c>
      <c r="O284" s="1">
        <v>46057</v>
      </c>
      <c r="P284" t="s">
        <v>254</v>
      </c>
      <c r="Q284" t="s">
        <v>50</v>
      </c>
      <c r="R284">
        <v>1</v>
      </c>
      <c r="S284" t="b">
        <v>0</v>
      </c>
      <c r="T284" t="s">
        <v>47</v>
      </c>
      <c r="U284" t="s">
        <v>47</v>
      </c>
      <c r="V284" t="s">
        <v>47</v>
      </c>
      <c r="W284" t="s">
        <v>47</v>
      </c>
      <c r="X284" t="s">
        <v>51</v>
      </c>
      <c r="Y284" t="b">
        <v>0</v>
      </c>
      <c r="Z284" t="s">
        <v>47</v>
      </c>
      <c r="AA284" t="s">
        <v>47</v>
      </c>
      <c r="AC284" t="b">
        <v>1</v>
      </c>
      <c r="AD284" t="s">
        <v>52</v>
      </c>
      <c r="AE284" t="s">
        <v>1940</v>
      </c>
      <c r="AF284" t="s">
        <v>1938</v>
      </c>
      <c r="AG284" t="s">
        <v>1941</v>
      </c>
      <c r="AH284" t="s">
        <v>55</v>
      </c>
      <c r="AI284" s="2">
        <v>46160.173611111109</v>
      </c>
      <c r="AJ284" t="s">
        <v>47</v>
      </c>
      <c r="AK284" t="s">
        <v>47</v>
      </c>
      <c r="AL284" s="2">
        <v>46160.402777777781</v>
      </c>
      <c r="AM284" s="2">
        <v>46160.402777777781</v>
      </c>
    </row>
    <row r="285" spans="1:39" x14ac:dyDescent="0.3">
      <c r="A285" t="s">
        <v>1942</v>
      </c>
      <c r="B285" t="s">
        <v>1943</v>
      </c>
      <c r="C285" t="s">
        <v>41</v>
      </c>
      <c r="D285" t="s">
        <v>1944</v>
      </c>
      <c r="E285" t="s">
        <v>1945</v>
      </c>
      <c r="F285" t="s">
        <v>107</v>
      </c>
      <c r="G285" t="s">
        <v>108</v>
      </c>
      <c r="H285" t="s">
        <v>1946</v>
      </c>
      <c r="I285" t="s">
        <v>47</v>
      </c>
      <c r="J285" t="s">
        <v>47</v>
      </c>
      <c r="K285" t="s">
        <v>48</v>
      </c>
      <c r="L285" t="s">
        <v>47</v>
      </c>
      <c r="M285" t="s">
        <v>47</v>
      </c>
      <c r="N285" s="1">
        <v>46056</v>
      </c>
      <c r="O285" s="1">
        <v>46056</v>
      </c>
      <c r="P285" t="s">
        <v>49</v>
      </c>
      <c r="Q285" t="s">
        <v>50</v>
      </c>
      <c r="R285">
        <v>2</v>
      </c>
      <c r="S285" t="b">
        <v>0</v>
      </c>
      <c r="T285" t="s">
        <v>47</v>
      </c>
      <c r="U285" t="s">
        <v>47</v>
      </c>
      <c r="V285" t="s">
        <v>47</v>
      </c>
      <c r="W285" t="s">
        <v>47</v>
      </c>
      <c r="X285" t="s">
        <v>51</v>
      </c>
      <c r="Y285" t="b">
        <v>0</v>
      </c>
      <c r="Z285" t="s">
        <v>47</v>
      </c>
      <c r="AA285" t="s">
        <v>47</v>
      </c>
      <c r="AC285" t="b">
        <v>1</v>
      </c>
      <c r="AD285" t="s">
        <v>52</v>
      </c>
      <c r="AE285" t="s">
        <v>1947</v>
      </c>
      <c r="AF285" t="s">
        <v>1944</v>
      </c>
      <c r="AG285" t="s">
        <v>1948</v>
      </c>
      <c r="AH285" t="s">
        <v>55</v>
      </c>
      <c r="AI285" s="2">
        <v>46160.25</v>
      </c>
      <c r="AJ285" t="s">
        <v>47</v>
      </c>
      <c r="AK285" t="s">
        <v>47</v>
      </c>
      <c r="AL285" s="2">
        <v>46160.479166666664</v>
      </c>
      <c r="AM285" s="2">
        <v>46160.479166666664</v>
      </c>
    </row>
    <row r="286" spans="1:39" x14ac:dyDescent="0.3">
      <c r="A286" t="s">
        <v>1949</v>
      </c>
      <c r="B286" t="s">
        <v>1950</v>
      </c>
      <c r="C286" t="s">
        <v>41</v>
      </c>
      <c r="D286" t="s">
        <v>1951</v>
      </c>
      <c r="E286" t="s">
        <v>1952</v>
      </c>
      <c r="F286" t="s">
        <v>83</v>
      </c>
      <c r="G286" t="s">
        <v>84</v>
      </c>
      <c r="H286" t="s">
        <v>85</v>
      </c>
      <c r="I286" t="s">
        <v>47</v>
      </c>
      <c r="J286" t="s">
        <v>47</v>
      </c>
      <c r="K286" t="s">
        <v>48</v>
      </c>
      <c r="L286" t="s">
        <v>47</v>
      </c>
      <c r="M286" s="1">
        <v>46056</v>
      </c>
      <c r="N286" s="1">
        <v>46056</v>
      </c>
      <c r="O286" s="1">
        <v>46056</v>
      </c>
      <c r="P286" t="s">
        <v>49</v>
      </c>
      <c r="Q286" t="s">
        <v>50</v>
      </c>
      <c r="R286">
        <v>2</v>
      </c>
      <c r="S286" t="b">
        <v>0</v>
      </c>
      <c r="T286" t="s">
        <v>47</v>
      </c>
      <c r="U286" t="s">
        <v>47</v>
      </c>
      <c r="V286" t="s">
        <v>47</v>
      </c>
      <c r="W286" t="s">
        <v>47</v>
      </c>
      <c r="X286" t="s">
        <v>51</v>
      </c>
      <c r="Y286" t="b">
        <v>0</v>
      </c>
      <c r="Z286" t="s">
        <v>47</v>
      </c>
      <c r="AA286" t="s">
        <v>47</v>
      </c>
      <c r="AB286" t="s">
        <v>47</v>
      </c>
      <c r="AC286" t="b">
        <v>1</v>
      </c>
      <c r="AD286" t="s">
        <v>52</v>
      </c>
      <c r="AE286" t="s">
        <v>1953</v>
      </c>
      <c r="AF286" t="s">
        <v>1951</v>
      </c>
      <c r="AG286" t="s">
        <v>47</v>
      </c>
      <c r="AH286" t="s">
        <v>87</v>
      </c>
      <c r="AI286" s="2">
        <v>46160.598310185182</v>
      </c>
      <c r="AJ286" t="s">
        <v>47</v>
      </c>
      <c r="AK286" t="s">
        <v>47</v>
      </c>
      <c r="AL286" s="2">
        <v>46160.598310185182</v>
      </c>
      <c r="AM286" s="2">
        <v>46160.598310185182</v>
      </c>
    </row>
    <row r="287" spans="1:39" x14ac:dyDescent="0.3">
      <c r="A287" t="s">
        <v>1954</v>
      </c>
      <c r="B287" t="s">
        <v>1955</v>
      </c>
      <c r="C287" t="s">
        <v>41</v>
      </c>
      <c r="D287" t="s">
        <v>1956</v>
      </c>
      <c r="E287" t="s">
        <v>1957</v>
      </c>
      <c r="F287" t="s">
        <v>83</v>
      </c>
      <c r="G287" t="s">
        <v>84</v>
      </c>
      <c r="H287" t="s">
        <v>85</v>
      </c>
      <c r="I287" t="s">
        <v>47</v>
      </c>
      <c r="J287" t="s">
        <v>47</v>
      </c>
      <c r="K287" t="s">
        <v>48</v>
      </c>
      <c r="L287" t="s">
        <v>47</v>
      </c>
      <c r="M287" s="1">
        <v>46056</v>
      </c>
      <c r="N287" s="1">
        <v>46056</v>
      </c>
      <c r="O287" s="1">
        <v>46056</v>
      </c>
      <c r="P287" t="s">
        <v>49</v>
      </c>
      <c r="Q287" t="s">
        <v>50</v>
      </c>
      <c r="R287">
        <v>2</v>
      </c>
      <c r="S287" t="b">
        <v>0</v>
      </c>
      <c r="T287" t="s">
        <v>47</v>
      </c>
      <c r="U287" t="s">
        <v>47</v>
      </c>
      <c r="V287" t="s">
        <v>47</v>
      </c>
      <c r="W287" t="s">
        <v>47</v>
      </c>
      <c r="X287" t="s">
        <v>51</v>
      </c>
      <c r="Y287" t="b">
        <v>0</v>
      </c>
      <c r="Z287" t="s">
        <v>47</v>
      </c>
      <c r="AA287" t="s">
        <v>47</v>
      </c>
      <c r="AB287" t="s">
        <v>47</v>
      </c>
      <c r="AC287" t="b">
        <v>1</v>
      </c>
      <c r="AD287" t="s">
        <v>52</v>
      </c>
      <c r="AE287" t="s">
        <v>1958</v>
      </c>
      <c r="AF287" t="s">
        <v>1956</v>
      </c>
      <c r="AG287" t="s">
        <v>47</v>
      </c>
      <c r="AH287" t="s">
        <v>87</v>
      </c>
      <c r="AI287" s="2">
        <v>46160.614004629628</v>
      </c>
      <c r="AJ287" t="s">
        <v>47</v>
      </c>
      <c r="AK287" t="s">
        <v>47</v>
      </c>
      <c r="AL287" s="2">
        <v>46160.614004629628</v>
      </c>
      <c r="AM287" s="2">
        <v>46160.614004629628</v>
      </c>
    </row>
    <row r="288" spans="1:39" x14ac:dyDescent="0.3">
      <c r="A288" t="s">
        <v>1959</v>
      </c>
      <c r="B288" t="s">
        <v>1960</v>
      </c>
      <c r="C288" t="s">
        <v>41</v>
      </c>
      <c r="D288" t="s">
        <v>1961</v>
      </c>
      <c r="E288" t="s">
        <v>1962</v>
      </c>
      <c r="F288" t="s">
        <v>107</v>
      </c>
      <c r="G288" t="s">
        <v>108</v>
      </c>
      <c r="H288" t="s">
        <v>109</v>
      </c>
      <c r="I288" t="s">
        <v>47</v>
      </c>
      <c r="J288" t="s">
        <v>47</v>
      </c>
      <c r="K288" t="s">
        <v>48</v>
      </c>
      <c r="L288" t="s">
        <v>47</v>
      </c>
      <c r="M288" t="s">
        <v>47</v>
      </c>
      <c r="N288" s="1">
        <v>46056</v>
      </c>
      <c r="O288" s="1">
        <v>46056</v>
      </c>
      <c r="P288" t="s">
        <v>49</v>
      </c>
      <c r="Q288" t="s">
        <v>50</v>
      </c>
      <c r="R288">
        <v>2</v>
      </c>
      <c r="S288" t="b">
        <v>0</v>
      </c>
      <c r="T288" t="s">
        <v>47</v>
      </c>
      <c r="U288" t="s">
        <v>47</v>
      </c>
      <c r="V288" t="s">
        <v>47</v>
      </c>
      <c r="W288" t="s">
        <v>47</v>
      </c>
      <c r="X288" t="s">
        <v>51</v>
      </c>
      <c r="Y288" t="b">
        <v>0</v>
      </c>
      <c r="Z288" t="s">
        <v>47</v>
      </c>
      <c r="AA288" t="s">
        <v>47</v>
      </c>
      <c r="AC288" t="b">
        <v>1</v>
      </c>
      <c r="AD288" t="s">
        <v>52</v>
      </c>
      <c r="AE288" t="s">
        <v>1963</v>
      </c>
      <c r="AF288" t="s">
        <v>1961</v>
      </c>
      <c r="AG288" t="s">
        <v>1964</v>
      </c>
      <c r="AH288" t="s">
        <v>55</v>
      </c>
      <c r="AI288" s="2">
        <v>46160.25</v>
      </c>
      <c r="AJ288" t="s">
        <v>47</v>
      </c>
      <c r="AK288" t="s">
        <v>47</v>
      </c>
      <c r="AL288" s="2">
        <v>46160.479166666664</v>
      </c>
      <c r="AM288" s="2">
        <v>46160.479166666664</v>
      </c>
    </row>
    <row r="289" spans="1:39" x14ac:dyDescent="0.3">
      <c r="A289" t="s">
        <v>1965</v>
      </c>
      <c r="B289" t="s">
        <v>1966</v>
      </c>
      <c r="C289" t="s">
        <v>41</v>
      </c>
      <c r="D289" t="s">
        <v>1967</v>
      </c>
      <c r="E289" t="s">
        <v>1968</v>
      </c>
      <c r="F289" t="s">
        <v>83</v>
      </c>
      <c r="G289" t="s">
        <v>84</v>
      </c>
      <c r="H289" t="s">
        <v>85</v>
      </c>
      <c r="I289" t="s">
        <v>47</v>
      </c>
      <c r="J289" t="s">
        <v>47</v>
      </c>
      <c r="K289" t="s">
        <v>48</v>
      </c>
      <c r="L289" t="s">
        <v>47</v>
      </c>
      <c r="M289" s="1">
        <v>46056</v>
      </c>
      <c r="N289" s="1">
        <v>46056</v>
      </c>
      <c r="O289" s="1">
        <v>46056</v>
      </c>
      <c r="P289" t="s">
        <v>49</v>
      </c>
      <c r="Q289" t="s">
        <v>50</v>
      </c>
      <c r="R289">
        <v>2</v>
      </c>
      <c r="S289" t="b">
        <v>0</v>
      </c>
      <c r="T289" t="s">
        <v>47</v>
      </c>
      <c r="U289" t="s">
        <v>47</v>
      </c>
      <c r="V289" t="s">
        <v>47</v>
      </c>
      <c r="W289" t="s">
        <v>47</v>
      </c>
      <c r="X289" t="s">
        <v>51</v>
      </c>
      <c r="Y289" t="b">
        <v>0</v>
      </c>
      <c r="Z289" t="s">
        <v>47</v>
      </c>
      <c r="AA289" t="s">
        <v>47</v>
      </c>
      <c r="AB289" t="s">
        <v>47</v>
      </c>
      <c r="AC289" t="b">
        <v>1</v>
      </c>
      <c r="AD289" t="s">
        <v>52</v>
      </c>
      <c r="AE289" t="s">
        <v>1969</v>
      </c>
      <c r="AF289" t="s">
        <v>1967</v>
      </c>
      <c r="AG289" t="s">
        <v>47</v>
      </c>
      <c r="AH289" t="s">
        <v>87</v>
      </c>
      <c r="AI289" s="2">
        <v>46160.581724537034</v>
      </c>
      <c r="AJ289" t="s">
        <v>47</v>
      </c>
      <c r="AK289" t="s">
        <v>47</v>
      </c>
      <c r="AL289" s="2">
        <v>46160.581724537034</v>
      </c>
      <c r="AM289" s="2">
        <v>46160.581724537034</v>
      </c>
    </row>
    <row r="290" spans="1:39" x14ac:dyDescent="0.3">
      <c r="A290" t="s">
        <v>1970</v>
      </c>
      <c r="B290" t="s">
        <v>1971</v>
      </c>
      <c r="C290" t="s">
        <v>41</v>
      </c>
      <c r="D290" t="s">
        <v>1972</v>
      </c>
      <c r="E290" t="s">
        <v>1973</v>
      </c>
      <c r="F290" t="s">
        <v>1974</v>
      </c>
      <c r="G290" t="s">
        <v>1975</v>
      </c>
      <c r="H290" t="s">
        <v>1976</v>
      </c>
      <c r="I290" t="s">
        <v>47</v>
      </c>
      <c r="J290" t="s">
        <v>47</v>
      </c>
      <c r="K290" t="s">
        <v>130</v>
      </c>
      <c r="L290" t="s">
        <v>47</v>
      </c>
      <c r="M290" t="s">
        <v>47</v>
      </c>
      <c r="N290" s="1">
        <v>46058</v>
      </c>
      <c r="O290" s="1">
        <v>46058</v>
      </c>
      <c r="P290" t="s">
        <v>49</v>
      </c>
      <c r="Q290" t="s">
        <v>50</v>
      </c>
      <c r="R290">
        <v>3</v>
      </c>
      <c r="S290" t="b">
        <v>1</v>
      </c>
      <c r="T290" t="s">
        <v>47</v>
      </c>
      <c r="U290" t="s">
        <v>47</v>
      </c>
      <c r="V290" t="s">
        <v>47</v>
      </c>
      <c r="W290" t="s">
        <v>47</v>
      </c>
      <c r="X290" t="s">
        <v>51</v>
      </c>
      <c r="Y290" t="b">
        <v>0</v>
      </c>
      <c r="Z290" t="s">
        <v>47</v>
      </c>
      <c r="AA290" t="s">
        <v>47</v>
      </c>
      <c r="AB290">
        <v>0.6</v>
      </c>
      <c r="AC290" t="b">
        <v>1</v>
      </c>
      <c r="AD290" t="s">
        <v>52</v>
      </c>
      <c r="AE290" t="s">
        <v>1977</v>
      </c>
      <c r="AF290" t="s">
        <v>1972</v>
      </c>
      <c r="AG290" t="s">
        <v>1978</v>
      </c>
      <c r="AH290" t="s">
        <v>55</v>
      </c>
      <c r="AI290" s="2">
        <v>46160.25</v>
      </c>
      <c r="AJ290" t="s">
        <v>47</v>
      </c>
      <c r="AK290" t="s">
        <v>47</v>
      </c>
      <c r="AL290" s="2">
        <v>46160.479166666664</v>
      </c>
      <c r="AM290" s="2">
        <v>46160.479166666664</v>
      </c>
    </row>
    <row r="291" spans="1:39" x14ac:dyDescent="0.3">
      <c r="A291" t="s">
        <v>1979</v>
      </c>
      <c r="B291" t="s">
        <v>1980</v>
      </c>
      <c r="C291" t="s">
        <v>41</v>
      </c>
      <c r="D291" t="s">
        <v>1981</v>
      </c>
      <c r="E291" t="s">
        <v>1982</v>
      </c>
      <c r="F291" t="s">
        <v>1983</v>
      </c>
      <c r="G291" t="s">
        <v>1984</v>
      </c>
      <c r="H291" t="s">
        <v>1985</v>
      </c>
      <c r="I291" t="s">
        <v>47</v>
      </c>
      <c r="J291" t="s">
        <v>47</v>
      </c>
      <c r="K291" t="s">
        <v>47</v>
      </c>
      <c r="L291" t="s">
        <v>47</v>
      </c>
      <c r="M291" t="s">
        <v>47</v>
      </c>
      <c r="N291" s="1">
        <v>46058</v>
      </c>
      <c r="O291" s="1">
        <v>46058</v>
      </c>
      <c r="P291" t="s">
        <v>183</v>
      </c>
      <c r="Q291" t="s">
        <v>50</v>
      </c>
      <c r="R291">
        <v>2</v>
      </c>
      <c r="S291" t="b">
        <v>0</v>
      </c>
      <c r="T291" t="s">
        <v>47</v>
      </c>
      <c r="U291" t="s">
        <v>47</v>
      </c>
      <c r="V291" t="s">
        <v>47</v>
      </c>
      <c r="W291" t="s">
        <v>47</v>
      </c>
      <c r="X291" t="s">
        <v>51</v>
      </c>
      <c r="Y291" t="b">
        <v>0</v>
      </c>
      <c r="Z291" t="s">
        <v>47</v>
      </c>
      <c r="AA291" t="s">
        <v>47</v>
      </c>
      <c r="AC291" t="b">
        <v>1</v>
      </c>
      <c r="AD291" t="s">
        <v>52</v>
      </c>
      <c r="AE291" t="s">
        <v>1986</v>
      </c>
      <c r="AF291" t="s">
        <v>1981</v>
      </c>
      <c r="AG291" t="s">
        <v>1987</v>
      </c>
      <c r="AH291" t="s">
        <v>55</v>
      </c>
      <c r="AI291" s="2">
        <v>46160.270833333336</v>
      </c>
      <c r="AJ291" t="s">
        <v>47</v>
      </c>
      <c r="AK291" t="s">
        <v>47</v>
      </c>
      <c r="AL291" s="2">
        <v>46160.5</v>
      </c>
      <c r="AM291" s="2">
        <v>46160.5</v>
      </c>
    </row>
    <row r="292" spans="1:39" x14ac:dyDescent="0.3">
      <c r="A292" t="s">
        <v>1988</v>
      </c>
      <c r="B292" t="s">
        <v>1989</v>
      </c>
      <c r="C292" t="s">
        <v>41</v>
      </c>
      <c r="D292" t="s">
        <v>1990</v>
      </c>
      <c r="E292" t="s">
        <v>1991</v>
      </c>
      <c r="F292" t="s">
        <v>83</v>
      </c>
      <c r="G292" t="s">
        <v>84</v>
      </c>
      <c r="H292" t="s">
        <v>85</v>
      </c>
      <c r="I292" t="s">
        <v>47</v>
      </c>
      <c r="J292" t="s">
        <v>47</v>
      </c>
      <c r="K292" t="s">
        <v>48</v>
      </c>
      <c r="L292" t="s">
        <v>47</v>
      </c>
      <c r="M292" s="1">
        <v>46058</v>
      </c>
      <c r="N292" s="1">
        <v>46058</v>
      </c>
      <c r="O292" s="1">
        <v>46058</v>
      </c>
      <c r="P292" t="s">
        <v>49</v>
      </c>
      <c r="Q292" t="s">
        <v>50</v>
      </c>
      <c r="R292">
        <v>2</v>
      </c>
      <c r="S292" t="b">
        <v>0</v>
      </c>
      <c r="T292" t="s">
        <v>47</v>
      </c>
      <c r="U292" t="s">
        <v>47</v>
      </c>
      <c r="V292" t="s">
        <v>47</v>
      </c>
      <c r="W292" t="s">
        <v>47</v>
      </c>
      <c r="X292" t="s">
        <v>51</v>
      </c>
      <c r="Y292" t="b">
        <v>0</v>
      </c>
      <c r="Z292" t="s">
        <v>47</v>
      </c>
      <c r="AA292" t="s">
        <v>47</v>
      </c>
      <c r="AB292" t="s">
        <v>47</v>
      </c>
      <c r="AC292" t="b">
        <v>1</v>
      </c>
      <c r="AD292" t="s">
        <v>52</v>
      </c>
      <c r="AE292" t="s">
        <v>1992</v>
      </c>
      <c r="AF292" t="s">
        <v>1990</v>
      </c>
      <c r="AG292" t="s">
        <v>47</v>
      </c>
      <c r="AH292" t="s">
        <v>87</v>
      </c>
      <c r="AI292" s="2">
        <v>46160.614004629628</v>
      </c>
      <c r="AJ292" t="s">
        <v>47</v>
      </c>
      <c r="AK292" t="s">
        <v>47</v>
      </c>
      <c r="AL292" s="2">
        <v>46160.614004629628</v>
      </c>
      <c r="AM292" s="2">
        <v>46160.614004629628</v>
      </c>
    </row>
    <row r="293" spans="1:39" x14ac:dyDescent="0.3">
      <c r="A293" t="s">
        <v>1993</v>
      </c>
      <c r="B293" t="s">
        <v>1994</v>
      </c>
      <c r="C293" t="s">
        <v>41</v>
      </c>
      <c r="D293" t="s">
        <v>1995</v>
      </c>
      <c r="E293" t="s">
        <v>1996</v>
      </c>
      <c r="F293" t="s">
        <v>83</v>
      </c>
      <c r="G293" t="s">
        <v>84</v>
      </c>
      <c r="H293" t="s">
        <v>85</v>
      </c>
      <c r="I293" t="s">
        <v>47</v>
      </c>
      <c r="J293" t="s">
        <v>47</v>
      </c>
      <c r="K293" t="s">
        <v>48</v>
      </c>
      <c r="L293" t="s">
        <v>47</v>
      </c>
      <c r="M293" s="1">
        <v>46058</v>
      </c>
      <c r="N293" s="1">
        <v>46058</v>
      </c>
      <c r="O293" s="1">
        <v>46058</v>
      </c>
      <c r="P293" t="s">
        <v>49</v>
      </c>
      <c r="Q293" t="s">
        <v>50</v>
      </c>
      <c r="R293">
        <v>2</v>
      </c>
      <c r="S293" t="b">
        <v>0</v>
      </c>
      <c r="T293" t="s">
        <v>47</v>
      </c>
      <c r="U293" t="s">
        <v>47</v>
      </c>
      <c r="V293" t="s">
        <v>47</v>
      </c>
      <c r="W293" t="s">
        <v>47</v>
      </c>
      <c r="X293" t="s">
        <v>51</v>
      </c>
      <c r="Y293" t="b">
        <v>0</v>
      </c>
      <c r="Z293" t="s">
        <v>47</v>
      </c>
      <c r="AA293" t="s">
        <v>47</v>
      </c>
      <c r="AB293" t="s">
        <v>47</v>
      </c>
      <c r="AC293" t="b">
        <v>1</v>
      </c>
      <c r="AD293" t="s">
        <v>52</v>
      </c>
      <c r="AE293" t="s">
        <v>1997</v>
      </c>
      <c r="AF293" t="s">
        <v>1995</v>
      </c>
      <c r="AG293" t="s">
        <v>47</v>
      </c>
      <c r="AH293" t="s">
        <v>87</v>
      </c>
      <c r="AI293" s="2">
        <v>46160.598310185182</v>
      </c>
      <c r="AJ293" t="s">
        <v>47</v>
      </c>
      <c r="AK293" t="s">
        <v>47</v>
      </c>
      <c r="AL293" s="2">
        <v>46160.598310185182</v>
      </c>
      <c r="AM293" s="2">
        <v>46160.598310185182</v>
      </c>
    </row>
    <row r="294" spans="1:39" x14ac:dyDescent="0.3">
      <c r="A294" t="s">
        <v>1998</v>
      </c>
      <c r="B294" t="s">
        <v>1999</v>
      </c>
      <c r="C294" t="s">
        <v>41</v>
      </c>
      <c r="D294" t="s">
        <v>2000</v>
      </c>
      <c r="E294" t="s">
        <v>2001</v>
      </c>
      <c r="F294" t="s">
        <v>83</v>
      </c>
      <c r="G294" t="s">
        <v>84</v>
      </c>
      <c r="H294" t="s">
        <v>85</v>
      </c>
      <c r="I294" t="s">
        <v>47</v>
      </c>
      <c r="J294" t="s">
        <v>47</v>
      </c>
      <c r="K294" t="s">
        <v>48</v>
      </c>
      <c r="L294" t="s">
        <v>47</v>
      </c>
      <c r="M294" s="1">
        <v>46058</v>
      </c>
      <c r="N294" s="1">
        <v>46058</v>
      </c>
      <c r="O294" s="1">
        <v>46058</v>
      </c>
      <c r="P294" t="s">
        <v>49</v>
      </c>
      <c r="Q294" t="s">
        <v>50</v>
      </c>
      <c r="R294">
        <v>2</v>
      </c>
      <c r="S294" t="b">
        <v>0</v>
      </c>
      <c r="T294" t="s">
        <v>47</v>
      </c>
      <c r="U294" t="s">
        <v>47</v>
      </c>
      <c r="V294" t="s">
        <v>47</v>
      </c>
      <c r="W294" t="s">
        <v>47</v>
      </c>
      <c r="X294" t="s">
        <v>51</v>
      </c>
      <c r="Y294" t="b">
        <v>0</v>
      </c>
      <c r="Z294" t="s">
        <v>47</v>
      </c>
      <c r="AA294" t="s">
        <v>47</v>
      </c>
      <c r="AB294" t="s">
        <v>47</v>
      </c>
      <c r="AC294" t="b">
        <v>1</v>
      </c>
      <c r="AD294" t="s">
        <v>52</v>
      </c>
      <c r="AE294" t="s">
        <v>2002</v>
      </c>
      <c r="AF294" t="s">
        <v>2000</v>
      </c>
      <c r="AG294" t="s">
        <v>47</v>
      </c>
      <c r="AH294" t="s">
        <v>87</v>
      </c>
      <c r="AI294" s="2">
        <v>46160.598310185182</v>
      </c>
      <c r="AJ294" t="s">
        <v>47</v>
      </c>
      <c r="AK294" t="s">
        <v>47</v>
      </c>
      <c r="AL294" s="2">
        <v>46160.598310185182</v>
      </c>
      <c r="AM294" s="2">
        <v>46160.598310185182</v>
      </c>
    </row>
    <row r="295" spans="1:39" x14ac:dyDescent="0.3">
      <c r="A295" t="s">
        <v>2003</v>
      </c>
      <c r="B295" t="s">
        <v>2004</v>
      </c>
      <c r="C295" t="s">
        <v>41</v>
      </c>
      <c r="D295" t="s">
        <v>2005</v>
      </c>
      <c r="E295" t="s">
        <v>2006</v>
      </c>
      <c r="F295" t="s">
        <v>83</v>
      </c>
      <c r="G295" t="s">
        <v>84</v>
      </c>
      <c r="H295" t="s">
        <v>85</v>
      </c>
      <c r="I295" t="s">
        <v>47</v>
      </c>
      <c r="J295" t="s">
        <v>47</v>
      </c>
      <c r="K295" t="s">
        <v>48</v>
      </c>
      <c r="L295" t="s">
        <v>47</v>
      </c>
      <c r="M295" s="1">
        <v>46058</v>
      </c>
      <c r="N295" s="1">
        <v>46058</v>
      </c>
      <c r="O295" s="1">
        <v>46058</v>
      </c>
      <c r="P295" t="s">
        <v>49</v>
      </c>
      <c r="Q295" t="s">
        <v>50</v>
      </c>
      <c r="R295">
        <v>2</v>
      </c>
      <c r="S295" t="b">
        <v>0</v>
      </c>
      <c r="T295" t="s">
        <v>47</v>
      </c>
      <c r="U295" t="s">
        <v>47</v>
      </c>
      <c r="V295" t="s">
        <v>47</v>
      </c>
      <c r="W295" t="s">
        <v>47</v>
      </c>
      <c r="X295" t="s">
        <v>51</v>
      </c>
      <c r="Y295" t="b">
        <v>0</v>
      </c>
      <c r="Z295" t="s">
        <v>47</v>
      </c>
      <c r="AA295" t="s">
        <v>47</v>
      </c>
      <c r="AB295" t="s">
        <v>47</v>
      </c>
      <c r="AC295" t="b">
        <v>1</v>
      </c>
      <c r="AD295" t="s">
        <v>52</v>
      </c>
      <c r="AE295" t="s">
        <v>2007</v>
      </c>
      <c r="AF295" t="s">
        <v>2005</v>
      </c>
      <c r="AG295" t="s">
        <v>47</v>
      </c>
      <c r="AH295" t="s">
        <v>87</v>
      </c>
      <c r="AI295" s="2">
        <v>46160.614004629628</v>
      </c>
      <c r="AJ295" t="s">
        <v>47</v>
      </c>
      <c r="AK295" t="s">
        <v>47</v>
      </c>
      <c r="AL295" s="2">
        <v>46160.614004629628</v>
      </c>
      <c r="AM295" s="2">
        <v>46160.614004629628</v>
      </c>
    </row>
    <row r="296" spans="1:39" x14ac:dyDescent="0.3">
      <c r="A296" t="s">
        <v>2008</v>
      </c>
      <c r="B296" t="s">
        <v>2009</v>
      </c>
      <c r="C296" t="s">
        <v>41</v>
      </c>
      <c r="D296" t="s">
        <v>2010</v>
      </c>
      <c r="E296" t="s">
        <v>2011</v>
      </c>
      <c r="F296" t="s">
        <v>83</v>
      </c>
      <c r="G296" t="s">
        <v>84</v>
      </c>
      <c r="H296" t="s">
        <v>85</v>
      </c>
      <c r="I296" t="s">
        <v>47</v>
      </c>
      <c r="J296" t="s">
        <v>47</v>
      </c>
      <c r="K296" t="s">
        <v>48</v>
      </c>
      <c r="L296" t="s">
        <v>47</v>
      </c>
      <c r="M296" s="1">
        <v>46058</v>
      </c>
      <c r="N296" s="1">
        <v>46058</v>
      </c>
      <c r="O296" s="1">
        <v>46058</v>
      </c>
      <c r="P296" t="s">
        <v>49</v>
      </c>
      <c r="Q296" t="s">
        <v>50</v>
      </c>
      <c r="R296">
        <v>2</v>
      </c>
      <c r="S296" t="b">
        <v>0</v>
      </c>
      <c r="T296" t="s">
        <v>47</v>
      </c>
      <c r="U296" t="s">
        <v>47</v>
      </c>
      <c r="V296" t="s">
        <v>47</v>
      </c>
      <c r="W296" t="s">
        <v>47</v>
      </c>
      <c r="X296" t="s">
        <v>51</v>
      </c>
      <c r="Y296" t="b">
        <v>0</v>
      </c>
      <c r="Z296" t="s">
        <v>47</v>
      </c>
      <c r="AA296" t="s">
        <v>47</v>
      </c>
      <c r="AB296" t="s">
        <v>47</v>
      </c>
      <c r="AC296" t="b">
        <v>1</v>
      </c>
      <c r="AD296" t="s">
        <v>52</v>
      </c>
      <c r="AE296" t="s">
        <v>2012</v>
      </c>
      <c r="AF296" t="s">
        <v>2010</v>
      </c>
      <c r="AG296" t="s">
        <v>47</v>
      </c>
      <c r="AH296" t="s">
        <v>87</v>
      </c>
      <c r="AI296" s="2">
        <v>46160.614004629628</v>
      </c>
      <c r="AJ296" t="s">
        <v>47</v>
      </c>
      <c r="AK296" t="s">
        <v>47</v>
      </c>
      <c r="AL296" s="2">
        <v>46160.614004629628</v>
      </c>
      <c r="AM296" s="2">
        <v>46160.614004629628</v>
      </c>
    </row>
    <row r="297" spans="1:39" x14ac:dyDescent="0.3">
      <c r="A297" t="s">
        <v>2013</v>
      </c>
      <c r="B297" t="s">
        <v>2014</v>
      </c>
      <c r="C297" t="s">
        <v>41</v>
      </c>
      <c r="D297" t="s">
        <v>2015</v>
      </c>
      <c r="E297" t="s">
        <v>2016</v>
      </c>
      <c r="F297" t="s">
        <v>83</v>
      </c>
      <c r="G297" t="s">
        <v>84</v>
      </c>
      <c r="H297" t="s">
        <v>85</v>
      </c>
      <c r="I297" t="s">
        <v>47</v>
      </c>
      <c r="J297" t="s">
        <v>47</v>
      </c>
      <c r="K297" t="s">
        <v>48</v>
      </c>
      <c r="L297" t="s">
        <v>47</v>
      </c>
      <c r="M297" s="1">
        <v>46058</v>
      </c>
      <c r="N297" s="1">
        <v>46058</v>
      </c>
      <c r="O297" s="1">
        <v>46058</v>
      </c>
      <c r="P297" t="s">
        <v>49</v>
      </c>
      <c r="Q297" t="s">
        <v>50</v>
      </c>
      <c r="R297">
        <v>2</v>
      </c>
      <c r="S297" t="b">
        <v>0</v>
      </c>
      <c r="T297" t="s">
        <v>47</v>
      </c>
      <c r="U297" t="s">
        <v>47</v>
      </c>
      <c r="V297" t="s">
        <v>47</v>
      </c>
      <c r="W297" t="s">
        <v>47</v>
      </c>
      <c r="X297" t="s">
        <v>51</v>
      </c>
      <c r="Y297" t="b">
        <v>0</v>
      </c>
      <c r="Z297" t="s">
        <v>47</v>
      </c>
      <c r="AA297" t="s">
        <v>47</v>
      </c>
      <c r="AB297" t="s">
        <v>47</v>
      </c>
      <c r="AC297" t="b">
        <v>1</v>
      </c>
      <c r="AD297" t="s">
        <v>52</v>
      </c>
      <c r="AE297" t="s">
        <v>2017</v>
      </c>
      <c r="AF297" t="s">
        <v>2015</v>
      </c>
      <c r="AG297" t="s">
        <v>47</v>
      </c>
      <c r="AH297" t="s">
        <v>87</v>
      </c>
      <c r="AI297" s="2">
        <v>46160.565381944441</v>
      </c>
      <c r="AJ297" t="s">
        <v>47</v>
      </c>
      <c r="AK297" t="s">
        <v>47</v>
      </c>
      <c r="AL297" s="2">
        <v>46160.565381944441</v>
      </c>
      <c r="AM297" s="2">
        <v>46160.565381944441</v>
      </c>
    </row>
    <row r="298" spans="1:39" x14ac:dyDescent="0.3">
      <c r="A298" t="s">
        <v>2018</v>
      </c>
      <c r="B298" t="s">
        <v>2019</v>
      </c>
      <c r="C298" t="s">
        <v>41</v>
      </c>
      <c r="D298" t="s">
        <v>2020</v>
      </c>
      <c r="E298" t="s">
        <v>2021</v>
      </c>
      <c r="F298" t="s">
        <v>83</v>
      </c>
      <c r="G298" t="s">
        <v>84</v>
      </c>
      <c r="H298" t="s">
        <v>85</v>
      </c>
      <c r="I298" t="s">
        <v>47</v>
      </c>
      <c r="J298" t="s">
        <v>47</v>
      </c>
      <c r="K298" t="s">
        <v>48</v>
      </c>
      <c r="L298" t="s">
        <v>47</v>
      </c>
      <c r="M298" s="1">
        <v>46058</v>
      </c>
      <c r="N298" s="1">
        <v>46058</v>
      </c>
      <c r="O298" s="1">
        <v>46058</v>
      </c>
      <c r="P298" t="s">
        <v>49</v>
      </c>
      <c r="Q298" t="s">
        <v>50</v>
      </c>
      <c r="R298">
        <v>2</v>
      </c>
      <c r="S298" t="b">
        <v>0</v>
      </c>
      <c r="T298" t="s">
        <v>47</v>
      </c>
      <c r="U298" t="s">
        <v>47</v>
      </c>
      <c r="V298" t="s">
        <v>47</v>
      </c>
      <c r="W298" t="s">
        <v>47</v>
      </c>
      <c r="X298" t="s">
        <v>51</v>
      </c>
      <c r="Y298" t="b">
        <v>0</v>
      </c>
      <c r="Z298" t="s">
        <v>47</v>
      </c>
      <c r="AA298" t="s">
        <v>47</v>
      </c>
      <c r="AB298" t="s">
        <v>47</v>
      </c>
      <c r="AC298" t="b">
        <v>1</v>
      </c>
      <c r="AD298" t="s">
        <v>52</v>
      </c>
      <c r="AE298" t="s">
        <v>2022</v>
      </c>
      <c r="AF298" t="s">
        <v>2020</v>
      </c>
      <c r="AG298" t="s">
        <v>47</v>
      </c>
      <c r="AH298" t="s">
        <v>87</v>
      </c>
      <c r="AI298" s="2">
        <v>46160.581724537034</v>
      </c>
      <c r="AJ298" t="s">
        <v>47</v>
      </c>
      <c r="AK298" t="s">
        <v>47</v>
      </c>
      <c r="AL298" s="2">
        <v>46160.581724537034</v>
      </c>
      <c r="AM298" s="2">
        <v>46160.581724537034</v>
      </c>
    </row>
    <row r="299" spans="1:39" x14ac:dyDescent="0.3">
      <c r="A299" t="s">
        <v>2023</v>
      </c>
      <c r="B299" t="s">
        <v>2024</v>
      </c>
      <c r="C299" t="s">
        <v>41</v>
      </c>
      <c r="D299" t="s">
        <v>2025</v>
      </c>
      <c r="E299" t="s">
        <v>2026</v>
      </c>
      <c r="F299" t="s">
        <v>83</v>
      </c>
      <c r="G299" t="s">
        <v>84</v>
      </c>
      <c r="H299" t="s">
        <v>85</v>
      </c>
      <c r="I299" t="s">
        <v>47</v>
      </c>
      <c r="J299" t="s">
        <v>47</v>
      </c>
      <c r="K299" t="s">
        <v>48</v>
      </c>
      <c r="L299" t="s">
        <v>47</v>
      </c>
      <c r="M299" s="1">
        <v>46058</v>
      </c>
      <c r="N299" s="1">
        <v>46058</v>
      </c>
      <c r="O299" s="1">
        <v>46058</v>
      </c>
      <c r="P299" t="s">
        <v>49</v>
      </c>
      <c r="Q299" t="s">
        <v>50</v>
      </c>
      <c r="R299">
        <v>2</v>
      </c>
      <c r="S299" t="b">
        <v>0</v>
      </c>
      <c r="T299" t="s">
        <v>47</v>
      </c>
      <c r="U299" t="s">
        <v>47</v>
      </c>
      <c r="V299" t="s">
        <v>47</v>
      </c>
      <c r="W299" t="s">
        <v>47</v>
      </c>
      <c r="X299" t="s">
        <v>51</v>
      </c>
      <c r="Y299" t="b">
        <v>0</v>
      </c>
      <c r="Z299" t="s">
        <v>47</v>
      </c>
      <c r="AA299" t="s">
        <v>47</v>
      </c>
      <c r="AB299" t="s">
        <v>47</v>
      </c>
      <c r="AC299" t="b">
        <v>1</v>
      </c>
      <c r="AD299" t="s">
        <v>52</v>
      </c>
      <c r="AE299" t="s">
        <v>2027</v>
      </c>
      <c r="AF299" t="s">
        <v>2025</v>
      </c>
      <c r="AG299" t="s">
        <v>47</v>
      </c>
      <c r="AH299" t="s">
        <v>87</v>
      </c>
      <c r="AI299" s="2">
        <v>46160.598310185182</v>
      </c>
      <c r="AJ299" t="s">
        <v>47</v>
      </c>
      <c r="AK299" t="s">
        <v>47</v>
      </c>
      <c r="AL299" s="2">
        <v>46160.598310185182</v>
      </c>
      <c r="AM299" s="2">
        <v>46160.598310185182</v>
      </c>
    </row>
    <row r="300" spans="1:39" x14ac:dyDescent="0.3">
      <c r="A300" t="s">
        <v>2028</v>
      </c>
      <c r="B300" t="s">
        <v>2029</v>
      </c>
      <c r="C300" t="s">
        <v>41</v>
      </c>
      <c r="D300" t="s">
        <v>2030</v>
      </c>
      <c r="E300" t="s">
        <v>2031</v>
      </c>
      <c r="F300" t="s">
        <v>83</v>
      </c>
      <c r="G300" t="s">
        <v>84</v>
      </c>
      <c r="H300" t="s">
        <v>85</v>
      </c>
      <c r="I300" t="s">
        <v>47</v>
      </c>
      <c r="J300" t="s">
        <v>47</v>
      </c>
      <c r="K300" t="s">
        <v>48</v>
      </c>
      <c r="L300" t="s">
        <v>47</v>
      </c>
      <c r="M300" s="1">
        <v>46058</v>
      </c>
      <c r="N300" s="1">
        <v>46058</v>
      </c>
      <c r="O300" s="1">
        <v>46058</v>
      </c>
      <c r="P300" t="s">
        <v>49</v>
      </c>
      <c r="Q300" t="s">
        <v>50</v>
      </c>
      <c r="R300">
        <v>2</v>
      </c>
      <c r="S300" t="b">
        <v>0</v>
      </c>
      <c r="T300" t="s">
        <v>47</v>
      </c>
      <c r="U300" t="s">
        <v>47</v>
      </c>
      <c r="V300" t="s">
        <v>47</v>
      </c>
      <c r="W300" t="s">
        <v>47</v>
      </c>
      <c r="X300" t="s">
        <v>51</v>
      </c>
      <c r="Y300" t="b">
        <v>0</v>
      </c>
      <c r="Z300" t="s">
        <v>47</v>
      </c>
      <c r="AA300" t="s">
        <v>47</v>
      </c>
      <c r="AB300" t="s">
        <v>47</v>
      </c>
      <c r="AC300" t="b">
        <v>1</v>
      </c>
      <c r="AD300" t="s">
        <v>52</v>
      </c>
      <c r="AE300" t="s">
        <v>2032</v>
      </c>
      <c r="AF300" t="s">
        <v>2030</v>
      </c>
      <c r="AG300" t="s">
        <v>47</v>
      </c>
      <c r="AH300" t="s">
        <v>87</v>
      </c>
      <c r="AI300" s="2">
        <v>46160.598310185182</v>
      </c>
      <c r="AJ300" t="s">
        <v>47</v>
      </c>
      <c r="AK300" t="s">
        <v>47</v>
      </c>
      <c r="AL300" s="2">
        <v>46160.598310185182</v>
      </c>
      <c r="AM300" s="2">
        <v>46160.598310185182</v>
      </c>
    </row>
    <row r="301" spans="1:39" x14ac:dyDescent="0.3">
      <c r="A301" t="s">
        <v>2033</v>
      </c>
      <c r="B301" t="s">
        <v>2034</v>
      </c>
      <c r="C301" t="s">
        <v>41</v>
      </c>
      <c r="D301" t="s">
        <v>2035</v>
      </c>
      <c r="E301" t="s">
        <v>2036</v>
      </c>
      <c r="F301" t="s">
        <v>83</v>
      </c>
      <c r="G301" t="s">
        <v>84</v>
      </c>
      <c r="H301" t="s">
        <v>85</v>
      </c>
      <c r="I301" t="s">
        <v>47</v>
      </c>
      <c r="J301" t="s">
        <v>47</v>
      </c>
      <c r="K301" t="s">
        <v>48</v>
      </c>
      <c r="L301" t="s">
        <v>47</v>
      </c>
      <c r="M301" s="1">
        <v>46058</v>
      </c>
      <c r="N301" s="1">
        <v>46058</v>
      </c>
      <c r="O301" s="1">
        <v>46058</v>
      </c>
      <c r="P301" t="s">
        <v>49</v>
      </c>
      <c r="Q301" t="s">
        <v>50</v>
      </c>
      <c r="R301">
        <v>2</v>
      </c>
      <c r="S301" t="b">
        <v>0</v>
      </c>
      <c r="T301" t="s">
        <v>47</v>
      </c>
      <c r="U301" t="s">
        <v>47</v>
      </c>
      <c r="V301" t="s">
        <v>47</v>
      </c>
      <c r="W301" t="s">
        <v>47</v>
      </c>
      <c r="X301" t="s">
        <v>51</v>
      </c>
      <c r="Y301" t="b">
        <v>0</v>
      </c>
      <c r="Z301" t="s">
        <v>47</v>
      </c>
      <c r="AA301" t="s">
        <v>47</v>
      </c>
      <c r="AB301" t="s">
        <v>47</v>
      </c>
      <c r="AC301" t="b">
        <v>1</v>
      </c>
      <c r="AD301" t="s">
        <v>52</v>
      </c>
      <c r="AE301" t="s">
        <v>2037</v>
      </c>
      <c r="AF301" t="s">
        <v>2035</v>
      </c>
      <c r="AG301" t="s">
        <v>47</v>
      </c>
      <c r="AH301" t="s">
        <v>87</v>
      </c>
      <c r="AI301" s="2">
        <v>46160.598310185182</v>
      </c>
      <c r="AJ301" t="s">
        <v>47</v>
      </c>
      <c r="AK301" t="s">
        <v>47</v>
      </c>
      <c r="AL301" s="2">
        <v>46160.598310185182</v>
      </c>
      <c r="AM301" s="2">
        <v>46160.598310185182</v>
      </c>
    </row>
    <row r="302" spans="1:39" x14ac:dyDescent="0.3">
      <c r="A302" t="s">
        <v>2038</v>
      </c>
      <c r="B302" t="s">
        <v>2039</v>
      </c>
      <c r="C302" t="s">
        <v>41</v>
      </c>
      <c r="D302" t="s">
        <v>2040</v>
      </c>
      <c r="E302" t="s">
        <v>2041</v>
      </c>
      <c r="F302" t="s">
        <v>107</v>
      </c>
      <c r="G302" t="s">
        <v>108</v>
      </c>
      <c r="H302" t="s">
        <v>109</v>
      </c>
      <c r="I302" t="s">
        <v>47</v>
      </c>
      <c r="J302" t="s">
        <v>47</v>
      </c>
      <c r="K302" t="s">
        <v>48</v>
      </c>
      <c r="L302" t="s">
        <v>47</v>
      </c>
      <c r="M302" t="s">
        <v>47</v>
      </c>
      <c r="N302" s="1">
        <v>46058</v>
      </c>
      <c r="O302" s="1">
        <v>46058</v>
      </c>
      <c r="P302" t="s">
        <v>49</v>
      </c>
      <c r="Q302" t="s">
        <v>50</v>
      </c>
      <c r="R302">
        <v>2</v>
      </c>
      <c r="S302" t="b">
        <v>0</v>
      </c>
      <c r="T302" t="s">
        <v>47</v>
      </c>
      <c r="U302" t="s">
        <v>47</v>
      </c>
      <c r="V302" t="s">
        <v>47</v>
      </c>
      <c r="W302" t="s">
        <v>47</v>
      </c>
      <c r="X302" t="s">
        <v>51</v>
      </c>
      <c r="Y302" t="b">
        <v>0</v>
      </c>
      <c r="Z302" t="s">
        <v>47</v>
      </c>
      <c r="AA302" t="s">
        <v>47</v>
      </c>
      <c r="AC302" t="b">
        <v>1</v>
      </c>
      <c r="AD302" t="s">
        <v>52</v>
      </c>
      <c r="AE302" t="s">
        <v>2042</v>
      </c>
      <c r="AF302" t="s">
        <v>2040</v>
      </c>
      <c r="AG302" t="s">
        <v>2043</v>
      </c>
      <c r="AH302" t="s">
        <v>55</v>
      </c>
      <c r="AI302" s="2">
        <v>46160.25</v>
      </c>
      <c r="AJ302" t="s">
        <v>47</v>
      </c>
      <c r="AK302" t="s">
        <v>47</v>
      </c>
      <c r="AL302" s="2">
        <v>46160.479166666664</v>
      </c>
      <c r="AM302" s="2">
        <v>46160.479166666664</v>
      </c>
    </row>
    <row r="303" spans="1:39" x14ac:dyDescent="0.3">
      <c r="A303" t="s">
        <v>2044</v>
      </c>
      <c r="B303" t="s">
        <v>2045</v>
      </c>
      <c r="C303" t="s">
        <v>41</v>
      </c>
      <c r="D303" t="s">
        <v>2046</v>
      </c>
      <c r="E303" t="s">
        <v>2047</v>
      </c>
      <c r="F303" t="s">
        <v>2048</v>
      </c>
      <c r="G303" t="s">
        <v>2049</v>
      </c>
      <c r="H303" t="s">
        <v>2050</v>
      </c>
      <c r="I303" t="s">
        <v>47</v>
      </c>
      <c r="J303" t="s">
        <v>47</v>
      </c>
      <c r="K303" t="s">
        <v>47</v>
      </c>
      <c r="L303" t="s">
        <v>47</v>
      </c>
      <c r="M303" t="s">
        <v>47</v>
      </c>
      <c r="N303" s="1">
        <v>46059</v>
      </c>
      <c r="O303" s="1">
        <v>46059</v>
      </c>
      <c r="P303" t="s">
        <v>1678</v>
      </c>
      <c r="Q303" t="s">
        <v>184</v>
      </c>
      <c r="R303">
        <v>1</v>
      </c>
      <c r="S303" t="b">
        <v>0</v>
      </c>
      <c r="T303" t="s">
        <v>47</v>
      </c>
      <c r="U303" t="s">
        <v>47</v>
      </c>
      <c r="V303" t="s">
        <v>47</v>
      </c>
      <c r="W303" t="s">
        <v>47</v>
      </c>
      <c r="X303" t="s">
        <v>51</v>
      </c>
      <c r="Y303" t="b">
        <v>0</v>
      </c>
      <c r="Z303" t="s">
        <v>47</v>
      </c>
      <c r="AA303" t="s">
        <v>47</v>
      </c>
      <c r="AC303" t="b">
        <v>1</v>
      </c>
      <c r="AD303" t="s">
        <v>52</v>
      </c>
      <c r="AE303" t="s">
        <v>2051</v>
      </c>
      <c r="AF303" t="s">
        <v>2046</v>
      </c>
      <c r="AG303" t="s">
        <v>2052</v>
      </c>
      <c r="AH303" t="s">
        <v>55</v>
      </c>
      <c r="AI303" s="2">
        <v>46160.229166666664</v>
      </c>
      <c r="AJ303" t="s">
        <v>47</v>
      </c>
      <c r="AK303" t="s">
        <v>47</v>
      </c>
      <c r="AL303" s="2">
        <v>46160.458333333336</v>
      </c>
      <c r="AM303" s="2">
        <v>46160.458333333336</v>
      </c>
    </row>
    <row r="304" spans="1:39" x14ac:dyDescent="0.3">
      <c r="A304" t="s">
        <v>2053</v>
      </c>
      <c r="B304" t="s">
        <v>2054</v>
      </c>
      <c r="C304" t="s">
        <v>41</v>
      </c>
      <c r="D304" t="s">
        <v>2055</v>
      </c>
      <c r="E304" t="s">
        <v>2056</v>
      </c>
      <c r="F304" t="s">
        <v>2057</v>
      </c>
      <c r="G304" t="s">
        <v>2058</v>
      </c>
      <c r="H304" t="s">
        <v>2059</v>
      </c>
      <c r="I304" t="s">
        <v>47</v>
      </c>
      <c r="J304" t="s">
        <v>47</v>
      </c>
      <c r="K304" t="s">
        <v>47</v>
      </c>
      <c r="L304" t="s">
        <v>47</v>
      </c>
      <c r="M304" s="1">
        <v>46059</v>
      </c>
      <c r="N304" s="1">
        <v>46059</v>
      </c>
      <c r="O304" s="1">
        <v>46059</v>
      </c>
      <c r="P304" t="s">
        <v>1678</v>
      </c>
      <c r="Q304" t="s">
        <v>50</v>
      </c>
      <c r="R304">
        <v>1</v>
      </c>
      <c r="S304" t="b">
        <v>0</v>
      </c>
      <c r="T304" t="s">
        <v>47</v>
      </c>
      <c r="U304" t="s">
        <v>47</v>
      </c>
      <c r="V304" t="s">
        <v>47</v>
      </c>
      <c r="W304" t="s">
        <v>47</v>
      </c>
      <c r="X304" t="s">
        <v>51</v>
      </c>
      <c r="Y304" t="b">
        <v>0</v>
      </c>
      <c r="Z304" t="s">
        <v>47</v>
      </c>
      <c r="AA304" t="s">
        <v>47</v>
      </c>
      <c r="AB304" t="s">
        <v>47</v>
      </c>
      <c r="AC304" t="b">
        <v>1</v>
      </c>
      <c r="AD304" t="s">
        <v>52</v>
      </c>
      <c r="AE304" t="s">
        <v>2060</v>
      </c>
      <c r="AF304" t="s">
        <v>2055</v>
      </c>
      <c r="AG304" t="s">
        <v>47</v>
      </c>
      <c r="AH304" t="s">
        <v>87</v>
      </c>
      <c r="AI304" s="2">
        <v>46160.598310185182</v>
      </c>
      <c r="AJ304" t="s">
        <v>47</v>
      </c>
      <c r="AK304" t="s">
        <v>47</v>
      </c>
      <c r="AL304" s="2">
        <v>46160.598310185182</v>
      </c>
      <c r="AM304" s="2">
        <v>46160.598310185182</v>
      </c>
    </row>
    <row r="305" spans="1:39" x14ac:dyDescent="0.3">
      <c r="A305" t="s">
        <v>2061</v>
      </c>
      <c r="B305" t="s">
        <v>2062</v>
      </c>
      <c r="C305" t="s">
        <v>41</v>
      </c>
      <c r="D305" t="s">
        <v>2063</v>
      </c>
      <c r="E305" t="s">
        <v>2064</v>
      </c>
      <c r="F305" t="s">
        <v>1674</v>
      </c>
      <c r="G305" t="s">
        <v>1675</v>
      </c>
      <c r="H305" t="s">
        <v>1676</v>
      </c>
      <c r="I305" t="s">
        <v>47</v>
      </c>
      <c r="J305" t="s">
        <v>47</v>
      </c>
      <c r="K305" t="s">
        <v>1677</v>
      </c>
      <c r="L305" t="s">
        <v>47</v>
      </c>
      <c r="M305" s="1">
        <v>46059</v>
      </c>
      <c r="N305" s="1">
        <v>46059</v>
      </c>
      <c r="O305" s="1">
        <v>46059</v>
      </c>
      <c r="P305" t="s">
        <v>1678</v>
      </c>
      <c r="Q305" t="s">
        <v>50</v>
      </c>
      <c r="R305">
        <v>1</v>
      </c>
      <c r="S305" t="b">
        <v>0</v>
      </c>
      <c r="T305" t="s">
        <v>47</v>
      </c>
      <c r="U305" t="s">
        <v>47</v>
      </c>
      <c r="V305" t="s">
        <v>47</v>
      </c>
      <c r="W305" t="s">
        <v>47</v>
      </c>
      <c r="X305" t="s">
        <v>51</v>
      </c>
      <c r="Y305" t="b">
        <v>0</v>
      </c>
      <c r="Z305" t="s">
        <v>47</v>
      </c>
      <c r="AA305" t="s">
        <v>47</v>
      </c>
      <c r="AB305" t="s">
        <v>47</v>
      </c>
      <c r="AC305" t="b">
        <v>1</v>
      </c>
      <c r="AD305" t="s">
        <v>52</v>
      </c>
      <c r="AE305" t="s">
        <v>2065</v>
      </c>
      <c r="AF305" t="s">
        <v>2063</v>
      </c>
      <c r="AG305" t="s">
        <v>47</v>
      </c>
      <c r="AH305" t="s">
        <v>87</v>
      </c>
      <c r="AI305" s="2">
        <v>46160.565381944441</v>
      </c>
      <c r="AJ305" t="s">
        <v>47</v>
      </c>
      <c r="AK305" t="s">
        <v>47</v>
      </c>
      <c r="AL305" s="2">
        <v>46160.565381944441</v>
      </c>
      <c r="AM305" s="2">
        <v>46160.565381944441</v>
      </c>
    </row>
    <row r="306" spans="1:39" x14ac:dyDescent="0.3">
      <c r="A306" t="s">
        <v>2066</v>
      </c>
      <c r="B306" t="s">
        <v>2067</v>
      </c>
      <c r="C306" t="s">
        <v>41</v>
      </c>
      <c r="D306" t="s">
        <v>2068</v>
      </c>
      <c r="E306" t="s">
        <v>2069</v>
      </c>
      <c r="F306" t="s">
        <v>127</v>
      </c>
      <c r="G306" t="s">
        <v>128</v>
      </c>
      <c r="H306" t="s">
        <v>129</v>
      </c>
      <c r="I306" t="s">
        <v>47</v>
      </c>
      <c r="J306" t="s">
        <v>47</v>
      </c>
      <c r="K306" t="s">
        <v>130</v>
      </c>
      <c r="L306" t="s">
        <v>47</v>
      </c>
      <c r="M306" t="s">
        <v>47</v>
      </c>
      <c r="N306" s="1">
        <v>46059</v>
      </c>
      <c r="O306" s="1">
        <v>46059</v>
      </c>
      <c r="P306" t="s">
        <v>49</v>
      </c>
      <c r="Q306" t="s">
        <v>50</v>
      </c>
      <c r="R306">
        <v>3</v>
      </c>
      <c r="S306" t="b">
        <v>1</v>
      </c>
      <c r="T306" t="s">
        <v>47</v>
      </c>
      <c r="U306" t="s">
        <v>47</v>
      </c>
      <c r="V306" t="s">
        <v>47</v>
      </c>
      <c r="W306" t="s">
        <v>47</v>
      </c>
      <c r="X306" t="s">
        <v>51</v>
      </c>
      <c r="Y306" t="b">
        <v>0</v>
      </c>
      <c r="Z306" t="s">
        <v>47</v>
      </c>
      <c r="AA306" t="s">
        <v>47</v>
      </c>
      <c r="AB306">
        <v>0.6</v>
      </c>
      <c r="AC306" t="b">
        <v>1</v>
      </c>
      <c r="AD306" t="s">
        <v>52</v>
      </c>
      <c r="AE306" t="s">
        <v>2070</v>
      </c>
      <c r="AF306" t="s">
        <v>2068</v>
      </c>
      <c r="AG306" t="s">
        <v>2071</v>
      </c>
      <c r="AH306" t="s">
        <v>55</v>
      </c>
      <c r="AI306" s="2">
        <v>46160.173611111109</v>
      </c>
      <c r="AJ306" t="s">
        <v>47</v>
      </c>
      <c r="AK306" t="s">
        <v>47</v>
      </c>
      <c r="AL306" s="2">
        <v>46160.402777777781</v>
      </c>
      <c r="AM306" s="2">
        <v>46160.402777777781</v>
      </c>
    </row>
    <row r="307" spans="1:39" x14ac:dyDescent="0.3">
      <c r="A307" t="s">
        <v>2072</v>
      </c>
      <c r="B307" t="s">
        <v>2073</v>
      </c>
      <c r="C307" t="s">
        <v>41</v>
      </c>
      <c r="D307" t="s">
        <v>2074</v>
      </c>
      <c r="E307" t="s">
        <v>2075</v>
      </c>
      <c r="F307" t="s">
        <v>322</v>
      </c>
      <c r="G307" t="s">
        <v>323</v>
      </c>
      <c r="H307" t="s">
        <v>779</v>
      </c>
      <c r="I307" t="s">
        <v>47</v>
      </c>
      <c r="J307" t="s">
        <v>47</v>
      </c>
      <c r="K307" t="s">
        <v>253</v>
      </c>
      <c r="L307" t="s">
        <v>47</v>
      </c>
      <c r="M307" t="s">
        <v>47</v>
      </c>
      <c r="N307" s="1">
        <v>46059</v>
      </c>
      <c r="O307" s="1">
        <v>46059</v>
      </c>
      <c r="P307" t="s">
        <v>254</v>
      </c>
      <c r="Q307" t="s">
        <v>50</v>
      </c>
      <c r="R307">
        <v>1</v>
      </c>
      <c r="S307" t="b">
        <v>0</v>
      </c>
      <c r="T307" t="s">
        <v>47</v>
      </c>
      <c r="U307" t="s">
        <v>47</v>
      </c>
      <c r="V307" t="s">
        <v>47</v>
      </c>
      <c r="W307" t="s">
        <v>47</v>
      </c>
      <c r="X307" t="s">
        <v>51</v>
      </c>
      <c r="Y307" t="b">
        <v>0</v>
      </c>
      <c r="Z307" t="s">
        <v>47</v>
      </c>
      <c r="AA307" t="s">
        <v>47</v>
      </c>
      <c r="AC307" t="b">
        <v>1</v>
      </c>
      <c r="AD307" t="s">
        <v>52</v>
      </c>
      <c r="AE307" t="s">
        <v>2076</v>
      </c>
      <c r="AF307" t="s">
        <v>2074</v>
      </c>
      <c r="AG307" t="s">
        <v>2077</v>
      </c>
      <c r="AH307" t="s">
        <v>55</v>
      </c>
      <c r="AI307" s="2">
        <v>46160.201388888891</v>
      </c>
      <c r="AJ307" t="s">
        <v>47</v>
      </c>
      <c r="AK307" t="s">
        <v>47</v>
      </c>
      <c r="AL307" s="2">
        <v>46160.430555555555</v>
      </c>
      <c r="AM307" s="2">
        <v>46160.430555555555</v>
      </c>
    </row>
    <row r="308" spans="1:39" x14ac:dyDescent="0.3">
      <c r="A308" t="s">
        <v>2078</v>
      </c>
      <c r="B308" t="s">
        <v>2079</v>
      </c>
      <c r="C308" t="s">
        <v>41</v>
      </c>
      <c r="D308" t="s">
        <v>2080</v>
      </c>
      <c r="E308" t="s">
        <v>2081</v>
      </c>
      <c r="F308" t="s">
        <v>322</v>
      </c>
      <c r="G308" t="s">
        <v>323</v>
      </c>
      <c r="H308" t="s">
        <v>2082</v>
      </c>
      <c r="I308" t="s">
        <v>47</v>
      </c>
      <c r="J308" t="s">
        <v>47</v>
      </c>
      <c r="K308" t="s">
        <v>253</v>
      </c>
      <c r="L308" t="s">
        <v>47</v>
      </c>
      <c r="M308" t="s">
        <v>47</v>
      </c>
      <c r="N308" s="1">
        <v>46059</v>
      </c>
      <c r="O308" s="1">
        <v>46059</v>
      </c>
      <c r="P308" t="s">
        <v>254</v>
      </c>
      <c r="Q308" t="s">
        <v>50</v>
      </c>
      <c r="R308">
        <v>1</v>
      </c>
      <c r="S308" t="b">
        <v>0</v>
      </c>
      <c r="T308" t="s">
        <v>47</v>
      </c>
      <c r="U308" t="s">
        <v>47</v>
      </c>
      <c r="V308" t="s">
        <v>47</v>
      </c>
      <c r="W308" t="s">
        <v>47</v>
      </c>
      <c r="X308" t="s">
        <v>51</v>
      </c>
      <c r="Y308" t="b">
        <v>0</v>
      </c>
      <c r="Z308" t="s">
        <v>47</v>
      </c>
      <c r="AA308" t="s">
        <v>47</v>
      </c>
      <c r="AC308" t="b">
        <v>1</v>
      </c>
      <c r="AD308" t="s">
        <v>52</v>
      </c>
      <c r="AE308" t="s">
        <v>2083</v>
      </c>
      <c r="AF308" t="s">
        <v>2080</v>
      </c>
      <c r="AG308" t="s">
        <v>2084</v>
      </c>
      <c r="AH308" t="s">
        <v>55</v>
      </c>
      <c r="AI308" s="2">
        <v>46160.173611111109</v>
      </c>
      <c r="AJ308" t="s">
        <v>47</v>
      </c>
      <c r="AK308" t="s">
        <v>47</v>
      </c>
      <c r="AL308" s="2">
        <v>46160.402777777781</v>
      </c>
      <c r="AM308" s="2">
        <v>46160.402777777781</v>
      </c>
    </row>
    <row r="309" spans="1:39" x14ac:dyDescent="0.3">
      <c r="A309" t="s">
        <v>2085</v>
      </c>
      <c r="B309" t="s">
        <v>2086</v>
      </c>
      <c r="C309" t="s">
        <v>41</v>
      </c>
      <c r="D309" t="s">
        <v>2087</v>
      </c>
      <c r="E309" t="s">
        <v>2088</v>
      </c>
      <c r="F309" t="s">
        <v>2089</v>
      </c>
      <c r="G309" t="s">
        <v>2090</v>
      </c>
      <c r="H309" t="s">
        <v>2091</v>
      </c>
      <c r="I309" t="s">
        <v>47</v>
      </c>
      <c r="J309" t="s">
        <v>47</v>
      </c>
      <c r="K309" t="s">
        <v>47</v>
      </c>
      <c r="L309" t="s">
        <v>47</v>
      </c>
      <c r="M309" t="s">
        <v>47</v>
      </c>
      <c r="N309" s="1">
        <v>46059</v>
      </c>
      <c r="O309" s="1">
        <v>46059</v>
      </c>
      <c r="P309" t="s">
        <v>722</v>
      </c>
      <c r="Q309" t="s">
        <v>184</v>
      </c>
      <c r="R309">
        <v>2</v>
      </c>
      <c r="S309" t="b">
        <v>1</v>
      </c>
      <c r="T309" t="s">
        <v>47</v>
      </c>
      <c r="U309" t="s">
        <v>47</v>
      </c>
      <c r="V309" t="s">
        <v>47</v>
      </c>
      <c r="W309" t="s">
        <v>47</v>
      </c>
      <c r="X309" t="s">
        <v>51</v>
      </c>
      <c r="Y309" t="b">
        <v>0</v>
      </c>
      <c r="Z309" t="s">
        <v>47</v>
      </c>
      <c r="AA309" t="s">
        <v>47</v>
      </c>
      <c r="AB309">
        <v>0.5</v>
      </c>
      <c r="AC309" t="b">
        <v>1</v>
      </c>
      <c r="AD309" t="s">
        <v>52</v>
      </c>
      <c r="AE309" t="s">
        <v>2092</v>
      </c>
      <c r="AF309" t="s">
        <v>2087</v>
      </c>
      <c r="AG309" t="s">
        <v>2093</v>
      </c>
      <c r="AH309" t="s">
        <v>55</v>
      </c>
      <c r="AI309" s="2">
        <v>46160.229166666664</v>
      </c>
      <c r="AJ309" t="s">
        <v>47</v>
      </c>
      <c r="AK309" t="s">
        <v>47</v>
      </c>
      <c r="AL309" s="2">
        <v>46160.458333333336</v>
      </c>
      <c r="AM309" s="2">
        <v>46160.458333333336</v>
      </c>
    </row>
    <row r="310" spans="1:39" x14ac:dyDescent="0.3">
      <c r="A310" t="s">
        <v>2094</v>
      </c>
      <c r="B310" t="s">
        <v>2095</v>
      </c>
      <c r="C310" t="s">
        <v>41</v>
      </c>
      <c r="D310" t="s">
        <v>2096</v>
      </c>
      <c r="E310" t="s">
        <v>2097</v>
      </c>
      <c r="F310" t="s">
        <v>83</v>
      </c>
      <c r="G310" t="s">
        <v>84</v>
      </c>
      <c r="H310" t="s">
        <v>85</v>
      </c>
      <c r="I310" t="s">
        <v>47</v>
      </c>
      <c r="J310" t="s">
        <v>47</v>
      </c>
      <c r="K310" t="s">
        <v>48</v>
      </c>
      <c r="L310" t="s">
        <v>47</v>
      </c>
      <c r="M310" s="1">
        <v>46059</v>
      </c>
      <c r="N310" s="1">
        <v>46059</v>
      </c>
      <c r="O310" s="1">
        <v>46059</v>
      </c>
      <c r="P310" t="s">
        <v>49</v>
      </c>
      <c r="Q310" t="s">
        <v>50</v>
      </c>
      <c r="R310">
        <v>2</v>
      </c>
      <c r="S310" t="b">
        <v>0</v>
      </c>
      <c r="T310" t="s">
        <v>47</v>
      </c>
      <c r="U310" t="s">
        <v>47</v>
      </c>
      <c r="V310" t="s">
        <v>47</v>
      </c>
      <c r="W310" t="s">
        <v>47</v>
      </c>
      <c r="X310" t="s">
        <v>51</v>
      </c>
      <c r="Y310" t="b">
        <v>0</v>
      </c>
      <c r="Z310" t="s">
        <v>47</v>
      </c>
      <c r="AA310" t="s">
        <v>47</v>
      </c>
      <c r="AB310" t="s">
        <v>47</v>
      </c>
      <c r="AC310" t="b">
        <v>1</v>
      </c>
      <c r="AD310" t="s">
        <v>52</v>
      </c>
      <c r="AE310" t="s">
        <v>2098</v>
      </c>
      <c r="AF310" t="s">
        <v>2096</v>
      </c>
      <c r="AG310" t="s">
        <v>47</v>
      </c>
      <c r="AH310" t="s">
        <v>87</v>
      </c>
      <c r="AI310" s="2">
        <v>46160.581724537034</v>
      </c>
      <c r="AJ310" t="s">
        <v>47</v>
      </c>
      <c r="AK310" t="s">
        <v>47</v>
      </c>
      <c r="AL310" s="2">
        <v>46160.581724537034</v>
      </c>
      <c r="AM310" s="2">
        <v>46160.581724537034</v>
      </c>
    </row>
    <row r="311" spans="1:39" x14ac:dyDescent="0.3">
      <c r="A311" t="s">
        <v>2099</v>
      </c>
      <c r="B311" t="s">
        <v>2100</v>
      </c>
      <c r="C311" t="s">
        <v>41</v>
      </c>
      <c r="D311" t="s">
        <v>2101</v>
      </c>
      <c r="E311" t="s">
        <v>2102</v>
      </c>
      <c r="F311" t="s">
        <v>83</v>
      </c>
      <c r="G311" t="s">
        <v>84</v>
      </c>
      <c r="H311" t="s">
        <v>1190</v>
      </c>
      <c r="I311" t="s">
        <v>47</v>
      </c>
      <c r="J311" t="s">
        <v>47</v>
      </c>
      <c r="K311" t="s">
        <v>48</v>
      </c>
      <c r="L311" t="s">
        <v>47</v>
      </c>
      <c r="M311" s="1">
        <v>46059</v>
      </c>
      <c r="N311" s="1">
        <v>46059</v>
      </c>
      <c r="O311" s="1">
        <v>46059</v>
      </c>
      <c r="P311" t="s">
        <v>49</v>
      </c>
      <c r="Q311" t="s">
        <v>50</v>
      </c>
      <c r="R311">
        <v>2</v>
      </c>
      <c r="S311" t="b">
        <v>0</v>
      </c>
      <c r="T311" t="s">
        <v>47</v>
      </c>
      <c r="U311" t="s">
        <v>47</v>
      </c>
      <c r="V311" t="s">
        <v>47</v>
      </c>
      <c r="W311" t="s">
        <v>47</v>
      </c>
      <c r="X311" t="s">
        <v>51</v>
      </c>
      <c r="Y311" t="b">
        <v>0</v>
      </c>
      <c r="Z311" t="s">
        <v>47</v>
      </c>
      <c r="AA311" t="s">
        <v>47</v>
      </c>
      <c r="AB311" t="s">
        <v>47</v>
      </c>
      <c r="AC311" t="b">
        <v>1</v>
      </c>
      <c r="AD311" t="s">
        <v>52</v>
      </c>
      <c r="AE311" t="s">
        <v>2103</v>
      </c>
      <c r="AF311" t="s">
        <v>2101</v>
      </c>
      <c r="AG311" t="s">
        <v>47</v>
      </c>
      <c r="AH311" t="s">
        <v>87</v>
      </c>
      <c r="AI311" s="2">
        <v>46160.581724537034</v>
      </c>
      <c r="AJ311" t="s">
        <v>47</v>
      </c>
      <c r="AK311" t="s">
        <v>47</v>
      </c>
      <c r="AL311" s="2">
        <v>46160.581724537034</v>
      </c>
      <c r="AM311" s="2">
        <v>46160.581724537034</v>
      </c>
    </row>
    <row r="312" spans="1:39" x14ac:dyDescent="0.3">
      <c r="A312" t="s">
        <v>2104</v>
      </c>
      <c r="B312" t="s">
        <v>2105</v>
      </c>
      <c r="C312" t="s">
        <v>41</v>
      </c>
      <c r="D312" t="s">
        <v>2106</v>
      </c>
      <c r="E312" t="s">
        <v>2107</v>
      </c>
      <c r="F312" t="s">
        <v>83</v>
      </c>
      <c r="G312" t="s">
        <v>84</v>
      </c>
      <c r="H312" t="s">
        <v>85</v>
      </c>
      <c r="I312" t="s">
        <v>47</v>
      </c>
      <c r="J312" t="s">
        <v>47</v>
      </c>
      <c r="K312" t="s">
        <v>48</v>
      </c>
      <c r="L312" t="s">
        <v>47</v>
      </c>
      <c r="M312" s="1">
        <v>46059</v>
      </c>
      <c r="N312" s="1">
        <v>46059</v>
      </c>
      <c r="O312" s="1">
        <v>46059</v>
      </c>
      <c r="P312" t="s">
        <v>49</v>
      </c>
      <c r="Q312" t="s">
        <v>50</v>
      </c>
      <c r="R312">
        <v>2</v>
      </c>
      <c r="S312" t="b">
        <v>0</v>
      </c>
      <c r="T312" t="s">
        <v>47</v>
      </c>
      <c r="U312" t="s">
        <v>47</v>
      </c>
      <c r="V312" t="s">
        <v>47</v>
      </c>
      <c r="W312" t="s">
        <v>47</v>
      </c>
      <c r="X312" t="s">
        <v>51</v>
      </c>
      <c r="Y312" t="b">
        <v>0</v>
      </c>
      <c r="Z312" t="s">
        <v>47</v>
      </c>
      <c r="AA312" t="s">
        <v>47</v>
      </c>
      <c r="AB312" t="s">
        <v>47</v>
      </c>
      <c r="AC312" t="b">
        <v>1</v>
      </c>
      <c r="AD312" t="s">
        <v>52</v>
      </c>
      <c r="AE312" t="s">
        <v>2108</v>
      </c>
      <c r="AF312" t="s">
        <v>2106</v>
      </c>
      <c r="AG312" t="s">
        <v>47</v>
      </c>
      <c r="AH312" t="s">
        <v>87</v>
      </c>
      <c r="AI312" s="2">
        <v>46160.598310185182</v>
      </c>
      <c r="AJ312" t="s">
        <v>47</v>
      </c>
      <c r="AK312" t="s">
        <v>47</v>
      </c>
      <c r="AL312" s="2">
        <v>46160.598310185182</v>
      </c>
      <c r="AM312" s="2">
        <v>46160.598310185182</v>
      </c>
    </row>
    <row r="313" spans="1:39" x14ac:dyDescent="0.3">
      <c r="A313" t="s">
        <v>2109</v>
      </c>
      <c r="B313" t="s">
        <v>2110</v>
      </c>
      <c r="C313" t="s">
        <v>41</v>
      </c>
      <c r="D313" t="s">
        <v>2111</v>
      </c>
      <c r="E313" t="s">
        <v>2112</v>
      </c>
      <c r="F313" t="s">
        <v>83</v>
      </c>
      <c r="G313" t="s">
        <v>84</v>
      </c>
      <c r="H313" t="s">
        <v>2113</v>
      </c>
      <c r="I313" t="s">
        <v>47</v>
      </c>
      <c r="J313" t="s">
        <v>47</v>
      </c>
      <c r="K313" t="s">
        <v>48</v>
      </c>
      <c r="L313" t="s">
        <v>47</v>
      </c>
      <c r="M313" s="1">
        <v>46059</v>
      </c>
      <c r="N313" s="1">
        <v>46059</v>
      </c>
      <c r="O313" s="1">
        <v>46059</v>
      </c>
      <c r="P313" t="s">
        <v>49</v>
      </c>
      <c r="Q313" t="s">
        <v>50</v>
      </c>
      <c r="R313">
        <v>2</v>
      </c>
      <c r="S313" t="b">
        <v>0</v>
      </c>
      <c r="T313" t="s">
        <v>47</v>
      </c>
      <c r="U313" t="s">
        <v>47</v>
      </c>
      <c r="V313" t="s">
        <v>47</v>
      </c>
      <c r="W313" t="s">
        <v>47</v>
      </c>
      <c r="X313" t="s">
        <v>51</v>
      </c>
      <c r="Y313" t="b">
        <v>0</v>
      </c>
      <c r="Z313" t="s">
        <v>47</v>
      </c>
      <c r="AA313" t="s">
        <v>47</v>
      </c>
      <c r="AB313" t="s">
        <v>47</v>
      </c>
      <c r="AC313" t="b">
        <v>1</v>
      </c>
      <c r="AD313" t="s">
        <v>52</v>
      </c>
      <c r="AE313" t="s">
        <v>2114</v>
      </c>
      <c r="AF313" t="s">
        <v>2111</v>
      </c>
      <c r="AG313" t="s">
        <v>47</v>
      </c>
      <c r="AH313" t="s">
        <v>87</v>
      </c>
      <c r="AI313" s="2">
        <v>46160.598310185182</v>
      </c>
      <c r="AJ313" t="s">
        <v>47</v>
      </c>
      <c r="AK313" t="s">
        <v>47</v>
      </c>
      <c r="AL313" s="2">
        <v>46160.598310185182</v>
      </c>
      <c r="AM313" s="2">
        <v>46160.598310185182</v>
      </c>
    </row>
    <row r="314" spans="1:39" x14ac:dyDescent="0.3">
      <c r="A314" t="s">
        <v>2115</v>
      </c>
      <c r="B314" t="s">
        <v>2116</v>
      </c>
      <c r="C314" t="s">
        <v>41</v>
      </c>
      <c r="D314" t="s">
        <v>2117</v>
      </c>
      <c r="E314" t="s">
        <v>2118</v>
      </c>
      <c r="F314" t="s">
        <v>107</v>
      </c>
      <c r="G314" t="s">
        <v>108</v>
      </c>
      <c r="H314" t="s">
        <v>109</v>
      </c>
      <c r="I314" t="s">
        <v>47</v>
      </c>
      <c r="J314" t="s">
        <v>47</v>
      </c>
      <c r="K314" t="s">
        <v>48</v>
      </c>
      <c r="L314" t="s">
        <v>47</v>
      </c>
      <c r="M314" t="s">
        <v>47</v>
      </c>
      <c r="N314" s="1">
        <v>46059</v>
      </c>
      <c r="O314" s="1">
        <v>46059</v>
      </c>
      <c r="P314" t="s">
        <v>49</v>
      </c>
      <c r="Q314" t="s">
        <v>50</v>
      </c>
      <c r="R314">
        <v>2</v>
      </c>
      <c r="S314" t="b">
        <v>0</v>
      </c>
      <c r="T314" t="s">
        <v>47</v>
      </c>
      <c r="U314" t="s">
        <v>47</v>
      </c>
      <c r="V314" t="s">
        <v>47</v>
      </c>
      <c r="W314" t="s">
        <v>47</v>
      </c>
      <c r="X314" t="s">
        <v>51</v>
      </c>
      <c r="Y314" t="b">
        <v>0</v>
      </c>
      <c r="Z314" t="s">
        <v>47</v>
      </c>
      <c r="AA314" t="s">
        <v>47</v>
      </c>
      <c r="AC314" t="b">
        <v>1</v>
      </c>
      <c r="AD314" t="s">
        <v>52</v>
      </c>
      <c r="AE314" t="s">
        <v>2119</v>
      </c>
      <c r="AF314" t="s">
        <v>2117</v>
      </c>
      <c r="AG314" t="s">
        <v>2120</v>
      </c>
      <c r="AH314" t="s">
        <v>55</v>
      </c>
      <c r="AI314" s="2">
        <v>46160.25</v>
      </c>
      <c r="AJ314" t="s">
        <v>47</v>
      </c>
      <c r="AK314" t="s">
        <v>47</v>
      </c>
      <c r="AL314" s="2">
        <v>46160.479166666664</v>
      </c>
      <c r="AM314" s="2">
        <v>46160.479166666664</v>
      </c>
    </row>
    <row r="315" spans="1:39" x14ac:dyDescent="0.3">
      <c r="A315" t="s">
        <v>2121</v>
      </c>
      <c r="B315" t="s">
        <v>2122</v>
      </c>
      <c r="C315" t="s">
        <v>41</v>
      </c>
      <c r="D315" t="s">
        <v>2123</v>
      </c>
      <c r="E315" t="s">
        <v>2124</v>
      </c>
      <c r="F315" t="s">
        <v>107</v>
      </c>
      <c r="G315" t="s">
        <v>108</v>
      </c>
      <c r="H315" t="s">
        <v>109</v>
      </c>
      <c r="I315" t="s">
        <v>47</v>
      </c>
      <c r="J315" t="s">
        <v>47</v>
      </c>
      <c r="K315" t="s">
        <v>48</v>
      </c>
      <c r="L315" t="s">
        <v>47</v>
      </c>
      <c r="M315" t="s">
        <v>47</v>
      </c>
      <c r="N315" s="1">
        <v>46059</v>
      </c>
      <c r="O315" s="1">
        <v>46059</v>
      </c>
      <c r="P315" t="s">
        <v>49</v>
      </c>
      <c r="Q315" t="s">
        <v>50</v>
      </c>
      <c r="R315">
        <v>2</v>
      </c>
      <c r="S315" t="b">
        <v>0</v>
      </c>
      <c r="T315" t="s">
        <v>47</v>
      </c>
      <c r="U315" t="s">
        <v>47</v>
      </c>
      <c r="V315" t="s">
        <v>47</v>
      </c>
      <c r="W315" t="s">
        <v>47</v>
      </c>
      <c r="X315" t="s">
        <v>51</v>
      </c>
      <c r="Y315" t="b">
        <v>0</v>
      </c>
      <c r="Z315" t="s">
        <v>47</v>
      </c>
      <c r="AA315" t="s">
        <v>47</v>
      </c>
      <c r="AC315" t="b">
        <v>1</v>
      </c>
      <c r="AD315" t="s">
        <v>52</v>
      </c>
      <c r="AE315" t="s">
        <v>2125</v>
      </c>
      <c r="AF315" t="s">
        <v>2123</v>
      </c>
      <c r="AG315" t="s">
        <v>2126</v>
      </c>
      <c r="AH315" t="s">
        <v>55</v>
      </c>
      <c r="AI315" s="2">
        <v>46160.25</v>
      </c>
      <c r="AJ315" t="s">
        <v>47</v>
      </c>
      <c r="AK315" t="s">
        <v>47</v>
      </c>
      <c r="AL315" s="2">
        <v>46160.479166666664</v>
      </c>
      <c r="AM315" s="2">
        <v>46160.479166666664</v>
      </c>
    </row>
    <row r="316" spans="1:39" x14ac:dyDescent="0.3">
      <c r="A316" t="s">
        <v>2127</v>
      </c>
      <c r="B316" t="s">
        <v>2128</v>
      </c>
      <c r="C316" t="s">
        <v>41</v>
      </c>
      <c r="D316" t="s">
        <v>2129</v>
      </c>
      <c r="E316" t="s">
        <v>2130</v>
      </c>
      <c r="F316" t="s">
        <v>107</v>
      </c>
      <c r="G316" t="s">
        <v>108</v>
      </c>
      <c r="H316" t="s">
        <v>2131</v>
      </c>
      <c r="I316" t="s">
        <v>47</v>
      </c>
      <c r="J316" t="s">
        <v>47</v>
      </c>
      <c r="K316" t="s">
        <v>48</v>
      </c>
      <c r="L316" t="s">
        <v>47</v>
      </c>
      <c r="M316" t="s">
        <v>47</v>
      </c>
      <c r="N316" s="1">
        <v>46059</v>
      </c>
      <c r="O316" s="1">
        <v>46059</v>
      </c>
      <c r="P316" t="s">
        <v>49</v>
      </c>
      <c r="Q316" t="s">
        <v>50</v>
      </c>
      <c r="R316">
        <v>2</v>
      </c>
      <c r="S316" t="b">
        <v>0</v>
      </c>
      <c r="T316" t="s">
        <v>47</v>
      </c>
      <c r="U316" t="s">
        <v>47</v>
      </c>
      <c r="V316" t="s">
        <v>47</v>
      </c>
      <c r="W316" t="s">
        <v>47</v>
      </c>
      <c r="X316" t="s">
        <v>51</v>
      </c>
      <c r="Y316" t="b">
        <v>0</v>
      </c>
      <c r="Z316" t="s">
        <v>47</v>
      </c>
      <c r="AA316" t="s">
        <v>47</v>
      </c>
      <c r="AC316" t="b">
        <v>1</v>
      </c>
      <c r="AD316" t="s">
        <v>52</v>
      </c>
      <c r="AE316" t="s">
        <v>2132</v>
      </c>
      <c r="AF316" t="s">
        <v>2129</v>
      </c>
      <c r="AG316" t="s">
        <v>2133</v>
      </c>
      <c r="AH316" t="s">
        <v>55</v>
      </c>
      <c r="AI316" s="2">
        <v>46160.25</v>
      </c>
      <c r="AJ316" t="s">
        <v>47</v>
      </c>
      <c r="AK316" t="s">
        <v>47</v>
      </c>
      <c r="AL316" s="2">
        <v>46160.479166666664</v>
      </c>
      <c r="AM316" s="2">
        <v>46160.479166666664</v>
      </c>
    </row>
    <row r="317" spans="1:39" x14ac:dyDescent="0.3">
      <c r="A317" t="s">
        <v>2134</v>
      </c>
      <c r="B317" t="s">
        <v>2135</v>
      </c>
      <c r="C317" t="s">
        <v>41</v>
      </c>
      <c r="D317" t="s">
        <v>2136</v>
      </c>
      <c r="E317" t="s">
        <v>2137</v>
      </c>
      <c r="F317" t="s">
        <v>107</v>
      </c>
      <c r="G317" t="s">
        <v>108</v>
      </c>
      <c r="H317" t="s">
        <v>2138</v>
      </c>
      <c r="I317" t="s">
        <v>47</v>
      </c>
      <c r="J317" t="s">
        <v>47</v>
      </c>
      <c r="K317" t="s">
        <v>48</v>
      </c>
      <c r="L317" t="s">
        <v>47</v>
      </c>
      <c r="M317" t="s">
        <v>47</v>
      </c>
      <c r="N317" s="1">
        <v>46059</v>
      </c>
      <c r="O317" s="1">
        <v>46059</v>
      </c>
      <c r="P317" t="s">
        <v>49</v>
      </c>
      <c r="Q317" t="s">
        <v>50</v>
      </c>
      <c r="R317">
        <v>2</v>
      </c>
      <c r="S317" t="b">
        <v>0</v>
      </c>
      <c r="T317" t="s">
        <v>47</v>
      </c>
      <c r="U317" t="s">
        <v>47</v>
      </c>
      <c r="V317" t="s">
        <v>47</v>
      </c>
      <c r="W317" t="s">
        <v>47</v>
      </c>
      <c r="X317" t="s">
        <v>51</v>
      </c>
      <c r="Y317" t="b">
        <v>0</v>
      </c>
      <c r="Z317" t="s">
        <v>47</v>
      </c>
      <c r="AA317" t="s">
        <v>47</v>
      </c>
      <c r="AC317" t="b">
        <v>1</v>
      </c>
      <c r="AD317" t="s">
        <v>52</v>
      </c>
      <c r="AE317" t="s">
        <v>2139</v>
      </c>
      <c r="AF317" t="s">
        <v>2136</v>
      </c>
      <c r="AG317" t="s">
        <v>2140</v>
      </c>
      <c r="AH317" t="s">
        <v>55</v>
      </c>
      <c r="AI317" s="2">
        <v>46160.229166666664</v>
      </c>
      <c r="AJ317" t="s">
        <v>47</v>
      </c>
      <c r="AK317" t="s">
        <v>47</v>
      </c>
      <c r="AL317" s="2">
        <v>46160.458333333336</v>
      </c>
      <c r="AM317" s="2">
        <v>46160.458333333336</v>
      </c>
    </row>
    <row r="318" spans="1:39" x14ac:dyDescent="0.3">
      <c r="A318" t="s">
        <v>2141</v>
      </c>
      <c r="B318" t="s">
        <v>2142</v>
      </c>
      <c r="C318" t="s">
        <v>41</v>
      </c>
      <c r="D318" t="s">
        <v>2143</v>
      </c>
      <c r="E318" t="s">
        <v>2144</v>
      </c>
      <c r="F318" t="s">
        <v>2145</v>
      </c>
      <c r="G318" t="s">
        <v>2146</v>
      </c>
      <c r="H318" t="s">
        <v>2147</v>
      </c>
      <c r="I318" t="s">
        <v>47</v>
      </c>
      <c r="J318" t="s">
        <v>47</v>
      </c>
      <c r="K318" t="s">
        <v>2148</v>
      </c>
      <c r="L318" t="s">
        <v>47</v>
      </c>
      <c r="M318" t="s">
        <v>47</v>
      </c>
      <c r="N318" s="1">
        <v>46060</v>
      </c>
      <c r="O318" s="1">
        <v>46060</v>
      </c>
      <c r="P318" t="s">
        <v>288</v>
      </c>
      <c r="Q318" t="s">
        <v>50</v>
      </c>
      <c r="R318">
        <v>2</v>
      </c>
      <c r="S318" t="b">
        <v>0</v>
      </c>
      <c r="T318" t="s">
        <v>47</v>
      </c>
      <c r="U318" t="s">
        <v>47</v>
      </c>
      <c r="V318" t="s">
        <v>47</v>
      </c>
      <c r="W318" t="s">
        <v>47</v>
      </c>
      <c r="X318" t="s">
        <v>51</v>
      </c>
      <c r="Y318" t="b">
        <v>0</v>
      </c>
      <c r="Z318" t="s">
        <v>47</v>
      </c>
      <c r="AA318" t="s">
        <v>47</v>
      </c>
      <c r="AC318" t="b">
        <v>1</v>
      </c>
      <c r="AD318" t="s">
        <v>52</v>
      </c>
      <c r="AE318" t="s">
        <v>2149</v>
      </c>
      <c r="AF318" t="s">
        <v>2143</v>
      </c>
      <c r="AG318" t="s">
        <v>2150</v>
      </c>
      <c r="AH318" t="s">
        <v>55</v>
      </c>
      <c r="AI318" s="2">
        <v>46160.270833333336</v>
      </c>
      <c r="AJ318" t="s">
        <v>47</v>
      </c>
      <c r="AK318" t="s">
        <v>47</v>
      </c>
      <c r="AL318" s="2">
        <v>46160.5</v>
      </c>
      <c r="AM318" s="2">
        <v>46160.5</v>
      </c>
    </row>
    <row r="319" spans="1:39" x14ac:dyDescent="0.3">
      <c r="A319" t="s">
        <v>2151</v>
      </c>
      <c r="B319" t="s">
        <v>2152</v>
      </c>
      <c r="C319" t="s">
        <v>41</v>
      </c>
      <c r="D319" t="s">
        <v>2153</v>
      </c>
      <c r="E319" t="s">
        <v>2154</v>
      </c>
      <c r="F319" t="s">
        <v>83</v>
      </c>
      <c r="G319" t="s">
        <v>84</v>
      </c>
      <c r="H319" t="s">
        <v>85</v>
      </c>
      <c r="I319" t="s">
        <v>47</v>
      </c>
      <c r="J319" t="s">
        <v>47</v>
      </c>
      <c r="K319" t="s">
        <v>48</v>
      </c>
      <c r="L319" t="s">
        <v>47</v>
      </c>
      <c r="M319" s="1">
        <v>46060</v>
      </c>
      <c r="N319" s="1">
        <v>46060</v>
      </c>
      <c r="O319" s="1">
        <v>46060</v>
      </c>
      <c r="P319" t="s">
        <v>49</v>
      </c>
      <c r="Q319" t="s">
        <v>50</v>
      </c>
      <c r="R319">
        <v>2</v>
      </c>
      <c r="S319" t="b">
        <v>0</v>
      </c>
      <c r="T319" t="s">
        <v>47</v>
      </c>
      <c r="U319" t="s">
        <v>47</v>
      </c>
      <c r="V319" t="s">
        <v>47</v>
      </c>
      <c r="W319" t="s">
        <v>47</v>
      </c>
      <c r="X319" t="s">
        <v>51</v>
      </c>
      <c r="Y319" t="b">
        <v>0</v>
      </c>
      <c r="Z319" t="s">
        <v>47</v>
      </c>
      <c r="AA319" t="s">
        <v>47</v>
      </c>
      <c r="AB319" t="s">
        <v>47</v>
      </c>
      <c r="AC319" t="b">
        <v>1</v>
      </c>
      <c r="AD319" t="s">
        <v>52</v>
      </c>
      <c r="AE319" t="s">
        <v>2155</v>
      </c>
      <c r="AF319" t="s">
        <v>2153</v>
      </c>
      <c r="AG319" t="s">
        <v>47</v>
      </c>
      <c r="AH319" t="s">
        <v>87</v>
      </c>
      <c r="AI319" s="2">
        <v>46160.598310185182</v>
      </c>
      <c r="AJ319" t="s">
        <v>47</v>
      </c>
      <c r="AK319" t="s">
        <v>47</v>
      </c>
      <c r="AL319" s="2">
        <v>46160.598310185182</v>
      </c>
      <c r="AM319" s="2">
        <v>46160.598310185182</v>
      </c>
    </row>
    <row r="320" spans="1:39" x14ac:dyDescent="0.3">
      <c r="A320" t="s">
        <v>2156</v>
      </c>
      <c r="B320" t="s">
        <v>2157</v>
      </c>
      <c r="C320" t="s">
        <v>41</v>
      </c>
      <c r="D320" t="s">
        <v>2158</v>
      </c>
      <c r="E320" t="s">
        <v>2159</v>
      </c>
      <c r="F320" t="s">
        <v>83</v>
      </c>
      <c r="G320" t="s">
        <v>84</v>
      </c>
      <c r="H320" t="s">
        <v>85</v>
      </c>
      <c r="I320" t="s">
        <v>47</v>
      </c>
      <c r="J320" t="s">
        <v>47</v>
      </c>
      <c r="K320" t="s">
        <v>48</v>
      </c>
      <c r="L320" t="s">
        <v>47</v>
      </c>
      <c r="M320" s="1">
        <v>46060</v>
      </c>
      <c r="N320" s="1">
        <v>46060</v>
      </c>
      <c r="O320" s="1">
        <v>46060</v>
      </c>
      <c r="P320" t="s">
        <v>49</v>
      </c>
      <c r="Q320" t="s">
        <v>50</v>
      </c>
      <c r="R320">
        <v>2</v>
      </c>
      <c r="S320" t="b">
        <v>0</v>
      </c>
      <c r="T320" t="s">
        <v>47</v>
      </c>
      <c r="U320" t="s">
        <v>47</v>
      </c>
      <c r="V320" t="s">
        <v>47</v>
      </c>
      <c r="W320" t="s">
        <v>47</v>
      </c>
      <c r="X320" t="s">
        <v>51</v>
      </c>
      <c r="Y320" t="b">
        <v>0</v>
      </c>
      <c r="Z320" t="s">
        <v>47</v>
      </c>
      <c r="AA320" t="s">
        <v>47</v>
      </c>
      <c r="AB320" t="s">
        <v>47</v>
      </c>
      <c r="AC320" t="b">
        <v>1</v>
      </c>
      <c r="AD320" t="s">
        <v>52</v>
      </c>
      <c r="AE320" t="s">
        <v>2160</v>
      </c>
      <c r="AF320" t="s">
        <v>2158</v>
      </c>
      <c r="AG320" t="s">
        <v>47</v>
      </c>
      <c r="AH320" t="s">
        <v>87</v>
      </c>
      <c r="AI320" s="2">
        <v>46160.565381944441</v>
      </c>
      <c r="AJ320" t="s">
        <v>47</v>
      </c>
      <c r="AK320" t="s">
        <v>47</v>
      </c>
      <c r="AL320" s="2">
        <v>46160.565381944441</v>
      </c>
      <c r="AM320" s="2">
        <v>46160.565381944441</v>
      </c>
    </row>
    <row r="321" spans="1:39" x14ac:dyDescent="0.3">
      <c r="A321" t="s">
        <v>2161</v>
      </c>
      <c r="B321" t="s">
        <v>2162</v>
      </c>
      <c r="C321" t="s">
        <v>41</v>
      </c>
      <c r="D321" t="s">
        <v>2163</v>
      </c>
      <c r="E321" t="s">
        <v>2164</v>
      </c>
      <c r="F321" t="s">
        <v>107</v>
      </c>
      <c r="G321" t="s">
        <v>108</v>
      </c>
      <c r="H321" t="s">
        <v>109</v>
      </c>
      <c r="I321" t="s">
        <v>47</v>
      </c>
      <c r="J321" t="s">
        <v>47</v>
      </c>
      <c r="K321" t="s">
        <v>48</v>
      </c>
      <c r="L321" t="s">
        <v>47</v>
      </c>
      <c r="M321" t="s">
        <v>47</v>
      </c>
      <c r="N321" s="1">
        <v>46060</v>
      </c>
      <c r="O321" s="1">
        <v>46060</v>
      </c>
      <c r="P321" t="s">
        <v>49</v>
      </c>
      <c r="Q321" t="s">
        <v>50</v>
      </c>
      <c r="R321">
        <v>2</v>
      </c>
      <c r="S321" t="b">
        <v>0</v>
      </c>
      <c r="T321" t="s">
        <v>47</v>
      </c>
      <c r="U321" t="s">
        <v>47</v>
      </c>
      <c r="V321" t="s">
        <v>47</v>
      </c>
      <c r="W321" t="s">
        <v>47</v>
      </c>
      <c r="X321" t="s">
        <v>51</v>
      </c>
      <c r="Y321" t="b">
        <v>0</v>
      </c>
      <c r="Z321" t="s">
        <v>47</v>
      </c>
      <c r="AA321" t="s">
        <v>47</v>
      </c>
      <c r="AC321" t="b">
        <v>1</v>
      </c>
      <c r="AD321" t="s">
        <v>52</v>
      </c>
      <c r="AE321" t="s">
        <v>2165</v>
      </c>
      <c r="AF321" t="s">
        <v>2163</v>
      </c>
      <c r="AG321" t="s">
        <v>2166</v>
      </c>
      <c r="AH321" t="s">
        <v>55</v>
      </c>
      <c r="AI321" s="2">
        <v>46160.25</v>
      </c>
      <c r="AJ321" t="s">
        <v>47</v>
      </c>
      <c r="AK321" t="s">
        <v>47</v>
      </c>
      <c r="AL321" s="2">
        <v>46160.479166666664</v>
      </c>
      <c r="AM321" s="2">
        <v>46160.479166666664</v>
      </c>
    </row>
    <row r="322" spans="1:39" x14ac:dyDescent="0.3">
      <c r="A322" t="s">
        <v>2167</v>
      </c>
      <c r="B322" t="s">
        <v>2168</v>
      </c>
      <c r="C322" t="s">
        <v>41</v>
      </c>
      <c r="D322" t="s">
        <v>2169</v>
      </c>
      <c r="E322" t="s">
        <v>2170</v>
      </c>
      <c r="F322" t="s">
        <v>107</v>
      </c>
      <c r="G322" t="s">
        <v>108</v>
      </c>
      <c r="H322" t="s">
        <v>2171</v>
      </c>
      <c r="I322" t="s">
        <v>47</v>
      </c>
      <c r="J322" t="s">
        <v>47</v>
      </c>
      <c r="K322" t="s">
        <v>48</v>
      </c>
      <c r="L322" t="s">
        <v>47</v>
      </c>
      <c r="M322" t="s">
        <v>47</v>
      </c>
      <c r="N322" s="1">
        <v>46060</v>
      </c>
      <c r="O322" s="1">
        <v>46060</v>
      </c>
      <c r="P322" t="s">
        <v>49</v>
      </c>
      <c r="Q322" t="s">
        <v>50</v>
      </c>
      <c r="R322">
        <v>2</v>
      </c>
      <c r="S322" t="b">
        <v>0</v>
      </c>
      <c r="T322" t="s">
        <v>47</v>
      </c>
      <c r="U322" t="s">
        <v>47</v>
      </c>
      <c r="V322" t="s">
        <v>47</v>
      </c>
      <c r="W322" t="s">
        <v>47</v>
      </c>
      <c r="X322" t="s">
        <v>51</v>
      </c>
      <c r="Y322" t="b">
        <v>0</v>
      </c>
      <c r="Z322" t="s">
        <v>47</v>
      </c>
      <c r="AA322" t="s">
        <v>47</v>
      </c>
      <c r="AC322" t="b">
        <v>1</v>
      </c>
      <c r="AD322" t="s">
        <v>52</v>
      </c>
      <c r="AE322" t="s">
        <v>2172</v>
      </c>
      <c r="AF322" t="s">
        <v>2169</v>
      </c>
      <c r="AG322" t="s">
        <v>2173</v>
      </c>
      <c r="AH322" t="s">
        <v>55</v>
      </c>
      <c r="AI322" s="2">
        <v>46160.270833333336</v>
      </c>
      <c r="AJ322" t="s">
        <v>47</v>
      </c>
      <c r="AK322" t="s">
        <v>47</v>
      </c>
      <c r="AL322" s="2">
        <v>46160.5</v>
      </c>
      <c r="AM322" s="2">
        <v>46160.5</v>
      </c>
    </row>
    <row r="323" spans="1:39" x14ac:dyDescent="0.3">
      <c r="A323" t="s">
        <v>2174</v>
      </c>
      <c r="B323" t="s">
        <v>2175</v>
      </c>
      <c r="C323" t="s">
        <v>41</v>
      </c>
      <c r="D323" t="s">
        <v>2176</v>
      </c>
      <c r="E323" t="s">
        <v>2177</v>
      </c>
      <c r="F323" t="s">
        <v>107</v>
      </c>
      <c r="G323" t="s">
        <v>108</v>
      </c>
      <c r="H323" t="s">
        <v>2178</v>
      </c>
      <c r="I323" t="s">
        <v>47</v>
      </c>
      <c r="J323" t="s">
        <v>47</v>
      </c>
      <c r="K323" t="s">
        <v>48</v>
      </c>
      <c r="L323" t="s">
        <v>47</v>
      </c>
      <c r="M323" t="s">
        <v>47</v>
      </c>
      <c r="N323" s="1">
        <v>46060</v>
      </c>
      <c r="O323" s="1">
        <v>46060</v>
      </c>
      <c r="P323" t="s">
        <v>49</v>
      </c>
      <c r="Q323" t="s">
        <v>50</v>
      </c>
      <c r="R323">
        <v>2</v>
      </c>
      <c r="S323" t="b">
        <v>0</v>
      </c>
      <c r="T323" t="s">
        <v>47</v>
      </c>
      <c r="U323" t="s">
        <v>47</v>
      </c>
      <c r="V323" t="s">
        <v>47</v>
      </c>
      <c r="W323" t="s">
        <v>47</v>
      </c>
      <c r="X323" t="s">
        <v>51</v>
      </c>
      <c r="Y323" t="b">
        <v>0</v>
      </c>
      <c r="Z323" t="s">
        <v>47</v>
      </c>
      <c r="AA323" t="s">
        <v>47</v>
      </c>
      <c r="AC323" t="b">
        <v>1</v>
      </c>
      <c r="AD323" t="s">
        <v>52</v>
      </c>
      <c r="AE323" t="s">
        <v>2179</v>
      </c>
      <c r="AF323" t="s">
        <v>2176</v>
      </c>
      <c r="AG323" t="s">
        <v>2180</v>
      </c>
      <c r="AH323" t="s">
        <v>55</v>
      </c>
      <c r="AI323" s="2">
        <v>46160.270833333336</v>
      </c>
      <c r="AJ323" t="s">
        <v>47</v>
      </c>
      <c r="AK323" t="s">
        <v>47</v>
      </c>
      <c r="AL323" s="2">
        <v>46160.5</v>
      </c>
      <c r="AM323" s="2">
        <v>46160.5</v>
      </c>
    </row>
    <row r="324" spans="1:39" x14ac:dyDescent="0.3">
      <c r="A324" t="s">
        <v>2181</v>
      </c>
      <c r="B324" t="s">
        <v>2182</v>
      </c>
      <c r="C324" t="s">
        <v>41</v>
      </c>
      <c r="D324" t="s">
        <v>2183</v>
      </c>
      <c r="E324" t="s">
        <v>2184</v>
      </c>
      <c r="F324" t="s">
        <v>2185</v>
      </c>
      <c r="G324" t="s">
        <v>2186</v>
      </c>
      <c r="H324" t="s">
        <v>2187</v>
      </c>
      <c r="I324" t="s">
        <v>47</v>
      </c>
      <c r="J324" t="s">
        <v>47</v>
      </c>
      <c r="K324" t="s">
        <v>2188</v>
      </c>
      <c r="L324" t="s">
        <v>47</v>
      </c>
      <c r="M324" t="s">
        <v>47</v>
      </c>
      <c r="N324" s="1">
        <v>46060</v>
      </c>
      <c r="O324" s="1">
        <v>46060</v>
      </c>
      <c r="P324" t="s">
        <v>2189</v>
      </c>
      <c r="Q324" t="s">
        <v>50</v>
      </c>
      <c r="R324">
        <v>2</v>
      </c>
      <c r="S324" t="b">
        <v>1</v>
      </c>
      <c r="T324" t="s">
        <v>47</v>
      </c>
      <c r="U324" t="s">
        <v>47</v>
      </c>
      <c r="V324" t="s">
        <v>47</v>
      </c>
      <c r="W324" t="s">
        <v>47</v>
      </c>
      <c r="X324" t="s">
        <v>51</v>
      </c>
      <c r="Y324" t="b">
        <v>0</v>
      </c>
      <c r="Z324" t="s">
        <v>47</v>
      </c>
      <c r="AA324" t="s">
        <v>47</v>
      </c>
      <c r="AB324">
        <v>0.55000000000000004</v>
      </c>
      <c r="AC324" t="b">
        <v>1</v>
      </c>
      <c r="AD324" t="s">
        <v>52</v>
      </c>
      <c r="AE324" t="s">
        <v>2190</v>
      </c>
      <c r="AF324" t="s">
        <v>2183</v>
      </c>
      <c r="AG324" t="s">
        <v>2191</v>
      </c>
      <c r="AH324" t="s">
        <v>55</v>
      </c>
      <c r="AI324" s="2">
        <v>46160.229166666664</v>
      </c>
      <c r="AJ324" t="s">
        <v>47</v>
      </c>
      <c r="AK324" t="s">
        <v>47</v>
      </c>
      <c r="AL324" s="2">
        <v>46160.458333333336</v>
      </c>
      <c r="AM324" s="2">
        <v>46160.458333333336</v>
      </c>
    </row>
    <row r="325" spans="1:39" x14ac:dyDescent="0.3">
      <c r="A325" t="s">
        <v>2192</v>
      </c>
      <c r="B325" t="s">
        <v>2193</v>
      </c>
      <c r="C325" t="s">
        <v>41</v>
      </c>
      <c r="D325" t="s">
        <v>2194</v>
      </c>
      <c r="E325" t="s">
        <v>2195</v>
      </c>
      <c r="F325" t="s">
        <v>2196</v>
      </c>
      <c r="G325" t="s">
        <v>2197</v>
      </c>
      <c r="H325" t="s">
        <v>2198</v>
      </c>
      <c r="I325" t="s">
        <v>47</v>
      </c>
      <c r="J325" t="s">
        <v>47</v>
      </c>
      <c r="K325" t="s">
        <v>2199</v>
      </c>
      <c r="L325" t="s">
        <v>47</v>
      </c>
      <c r="M325" t="s">
        <v>47</v>
      </c>
      <c r="N325" s="1">
        <v>46060</v>
      </c>
      <c r="O325" s="1">
        <v>46060</v>
      </c>
      <c r="P325" t="s">
        <v>183</v>
      </c>
      <c r="Q325" t="s">
        <v>50</v>
      </c>
      <c r="R325">
        <v>2</v>
      </c>
      <c r="S325" t="b">
        <v>0</v>
      </c>
      <c r="T325" t="s">
        <v>47</v>
      </c>
      <c r="U325" t="s">
        <v>47</v>
      </c>
      <c r="V325" t="s">
        <v>47</v>
      </c>
      <c r="W325" t="s">
        <v>47</v>
      </c>
      <c r="X325" t="s">
        <v>51</v>
      </c>
      <c r="Y325" t="b">
        <v>0</v>
      </c>
      <c r="Z325" t="s">
        <v>47</v>
      </c>
      <c r="AA325" t="s">
        <v>47</v>
      </c>
      <c r="AC325" t="b">
        <v>1</v>
      </c>
      <c r="AD325" t="s">
        <v>52</v>
      </c>
      <c r="AE325" t="s">
        <v>2200</v>
      </c>
      <c r="AF325" t="s">
        <v>2194</v>
      </c>
      <c r="AG325" t="s">
        <v>2201</v>
      </c>
      <c r="AH325" t="s">
        <v>55</v>
      </c>
      <c r="AI325" s="2">
        <v>46160.25</v>
      </c>
      <c r="AJ325" t="s">
        <v>47</v>
      </c>
      <c r="AK325" t="s">
        <v>47</v>
      </c>
      <c r="AL325" s="2">
        <v>46160.479166666664</v>
      </c>
      <c r="AM325" s="2">
        <v>46160.479166666664</v>
      </c>
    </row>
    <row r="326" spans="1:39" x14ac:dyDescent="0.3">
      <c r="A326" t="s">
        <v>2202</v>
      </c>
      <c r="B326" t="s">
        <v>2203</v>
      </c>
      <c r="C326" t="s">
        <v>41</v>
      </c>
      <c r="D326" t="s">
        <v>2204</v>
      </c>
      <c r="E326" t="s">
        <v>2205</v>
      </c>
      <c r="F326" t="s">
        <v>1552</v>
      </c>
      <c r="G326" t="s">
        <v>1553</v>
      </c>
      <c r="H326" t="s">
        <v>2206</v>
      </c>
      <c r="I326" t="s">
        <v>47</v>
      </c>
      <c r="J326" t="s">
        <v>47</v>
      </c>
      <c r="K326" t="s">
        <v>47</v>
      </c>
      <c r="L326" t="s">
        <v>47</v>
      </c>
      <c r="M326" t="s">
        <v>47</v>
      </c>
      <c r="N326" s="1">
        <v>46062</v>
      </c>
      <c r="O326" s="1">
        <v>46062</v>
      </c>
      <c r="P326" t="s">
        <v>219</v>
      </c>
      <c r="Q326" t="s">
        <v>50</v>
      </c>
      <c r="R326">
        <v>2</v>
      </c>
      <c r="S326" t="b">
        <v>1</v>
      </c>
      <c r="T326" t="s">
        <v>47</v>
      </c>
      <c r="U326" t="s">
        <v>47</v>
      </c>
      <c r="V326" t="s">
        <v>47</v>
      </c>
      <c r="W326" t="s">
        <v>47</v>
      </c>
      <c r="X326" t="s">
        <v>51</v>
      </c>
      <c r="Y326" t="b">
        <v>0</v>
      </c>
      <c r="Z326" t="s">
        <v>47</v>
      </c>
      <c r="AA326" t="s">
        <v>47</v>
      </c>
      <c r="AB326">
        <v>0.55000000000000004</v>
      </c>
      <c r="AC326" t="b">
        <v>1</v>
      </c>
      <c r="AD326" t="s">
        <v>52</v>
      </c>
      <c r="AE326" t="s">
        <v>2207</v>
      </c>
      <c r="AF326" t="s">
        <v>2204</v>
      </c>
      <c r="AG326" t="s">
        <v>2208</v>
      </c>
      <c r="AH326" t="s">
        <v>55</v>
      </c>
      <c r="AI326" s="2">
        <v>46160.25</v>
      </c>
      <c r="AJ326" t="s">
        <v>47</v>
      </c>
      <c r="AK326" t="s">
        <v>47</v>
      </c>
      <c r="AL326" s="2">
        <v>46160.479166666664</v>
      </c>
      <c r="AM326" s="2">
        <v>46160.479166666664</v>
      </c>
    </row>
    <row r="327" spans="1:39" x14ac:dyDescent="0.3">
      <c r="A327" t="s">
        <v>2209</v>
      </c>
      <c r="B327" t="s">
        <v>2210</v>
      </c>
      <c r="C327" t="s">
        <v>41</v>
      </c>
      <c r="D327" t="s">
        <v>2211</v>
      </c>
      <c r="E327" t="s">
        <v>2212</v>
      </c>
      <c r="F327" t="s">
        <v>2213</v>
      </c>
      <c r="G327" t="s">
        <v>2214</v>
      </c>
      <c r="H327" t="s">
        <v>2215</v>
      </c>
      <c r="I327" t="s">
        <v>47</v>
      </c>
      <c r="J327" t="s">
        <v>47</v>
      </c>
      <c r="K327" t="s">
        <v>721</v>
      </c>
      <c r="L327" t="s">
        <v>47</v>
      </c>
      <c r="M327" t="s">
        <v>47</v>
      </c>
      <c r="N327" s="1">
        <v>46062</v>
      </c>
      <c r="O327" s="1">
        <v>46062</v>
      </c>
      <c r="P327" t="s">
        <v>722</v>
      </c>
      <c r="Q327" t="s">
        <v>184</v>
      </c>
      <c r="R327">
        <v>3</v>
      </c>
      <c r="S327" t="b">
        <v>1</v>
      </c>
      <c r="T327" t="s">
        <v>47</v>
      </c>
      <c r="U327" t="s">
        <v>47</v>
      </c>
      <c r="V327" t="s">
        <v>47</v>
      </c>
      <c r="W327" t="s">
        <v>47</v>
      </c>
      <c r="X327" t="s">
        <v>51</v>
      </c>
      <c r="Y327" t="b">
        <v>0</v>
      </c>
      <c r="Z327" t="s">
        <v>47</v>
      </c>
      <c r="AA327" t="s">
        <v>47</v>
      </c>
      <c r="AB327">
        <v>0.7</v>
      </c>
      <c r="AC327" t="b">
        <v>1</v>
      </c>
      <c r="AD327" t="s">
        <v>52</v>
      </c>
      <c r="AE327" t="s">
        <v>2216</v>
      </c>
      <c r="AF327" t="s">
        <v>2211</v>
      </c>
      <c r="AG327" t="s">
        <v>2217</v>
      </c>
      <c r="AH327" t="s">
        <v>55</v>
      </c>
      <c r="AI327" s="2">
        <v>46160.229166666664</v>
      </c>
      <c r="AJ327" t="s">
        <v>47</v>
      </c>
      <c r="AK327" t="s">
        <v>47</v>
      </c>
      <c r="AL327" s="2">
        <v>46160.458333333336</v>
      </c>
      <c r="AM327" s="2">
        <v>46160.458333333336</v>
      </c>
    </row>
    <row r="328" spans="1:39" x14ac:dyDescent="0.3">
      <c r="A328" t="s">
        <v>2218</v>
      </c>
      <c r="B328" t="s">
        <v>2219</v>
      </c>
      <c r="C328" t="s">
        <v>41</v>
      </c>
      <c r="D328" t="s">
        <v>2220</v>
      </c>
      <c r="E328" t="s">
        <v>2221</v>
      </c>
      <c r="F328" t="s">
        <v>127</v>
      </c>
      <c r="G328" t="s">
        <v>128</v>
      </c>
      <c r="H328" t="s">
        <v>129</v>
      </c>
      <c r="I328" t="s">
        <v>47</v>
      </c>
      <c r="J328" t="s">
        <v>47</v>
      </c>
      <c r="K328" t="s">
        <v>130</v>
      </c>
      <c r="L328" t="s">
        <v>47</v>
      </c>
      <c r="M328" t="s">
        <v>47</v>
      </c>
      <c r="N328" s="1">
        <v>46062</v>
      </c>
      <c r="O328" s="1">
        <v>46062</v>
      </c>
      <c r="P328" t="s">
        <v>49</v>
      </c>
      <c r="Q328" t="s">
        <v>50</v>
      </c>
      <c r="R328">
        <v>3</v>
      </c>
      <c r="S328" t="b">
        <v>1</v>
      </c>
      <c r="T328" t="s">
        <v>47</v>
      </c>
      <c r="U328" t="s">
        <v>47</v>
      </c>
      <c r="V328" t="s">
        <v>47</v>
      </c>
      <c r="W328" t="s">
        <v>47</v>
      </c>
      <c r="X328" t="s">
        <v>51</v>
      </c>
      <c r="Y328" t="b">
        <v>0</v>
      </c>
      <c r="Z328" t="s">
        <v>47</v>
      </c>
      <c r="AA328" t="s">
        <v>47</v>
      </c>
      <c r="AB328">
        <v>0.6</v>
      </c>
      <c r="AC328" t="b">
        <v>1</v>
      </c>
      <c r="AD328" t="s">
        <v>52</v>
      </c>
      <c r="AE328" t="s">
        <v>2222</v>
      </c>
      <c r="AF328" t="s">
        <v>2220</v>
      </c>
      <c r="AG328" t="s">
        <v>2223</v>
      </c>
      <c r="AH328" t="s">
        <v>55</v>
      </c>
      <c r="AI328" s="2">
        <v>46160.173611111109</v>
      </c>
      <c r="AJ328" t="s">
        <v>47</v>
      </c>
      <c r="AK328" t="s">
        <v>47</v>
      </c>
      <c r="AL328" s="2">
        <v>46160.402777777781</v>
      </c>
      <c r="AM328" s="2">
        <v>46160.402777777781</v>
      </c>
    </row>
    <row r="329" spans="1:39" x14ac:dyDescent="0.3">
      <c r="A329" t="s">
        <v>2224</v>
      </c>
      <c r="B329" t="s">
        <v>2225</v>
      </c>
      <c r="C329" t="s">
        <v>41</v>
      </c>
      <c r="D329" t="s">
        <v>2226</v>
      </c>
      <c r="E329" t="s">
        <v>2227</v>
      </c>
      <c r="F329" t="s">
        <v>2228</v>
      </c>
      <c r="G329" t="s">
        <v>2229</v>
      </c>
      <c r="H329" t="s">
        <v>2230</v>
      </c>
      <c r="I329" t="s">
        <v>47</v>
      </c>
      <c r="J329" t="s">
        <v>47</v>
      </c>
      <c r="K329" t="s">
        <v>314</v>
      </c>
      <c r="L329" t="s">
        <v>47</v>
      </c>
      <c r="M329" t="s">
        <v>47</v>
      </c>
      <c r="N329" s="1">
        <v>46062</v>
      </c>
      <c r="O329" s="1">
        <v>46062</v>
      </c>
      <c r="P329" t="s">
        <v>315</v>
      </c>
      <c r="Q329" t="s">
        <v>50</v>
      </c>
      <c r="R329">
        <v>1</v>
      </c>
      <c r="S329" t="b">
        <v>0</v>
      </c>
      <c r="T329" t="s">
        <v>47</v>
      </c>
      <c r="U329" t="s">
        <v>47</v>
      </c>
      <c r="V329" t="s">
        <v>47</v>
      </c>
      <c r="W329" t="s">
        <v>47</v>
      </c>
      <c r="X329" t="s">
        <v>51</v>
      </c>
      <c r="Y329" t="b">
        <v>0</v>
      </c>
      <c r="Z329" t="s">
        <v>47</v>
      </c>
      <c r="AA329" t="s">
        <v>47</v>
      </c>
      <c r="AC329" t="b">
        <v>1</v>
      </c>
      <c r="AD329" t="s">
        <v>52</v>
      </c>
      <c r="AE329" t="s">
        <v>2231</v>
      </c>
      <c r="AF329" t="s">
        <v>2226</v>
      </c>
      <c r="AG329" t="s">
        <v>2232</v>
      </c>
      <c r="AH329" t="s">
        <v>55</v>
      </c>
      <c r="AI329" s="2">
        <v>46160.149305555555</v>
      </c>
      <c r="AJ329" t="s">
        <v>47</v>
      </c>
      <c r="AK329" t="s">
        <v>47</v>
      </c>
      <c r="AL329" s="2">
        <v>46160.171903877315</v>
      </c>
      <c r="AM329" s="2">
        <v>46160.171903877315</v>
      </c>
    </row>
    <row r="330" spans="1:39" x14ac:dyDescent="0.3">
      <c r="A330" t="s">
        <v>2233</v>
      </c>
      <c r="B330" t="s">
        <v>2234</v>
      </c>
      <c r="C330" t="s">
        <v>41</v>
      </c>
      <c r="D330" t="s">
        <v>2235</v>
      </c>
      <c r="E330" t="s">
        <v>2236</v>
      </c>
      <c r="F330" t="s">
        <v>2237</v>
      </c>
      <c r="G330" t="s">
        <v>2238</v>
      </c>
      <c r="H330" t="s">
        <v>2239</v>
      </c>
      <c r="I330" t="s">
        <v>47</v>
      </c>
      <c r="J330" t="s">
        <v>47</v>
      </c>
      <c r="K330" t="s">
        <v>2240</v>
      </c>
      <c r="L330" t="s">
        <v>47</v>
      </c>
      <c r="M330" t="s">
        <v>47</v>
      </c>
      <c r="N330" s="1">
        <v>46063</v>
      </c>
      <c r="O330" s="1">
        <v>46063</v>
      </c>
      <c r="P330" t="s">
        <v>183</v>
      </c>
      <c r="Q330" t="s">
        <v>50</v>
      </c>
      <c r="R330">
        <v>2</v>
      </c>
      <c r="S330" t="b">
        <v>0</v>
      </c>
      <c r="T330" t="s">
        <v>47</v>
      </c>
      <c r="U330" t="s">
        <v>47</v>
      </c>
      <c r="V330" t="s">
        <v>47</v>
      </c>
      <c r="W330" t="s">
        <v>47</v>
      </c>
      <c r="X330" t="s">
        <v>51</v>
      </c>
      <c r="Y330" t="b">
        <v>0</v>
      </c>
      <c r="Z330" t="s">
        <v>47</v>
      </c>
      <c r="AA330" t="s">
        <v>47</v>
      </c>
      <c r="AC330" t="b">
        <v>1</v>
      </c>
      <c r="AD330" t="s">
        <v>52</v>
      </c>
      <c r="AE330" t="s">
        <v>2241</v>
      </c>
      <c r="AF330" t="s">
        <v>2235</v>
      </c>
      <c r="AG330" t="s">
        <v>2242</v>
      </c>
      <c r="AH330" t="s">
        <v>55</v>
      </c>
      <c r="AI330" s="2">
        <v>46160.270833333336</v>
      </c>
      <c r="AJ330" t="s">
        <v>47</v>
      </c>
      <c r="AK330" t="s">
        <v>47</v>
      </c>
      <c r="AL330" s="2">
        <v>46160.5</v>
      </c>
      <c r="AM330" s="2">
        <v>46160.5</v>
      </c>
    </row>
    <row r="331" spans="1:39" x14ac:dyDescent="0.3">
      <c r="A331" t="s">
        <v>2243</v>
      </c>
      <c r="B331" t="s">
        <v>2244</v>
      </c>
      <c r="C331" t="s">
        <v>41</v>
      </c>
      <c r="D331" t="s">
        <v>2245</v>
      </c>
      <c r="E331" t="s">
        <v>2246</v>
      </c>
      <c r="F331" t="s">
        <v>127</v>
      </c>
      <c r="G331" t="s">
        <v>128</v>
      </c>
      <c r="H331" t="s">
        <v>129</v>
      </c>
      <c r="I331" t="s">
        <v>47</v>
      </c>
      <c r="J331" t="s">
        <v>47</v>
      </c>
      <c r="K331" t="s">
        <v>130</v>
      </c>
      <c r="L331" t="s">
        <v>47</v>
      </c>
      <c r="M331" t="s">
        <v>47</v>
      </c>
      <c r="N331" s="1">
        <v>46062</v>
      </c>
      <c r="O331" s="1">
        <v>46062</v>
      </c>
      <c r="P331" t="s">
        <v>49</v>
      </c>
      <c r="Q331" t="s">
        <v>50</v>
      </c>
      <c r="R331">
        <v>3</v>
      </c>
      <c r="S331" t="b">
        <v>1</v>
      </c>
      <c r="T331" t="s">
        <v>47</v>
      </c>
      <c r="U331" t="s">
        <v>47</v>
      </c>
      <c r="V331" t="s">
        <v>47</v>
      </c>
      <c r="W331" t="s">
        <v>47</v>
      </c>
      <c r="X331" t="s">
        <v>51</v>
      </c>
      <c r="Y331" t="b">
        <v>0</v>
      </c>
      <c r="Z331" t="s">
        <v>47</v>
      </c>
      <c r="AA331" t="s">
        <v>47</v>
      </c>
      <c r="AB331">
        <v>0.6</v>
      </c>
      <c r="AC331" t="b">
        <v>1</v>
      </c>
      <c r="AD331" t="s">
        <v>52</v>
      </c>
      <c r="AE331" t="s">
        <v>2247</v>
      </c>
      <c r="AF331" t="s">
        <v>2245</v>
      </c>
      <c r="AG331" t="s">
        <v>2248</v>
      </c>
      <c r="AH331" t="s">
        <v>55</v>
      </c>
      <c r="AI331" s="2">
        <v>46160.201388888891</v>
      </c>
      <c r="AJ331" t="s">
        <v>47</v>
      </c>
      <c r="AK331" t="s">
        <v>47</v>
      </c>
      <c r="AL331" s="2">
        <v>46160.430555555555</v>
      </c>
      <c r="AM331" s="2">
        <v>46160.430555555555</v>
      </c>
    </row>
    <row r="332" spans="1:39" x14ac:dyDescent="0.3">
      <c r="A332" t="s">
        <v>2249</v>
      </c>
      <c r="B332" t="s">
        <v>2250</v>
      </c>
      <c r="C332" t="s">
        <v>41</v>
      </c>
      <c r="D332" t="s">
        <v>2251</v>
      </c>
      <c r="E332" t="s">
        <v>2252</v>
      </c>
      <c r="F332" t="s">
        <v>680</v>
      </c>
      <c r="G332" t="s">
        <v>681</v>
      </c>
      <c r="H332" t="s">
        <v>682</v>
      </c>
      <c r="I332" t="s">
        <v>47</v>
      </c>
      <c r="J332" t="s">
        <v>47</v>
      </c>
      <c r="K332" t="s">
        <v>130</v>
      </c>
      <c r="L332" t="s">
        <v>47</v>
      </c>
      <c r="M332" t="s">
        <v>47</v>
      </c>
      <c r="N332" s="1">
        <v>46063</v>
      </c>
      <c r="O332" s="1">
        <v>46063</v>
      </c>
      <c r="P332" t="s">
        <v>49</v>
      </c>
      <c r="Q332" t="s">
        <v>50</v>
      </c>
      <c r="R332">
        <v>3</v>
      </c>
      <c r="S332" t="b">
        <v>1</v>
      </c>
      <c r="T332" t="s">
        <v>47</v>
      </c>
      <c r="U332" t="s">
        <v>47</v>
      </c>
      <c r="V332" t="s">
        <v>47</v>
      </c>
      <c r="W332" t="s">
        <v>47</v>
      </c>
      <c r="X332" t="s">
        <v>51</v>
      </c>
      <c r="Y332" t="b">
        <v>0</v>
      </c>
      <c r="Z332" t="s">
        <v>47</v>
      </c>
      <c r="AA332" t="s">
        <v>47</v>
      </c>
      <c r="AB332">
        <v>0.6</v>
      </c>
      <c r="AC332" t="b">
        <v>1</v>
      </c>
      <c r="AD332" t="s">
        <v>52</v>
      </c>
      <c r="AE332" t="s">
        <v>2253</v>
      </c>
      <c r="AF332" t="s">
        <v>2251</v>
      </c>
      <c r="AG332" t="s">
        <v>2254</v>
      </c>
      <c r="AH332" t="s">
        <v>55</v>
      </c>
      <c r="AI332" s="2">
        <v>46160.270833333336</v>
      </c>
      <c r="AJ332" t="s">
        <v>47</v>
      </c>
      <c r="AK332" t="s">
        <v>47</v>
      </c>
      <c r="AL332" s="2">
        <v>46160.5</v>
      </c>
      <c r="AM332" s="2">
        <v>46160.5</v>
      </c>
    </row>
    <row r="333" spans="1:39" x14ac:dyDescent="0.3">
      <c r="A333" t="s">
        <v>2255</v>
      </c>
      <c r="B333" t="s">
        <v>2256</v>
      </c>
      <c r="C333" t="s">
        <v>41</v>
      </c>
      <c r="D333" t="s">
        <v>2257</v>
      </c>
      <c r="E333" t="s">
        <v>2258</v>
      </c>
      <c r="F333" t="s">
        <v>2259</v>
      </c>
      <c r="G333" t="s">
        <v>2260</v>
      </c>
      <c r="H333" t="s">
        <v>2261</v>
      </c>
      <c r="I333" t="s">
        <v>47</v>
      </c>
      <c r="J333" t="s">
        <v>47</v>
      </c>
      <c r="K333" t="s">
        <v>605</v>
      </c>
      <c r="L333" t="s">
        <v>47</v>
      </c>
      <c r="M333" t="s">
        <v>47</v>
      </c>
      <c r="N333" s="1">
        <v>46063</v>
      </c>
      <c r="O333" s="1">
        <v>46063</v>
      </c>
      <c r="P333" t="s">
        <v>606</v>
      </c>
      <c r="Q333" t="s">
        <v>50</v>
      </c>
      <c r="R333">
        <v>2</v>
      </c>
      <c r="S333" t="b">
        <v>1</v>
      </c>
      <c r="T333" t="s">
        <v>47</v>
      </c>
      <c r="U333" t="s">
        <v>47</v>
      </c>
      <c r="V333" t="s">
        <v>47</v>
      </c>
      <c r="W333" t="s">
        <v>47</v>
      </c>
      <c r="X333" t="s">
        <v>51</v>
      </c>
      <c r="Y333" t="b">
        <v>0</v>
      </c>
      <c r="Z333" t="s">
        <v>47</v>
      </c>
      <c r="AA333" t="s">
        <v>47</v>
      </c>
      <c r="AB333">
        <v>0.5</v>
      </c>
      <c r="AC333" t="b">
        <v>1</v>
      </c>
      <c r="AD333" t="s">
        <v>52</v>
      </c>
      <c r="AE333" t="s">
        <v>2262</v>
      </c>
      <c r="AF333" t="s">
        <v>2257</v>
      </c>
      <c r="AG333" t="s">
        <v>2263</v>
      </c>
      <c r="AH333" t="s">
        <v>55</v>
      </c>
      <c r="AI333" s="2">
        <v>46160.25</v>
      </c>
      <c r="AJ333" t="s">
        <v>47</v>
      </c>
      <c r="AK333" t="s">
        <v>47</v>
      </c>
      <c r="AL333" s="2">
        <v>46160.479166666664</v>
      </c>
      <c r="AM333" s="2">
        <v>46160.479166666664</v>
      </c>
    </row>
    <row r="334" spans="1:39" x14ac:dyDescent="0.3">
      <c r="A334" t="s">
        <v>2264</v>
      </c>
      <c r="B334" t="s">
        <v>2265</v>
      </c>
      <c r="C334" t="s">
        <v>41</v>
      </c>
      <c r="D334" t="s">
        <v>2266</v>
      </c>
      <c r="E334" t="s">
        <v>2267</v>
      </c>
      <c r="F334" t="s">
        <v>2268</v>
      </c>
      <c r="G334" t="s">
        <v>2269</v>
      </c>
      <c r="H334" t="s">
        <v>2270</v>
      </c>
      <c r="I334" t="s">
        <v>47</v>
      </c>
      <c r="J334" t="s">
        <v>47</v>
      </c>
      <c r="K334" t="s">
        <v>2271</v>
      </c>
      <c r="L334" t="s">
        <v>47</v>
      </c>
      <c r="M334" t="s">
        <v>47</v>
      </c>
      <c r="N334" s="1">
        <v>46063</v>
      </c>
      <c r="O334" s="1">
        <v>46063</v>
      </c>
      <c r="P334" t="s">
        <v>183</v>
      </c>
      <c r="Q334" t="s">
        <v>50</v>
      </c>
      <c r="R334">
        <v>2</v>
      </c>
      <c r="S334" t="b">
        <v>0</v>
      </c>
      <c r="T334" t="s">
        <v>47</v>
      </c>
      <c r="U334" t="s">
        <v>47</v>
      </c>
      <c r="V334" t="s">
        <v>47</v>
      </c>
      <c r="W334" t="s">
        <v>47</v>
      </c>
      <c r="X334" t="s">
        <v>51</v>
      </c>
      <c r="Y334" t="b">
        <v>0</v>
      </c>
      <c r="Z334" t="s">
        <v>47</v>
      </c>
      <c r="AA334" t="s">
        <v>47</v>
      </c>
      <c r="AC334" t="b">
        <v>1</v>
      </c>
      <c r="AD334" t="s">
        <v>52</v>
      </c>
      <c r="AE334" t="s">
        <v>2272</v>
      </c>
      <c r="AF334" t="s">
        <v>2266</v>
      </c>
      <c r="AG334" t="s">
        <v>2273</v>
      </c>
      <c r="AH334" t="s">
        <v>55</v>
      </c>
      <c r="AI334" s="2">
        <v>46160.229166666664</v>
      </c>
      <c r="AJ334" t="s">
        <v>47</v>
      </c>
      <c r="AK334" t="s">
        <v>47</v>
      </c>
      <c r="AL334" s="2">
        <v>46160.458333333336</v>
      </c>
      <c r="AM334" s="2">
        <v>46160.458333333336</v>
      </c>
    </row>
    <row r="335" spans="1:39" x14ac:dyDescent="0.3">
      <c r="A335" t="s">
        <v>2274</v>
      </c>
      <c r="B335" t="s">
        <v>2275</v>
      </c>
      <c r="C335" t="s">
        <v>41</v>
      </c>
      <c r="D335" t="s">
        <v>2276</v>
      </c>
      <c r="E335" t="s">
        <v>2277</v>
      </c>
      <c r="F335" t="s">
        <v>602</v>
      </c>
      <c r="G335" t="s">
        <v>603</v>
      </c>
      <c r="H335" t="s">
        <v>604</v>
      </c>
      <c r="I335" t="s">
        <v>47</v>
      </c>
      <c r="J335" t="s">
        <v>47</v>
      </c>
      <c r="K335" t="s">
        <v>605</v>
      </c>
      <c r="L335" t="s">
        <v>47</v>
      </c>
      <c r="M335" t="s">
        <v>47</v>
      </c>
      <c r="N335" s="1">
        <v>46063</v>
      </c>
      <c r="O335" s="1">
        <v>46063</v>
      </c>
      <c r="P335" t="s">
        <v>606</v>
      </c>
      <c r="Q335" t="s">
        <v>50</v>
      </c>
      <c r="R335">
        <v>2</v>
      </c>
      <c r="S335" t="b">
        <v>1</v>
      </c>
      <c r="T335" t="s">
        <v>47</v>
      </c>
      <c r="U335" t="s">
        <v>47</v>
      </c>
      <c r="V335" t="s">
        <v>47</v>
      </c>
      <c r="W335" t="s">
        <v>47</v>
      </c>
      <c r="X335" t="s">
        <v>51</v>
      </c>
      <c r="Y335" t="b">
        <v>0</v>
      </c>
      <c r="Z335" t="s">
        <v>47</v>
      </c>
      <c r="AA335" t="s">
        <v>47</v>
      </c>
      <c r="AB335">
        <v>0.5</v>
      </c>
      <c r="AC335" t="b">
        <v>1</v>
      </c>
      <c r="AD335" t="s">
        <v>52</v>
      </c>
      <c r="AE335" t="s">
        <v>2278</v>
      </c>
      <c r="AF335" t="s">
        <v>2276</v>
      </c>
      <c r="AG335" t="s">
        <v>2279</v>
      </c>
      <c r="AH335" t="s">
        <v>55</v>
      </c>
      <c r="AI335" s="2">
        <v>46160.173611111109</v>
      </c>
      <c r="AJ335" t="s">
        <v>47</v>
      </c>
      <c r="AK335" t="s">
        <v>47</v>
      </c>
      <c r="AL335" s="2">
        <v>46160.402777777781</v>
      </c>
      <c r="AM335" s="2">
        <v>46160.402777777781</v>
      </c>
    </row>
    <row r="336" spans="1:39" x14ac:dyDescent="0.3">
      <c r="A336" t="s">
        <v>2280</v>
      </c>
      <c r="B336" t="s">
        <v>2281</v>
      </c>
      <c r="C336" t="s">
        <v>41</v>
      </c>
      <c r="D336" t="s">
        <v>2282</v>
      </c>
      <c r="E336" t="s">
        <v>2283</v>
      </c>
      <c r="F336" t="s">
        <v>83</v>
      </c>
      <c r="G336" t="s">
        <v>84</v>
      </c>
      <c r="H336" t="s">
        <v>85</v>
      </c>
      <c r="I336" t="s">
        <v>47</v>
      </c>
      <c r="J336" t="s">
        <v>47</v>
      </c>
      <c r="K336" t="s">
        <v>48</v>
      </c>
      <c r="L336" t="s">
        <v>47</v>
      </c>
      <c r="M336" s="1">
        <v>46064</v>
      </c>
      <c r="N336" s="1">
        <v>46064</v>
      </c>
      <c r="O336" s="1">
        <v>46064</v>
      </c>
      <c r="P336" t="s">
        <v>49</v>
      </c>
      <c r="Q336" t="s">
        <v>50</v>
      </c>
      <c r="R336">
        <v>2</v>
      </c>
      <c r="S336" t="b">
        <v>0</v>
      </c>
      <c r="T336" t="s">
        <v>47</v>
      </c>
      <c r="U336" t="s">
        <v>47</v>
      </c>
      <c r="V336" t="s">
        <v>47</v>
      </c>
      <c r="W336" t="s">
        <v>47</v>
      </c>
      <c r="X336" t="s">
        <v>51</v>
      </c>
      <c r="Y336" t="b">
        <v>0</v>
      </c>
      <c r="Z336" t="s">
        <v>47</v>
      </c>
      <c r="AA336" t="s">
        <v>47</v>
      </c>
      <c r="AB336" t="s">
        <v>47</v>
      </c>
      <c r="AC336" t="b">
        <v>1</v>
      </c>
      <c r="AD336" t="s">
        <v>52</v>
      </c>
      <c r="AE336" t="s">
        <v>2284</v>
      </c>
      <c r="AF336" t="s">
        <v>2282</v>
      </c>
      <c r="AG336" t="s">
        <v>47</v>
      </c>
      <c r="AH336" t="s">
        <v>87</v>
      </c>
      <c r="AI336" s="2">
        <v>46160.614004629628</v>
      </c>
      <c r="AJ336" t="s">
        <v>47</v>
      </c>
      <c r="AK336" t="s">
        <v>47</v>
      </c>
      <c r="AL336" s="2">
        <v>46160.614004629628</v>
      </c>
      <c r="AM336" s="2">
        <v>46160.614004629628</v>
      </c>
    </row>
    <row r="337" spans="1:39" x14ac:dyDescent="0.3">
      <c r="A337" t="s">
        <v>2285</v>
      </c>
      <c r="B337" t="s">
        <v>2286</v>
      </c>
      <c r="C337" t="s">
        <v>41</v>
      </c>
      <c r="D337" t="s">
        <v>2287</v>
      </c>
      <c r="E337" t="s">
        <v>2288</v>
      </c>
      <c r="F337" t="s">
        <v>83</v>
      </c>
      <c r="G337" t="s">
        <v>84</v>
      </c>
      <c r="H337" t="s">
        <v>85</v>
      </c>
      <c r="I337" t="s">
        <v>47</v>
      </c>
      <c r="J337" t="s">
        <v>47</v>
      </c>
      <c r="K337" t="s">
        <v>48</v>
      </c>
      <c r="L337" t="s">
        <v>47</v>
      </c>
      <c r="M337" s="1">
        <v>46064</v>
      </c>
      <c r="N337" s="1">
        <v>46064</v>
      </c>
      <c r="O337" s="1">
        <v>46064</v>
      </c>
      <c r="P337" t="s">
        <v>49</v>
      </c>
      <c r="Q337" t="s">
        <v>50</v>
      </c>
      <c r="R337">
        <v>2</v>
      </c>
      <c r="S337" t="b">
        <v>0</v>
      </c>
      <c r="T337" t="s">
        <v>47</v>
      </c>
      <c r="U337" t="s">
        <v>47</v>
      </c>
      <c r="V337" t="s">
        <v>47</v>
      </c>
      <c r="W337" t="s">
        <v>47</v>
      </c>
      <c r="X337" t="s">
        <v>51</v>
      </c>
      <c r="Y337" t="b">
        <v>0</v>
      </c>
      <c r="Z337" t="s">
        <v>47</v>
      </c>
      <c r="AA337" t="s">
        <v>47</v>
      </c>
      <c r="AB337" t="s">
        <v>47</v>
      </c>
      <c r="AC337" t="b">
        <v>1</v>
      </c>
      <c r="AD337" t="s">
        <v>52</v>
      </c>
      <c r="AE337" t="s">
        <v>2289</v>
      </c>
      <c r="AF337" t="s">
        <v>2287</v>
      </c>
      <c r="AG337" t="s">
        <v>47</v>
      </c>
      <c r="AH337" t="s">
        <v>87</v>
      </c>
      <c r="AI337" s="2">
        <v>46160.614004629628</v>
      </c>
      <c r="AJ337" t="s">
        <v>47</v>
      </c>
      <c r="AK337" t="s">
        <v>47</v>
      </c>
      <c r="AL337" s="2">
        <v>46160.614004629628</v>
      </c>
      <c r="AM337" s="2">
        <v>46160.614004629628</v>
      </c>
    </row>
    <row r="338" spans="1:39" x14ac:dyDescent="0.3">
      <c r="A338" t="s">
        <v>2290</v>
      </c>
      <c r="B338" t="s">
        <v>2291</v>
      </c>
      <c r="C338" t="s">
        <v>41</v>
      </c>
      <c r="D338" t="s">
        <v>2292</v>
      </c>
      <c r="E338" t="s">
        <v>2293</v>
      </c>
      <c r="F338" t="s">
        <v>83</v>
      </c>
      <c r="G338" t="s">
        <v>84</v>
      </c>
      <c r="H338" t="s">
        <v>85</v>
      </c>
      <c r="I338" t="s">
        <v>47</v>
      </c>
      <c r="J338" t="s">
        <v>47</v>
      </c>
      <c r="K338" t="s">
        <v>48</v>
      </c>
      <c r="L338" t="s">
        <v>47</v>
      </c>
      <c r="M338" s="1">
        <v>46064</v>
      </c>
      <c r="N338" s="1">
        <v>46064</v>
      </c>
      <c r="O338" s="1">
        <v>46064</v>
      </c>
      <c r="P338" t="s">
        <v>49</v>
      </c>
      <c r="Q338" t="s">
        <v>50</v>
      </c>
      <c r="R338">
        <v>2</v>
      </c>
      <c r="S338" t="b">
        <v>0</v>
      </c>
      <c r="T338" t="s">
        <v>47</v>
      </c>
      <c r="U338" t="s">
        <v>47</v>
      </c>
      <c r="V338" t="s">
        <v>47</v>
      </c>
      <c r="W338" t="s">
        <v>47</v>
      </c>
      <c r="X338" t="s">
        <v>51</v>
      </c>
      <c r="Y338" t="b">
        <v>0</v>
      </c>
      <c r="Z338" t="s">
        <v>47</v>
      </c>
      <c r="AA338" t="s">
        <v>47</v>
      </c>
      <c r="AB338" t="s">
        <v>47</v>
      </c>
      <c r="AC338" t="b">
        <v>1</v>
      </c>
      <c r="AD338" t="s">
        <v>52</v>
      </c>
      <c r="AE338" t="s">
        <v>2294</v>
      </c>
      <c r="AF338" t="s">
        <v>2292</v>
      </c>
      <c r="AG338" t="s">
        <v>47</v>
      </c>
      <c r="AH338" t="s">
        <v>87</v>
      </c>
      <c r="AI338" s="2">
        <v>46160.614004629628</v>
      </c>
      <c r="AJ338" t="s">
        <v>47</v>
      </c>
      <c r="AK338" t="s">
        <v>47</v>
      </c>
      <c r="AL338" s="2">
        <v>46160.614004629628</v>
      </c>
      <c r="AM338" s="2">
        <v>46160.614004629628</v>
      </c>
    </row>
    <row r="339" spans="1:39" x14ac:dyDescent="0.3">
      <c r="A339" t="s">
        <v>2295</v>
      </c>
      <c r="B339" t="s">
        <v>2296</v>
      </c>
      <c r="C339" t="s">
        <v>41</v>
      </c>
      <c r="D339" t="s">
        <v>2297</v>
      </c>
      <c r="E339" t="s">
        <v>2298</v>
      </c>
      <c r="F339" t="s">
        <v>83</v>
      </c>
      <c r="G339" t="s">
        <v>84</v>
      </c>
      <c r="H339" t="s">
        <v>85</v>
      </c>
      <c r="I339" t="s">
        <v>47</v>
      </c>
      <c r="J339" t="s">
        <v>47</v>
      </c>
      <c r="K339" t="s">
        <v>48</v>
      </c>
      <c r="L339" t="s">
        <v>47</v>
      </c>
      <c r="M339" s="1">
        <v>46064</v>
      </c>
      <c r="N339" s="1">
        <v>46064</v>
      </c>
      <c r="O339" s="1">
        <v>46064</v>
      </c>
      <c r="P339" t="s">
        <v>49</v>
      </c>
      <c r="Q339" t="s">
        <v>50</v>
      </c>
      <c r="R339">
        <v>2</v>
      </c>
      <c r="S339" t="b">
        <v>0</v>
      </c>
      <c r="T339" t="s">
        <v>47</v>
      </c>
      <c r="U339" t="s">
        <v>47</v>
      </c>
      <c r="V339" t="s">
        <v>47</v>
      </c>
      <c r="W339" t="s">
        <v>47</v>
      </c>
      <c r="X339" t="s">
        <v>51</v>
      </c>
      <c r="Y339" t="b">
        <v>0</v>
      </c>
      <c r="Z339" t="s">
        <v>47</v>
      </c>
      <c r="AA339" t="s">
        <v>47</v>
      </c>
      <c r="AB339" t="s">
        <v>47</v>
      </c>
      <c r="AC339" t="b">
        <v>1</v>
      </c>
      <c r="AD339" t="s">
        <v>52</v>
      </c>
      <c r="AE339" t="s">
        <v>2299</v>
      </c>
      <c r="AF339" t="s">
        <v>2297</v>
      </c>
      <c r="AG339" t="s">
        <v>47</v>
      </c>
      <c r="AH339" t="s">
        <v>87</v>
      </c>
      <c r="AI339" s="2">
        <v>46160.598310185182</v>
      </c>
      <c r="AJ339" t="s">
        <v>47</v>
      </c>
      <c r="AK339" t="s">
        <v>47</v>
      </c>
      <c r="AL339" s="2">
        <v>46160.598310185182</v>
      </c>
      <c r="AM339" s="2">
        <v>46160.598310185182</v>
      </c>
    </row>
    <row r="340" spans="1:39" x14ac:dyDescent="0.3">
      <c r="A340" t="s">
        <v>2300</v>
      </c>
      <c r="B340" t="s">
        <v>2301</v>
      </c>
      <c r="C340" t="s">
        <v>41</v>
      </c>
      <c r="D340" t="s">
        <v>2302</v>
      </c>
      <c r="E340" t="s">
        <v>2303</v>
      </c>
      <c r="F340" t="s">
        <v>2304</v>
      </c>
      <c r="G340" t="s">
        <v>2305</v>
      </c>
      <c r="H340" t="s">
        <v>2306</v>
      </c>
      <c r="I340" t="s">
        <v>47</v>
      </c>
      <c r="J340" t="s">
        <v>47</v>
      </c>
      <c r="K340" t="s">
        <v>47</v>
      </c>
      <c r="L340" t="s">
        <v>47</v>
      </c>
      <c r="M340" t="s">
        <v>47</v>
      </c>
      <c r="N340" s="1">
        <v>46064</v>
      </c>
      <c r="O340" s="1">
        <v>46064</v>
      </c>
      <c r="P340" t="s">
        <v>183</v>
      </c>
      <c r="Q340" t="s">
        <v>2307</v>
      </c>
      <c r="R340">
        <v>2</v>
      </c>
      <c r="S340" t="b">
        <v>0</v>
      </c>
      <c r="T340" t="s">
        <v>47</v>
      </c>
      <c r="U340" t="s">
        <v>47</v>
      </c>
      <c r="V340" t="s">
        <v>47</v>
      </c>
      <c r="W340" t="s">
        <v>47</v>
      </c>
      <c r="X340" t="s">
        <v>51</v>
      </c>
      <c r="Y340" t="b">
        <v>0</v>
      </c>
      <c r="Z340" t="s">
        <v>47</v>
      </c>
      <c r="AA340" t="s">
        <v>47</v>
      </c>
      <c r="AC340" t="b">
        <v>1</v>
      </c>
      <c r="AD340" t="s">
        <v>52</v>
      </c>
      <c r="AE340" t="s">
        <v>2308</v>
      </c>
      <c r="AF340" t="s">
        <v>2302</v>
      </c>
      <c r="AG340" t="s">
        <v>2309</v>
      </c>
      <c r="AH340" t="s">
        <v>55</v>
      </c>
      <c r="AI340" s="2">
        <v>46160.201388888891</v>
      </c>
      <c r="AJ340" t="s">
        <v>47</v>
      </c>
      <c r="AK340" t="s">
        <v>47</v>
      </c>
      <c r="AL340" s="2">
        <v>46160.430555555555</v>
      </c>
      <c r="AM340" s="2">
        <v>46160.430555555555</v>
      </c>
    </row>
    <row r="341" spans="1:39" x14ac:dyDescent="0.3">
      <c r="A341" t="s">
        <v>2310</v>
      </c>
      <c r="B341" t="s">
        <v>2311</v>
      </c>
      <c r="C341" t="s">
        <v>41</v>
      </c>
      <c r="D341" t="s">
        <v>2312</v>
      </c>
      <c r="E341" t="s">
        <v>2313</v>
      </c>
      <c r="F341" t="s">
        <v>83</v>
      </c>
      <c r="G341" t="s">
        <v>84</v>
      </c>
      <c r="H341" t="s">
        <v>85</v>
      </c>
      <c r="I341" t="s">
        <v>47</v>
      </c>
      <c r="J341" t="s">
        <v>47</v>
      </c>
      <c r="K341" t="s">
        <v>48</v>
      </c>
      <c r="L341" t="s">
        <v>47</v>
      </c>
      <c r="M341" s="1">
        <v>46064</v>
      </c>
      <c r="N341" s="1">
        <v>46064</v>
      </c>
      <c r="O341" s="1">
        <v>46064</v>
      </c>
      <c r="P341" t="s">
        <v>49</v>
      </c>
      <c r="Q341" t="s">
        <v>50</v>
      </c>
      <c r="R341">
        <v>2</v>
      </c>
      <c r="S341" t="b">
        <v>0</v>
      </c>
      <c r="T341" t="s">
        <v>47</v>
      </c>
      <c r="U341" t="s">
        <v>47</v>
      </c>
      <c r="V341" t="s">
        <v>47</v>
      </c>
      <c r="W341" t="s">
        <v>47</v>
      </c>
      <c r="X341" t="s">
        <v>51</v>
      </c>
      <c r="Y341" t="b">
        <v>0</v>
      </c>
      <c r="Z341" t="s">
        <v>47</v>
      </c>
      <c r="AA341" t="s">
        <v>47</v>
      </c>
      <c r="AB341" t="s">
        <v>47</v>
      </c>
      <c r="AC341" t="b">
        <v>1</v>
      </c>
      <c r="AD341" t="s">
        <v>52</v>
      </c>
      <c r="AE341" t="s">
        <v>2314</v>
      </c>
      <c r="AF341" t="s">
        <v>2312</v>
      </c>
      <c r="AG341" t="s">
        <v>47</v>
      </c>
      <c r="AH341" t="s">
        <v>87</v>
      </c>
      <c r="AI341" s="2">
        <v>46160.614004629628</v>
      </c>
      <c r="AJ341" t="s">
        <v>47</v>
      </c>
      <c r="AK341" t="s">
        <v>47</v>
      </c>
      <c r="AL341" s="2">
        <v>46160.614004629628</v>
      </c>
      <c r="AM341" s="2">
        <v>46160.614004629628</v>
      </c>
    </row>
    <row r="342" spans="1:39" x14ac:dyDescent="0.3">
      <c r="A342" t="s">
        <v>2315</v>
      </c>
      <c r="B342" t="s">
        <v>2316</v>
      </c>
      <c r="C342" t="s">
        <v>41</v>
      </c>
      <c r="D342" t="s">
        <v>2317</v>
      </c>
      <c r="E342" t="s">
        <v>2318</v>
      </c>
      <c r="F342" t="s">
        <v>107</v>
      </c>
      <c r="G342" t="s">
        <v>108</v>
      </c>
      <c r="H342" t="s">
        <v>2319</v>
      </c>
      <c r="I342" t="s">
        <v>47</v>
      </c>
      <c r="J342" t="s">
        <v>47</v>
      </c>
      <c r="K342" t="s">
        <v>48</v>
      </c>
      <c r="L342" t="s">
        <v>47</v>
      </c>
      <c r="M342" t="s">
        <v>47</v>
      </c>
      <c r="N342" s="1">
        <v>46064</v>
      </c>
      <c r="O342" s="1">
        <v>46064</v>
      </c>
      <c r="P342" t="s">
        <v>49</v>
      </c>
      <c r="Q342" t="s">
        <v>50</v>
      </c>
      <c r="R342">
        <v>2</v>
      </c>
      <c r="S342" t="b">
        <v>0</v>
      </c>
      <c r="T342" t="s">
        <v>47</v>
      </c>
      <c r="U342" t="s">
        <v>47</v>
      </c>
      <c r="V342" t="s">
        <v>47</v>
      </c>
      <c r="W342" t="s">
        <v>47</v>
      </c>
      <c r="X342" t="s">
        <v>51</v>
      </c>
      <c r="Y342" t="b">
        <v>0</v>
      </c>
      <c r="Z342" t="s">
        <v>47</v>
      </c>
      <c r="AA342" t="s">
        <v>47</v>
      </c>
      <c r="AC342" t="b">
        <v>1</v>
      </c>
      <c r="AD342" t="s">
        <v>52</v>
      </c>
      <c r="AE342" t="s">
        <v>2320</v>
      </c>
      <c r="AF342" t="s">
        <v>2317</v>
      </c>
      <c r="AG342" t="s">
        <v>2321</v>
      </c>
      <c r="AH342" t="s">
        <v>55</v>
      </c>
      <c r="AI342" s="2">
        <v>46160.201388888891</v>
      </c>
      <c r="AJ342" t="s">
        <v>47</v>
      </c>
      <c r="AK342" t="s">
        <v>47</v>
      </c>
      <c r="AL342" s="2">
        <v>46160.430555555555</v>
      </c>
      <c r="AM342" s="2">
        <v>46160.430555555555</v>
      </c>
    </row>
    <row r="343" spans="1:39" x14ac:dyDescent="0.3">
      <c r="A343" t="s">
        <v>2322</v>
      </c>
      <c r="B343" t="s">
        <v>2323</v>
      </c>
      <c r="C343" t="s">
        <v>41</v>
      </c>
      <c r="D343" t="s">
        <v>2324</v>
      </c>
      <c r="E343" t="s">
        <v>2325</v>
      </c>
      <c r="F343" t="s">
        <v>107</v>
      </c>
      <c r="G343" t="s">
        <v>108</v>
      </c>
      <c r="H343" t="s">
        <v>109</v>
      </c>
      <c r="I343" t="s">
        <v>47</v>
      </c>
      <c r="J343" t="s">
        <v>47</v>
      </c>
      <c r="K343" t="s">
        <v>48</v>
      </c>
      <c r="L343" t="s">
        <v>47</v>
      </c>
      <c r="M343" t="s">
        <v>47</v>
      </c>
      <c r="N343" s="1">
        <v>46064</v>
      </c>
      <c r="O343" s="1">
        <v>46064</v>
      </c>
      <c r="P343" t="s">
        <v>49</v>
      </c>
      <c r="Q343" t="s">
        <v>50</v>
      </c>
      <c r="R343">
        <v>2</v>
      </c>
      <c r="S343" t="b">
        <v>0</v>
      </c>
      <c r="T343" t="s">
        <v>47</v>
      </c>
      <c r="U343" t="s">
        <v>47</v>
      </c>
      <c r="V343" t="s">
        <v>47</v>
      </c>
      <c r="W343" t="s">
        <v>47</v>
      </c>
      <c r="X343" t="s">
        <v>51</v>
      </c>
      <c r="Y343" t="b">
        <v>0</v>
      </c>
      <c r="Z343" t="s">
        <v>47</v>
      </c>
      <c r="AA343" t="s">
        <v>47</v>
      </c>
      <c r="AC343" t="b">
        <v>1</v>
      </c>
      <c r="AD343" t="s">
        <v>52</v>
      </c>
      <c r="AE343" t="s">
        <v>2326</v>
      </c>
      <c r="AF343" t="s">
        <v>2324</v>
      </c>
      <c r="AG343" t="s">
        <v>2327</v>
      </c>
      <c r="AH343" t="s">
        <v>55</v>
      </c>
      <c r="AI343" s="2">
        <v>46160.25</v>
      </c>
      <c r="AJ343" t="s">
        <v>47</v>
      </c>
      <c r="AK343" t="s">
        <v>47</v>
      </c>
      <c r="AL343" s="2">
        <v>46160.479166666664</v>
      </c>
      <c r="AM343" s="2">
        <v>46160.479166666664</v>
      </c>
    </row>
    <row r="344" spans="1:39" x14ac:dyDescent="0.3">
      <c r="A344" t="s">
        <v>2328</v>
      </c>
      <c r="B344" t="s">
        <v>2329</v>
      </c>
      <c r="C344" t="s">
        <v>41</v>
      </c>
      <c r="D344" t="s">
        <v>2330</v>
      </c>
      <c r="E344" t="s">
        <v>2331</v>
      </c>
      <c r="F344" t="s">
        <v>83</v>
      </c>
      <c r="G344" t="s">
        <v>84</v>
      </c>
      <c r="H344" t="s">
        <v>85</v>
      </c>
      <c r="I344" t="s">
        <v>47</v>
      </c>
      <c r="J344" t="s">
        <v>47</v>
      </c>
      <c r="K344" t="s">
        <v>48</v>
      </c>
      <c r="L344" t="s">
        <v>47</v>
      </c>
      <c r="M344" s="1">
        <v>46064</v>
      </c>
      <c r="N344" s="1">
        <v>46064</v>
      </c>
      <c r="O344" s="1">
        <v>46064</v>
      </c>
      <c r="P344" t="s">
        <v>49</v>
      </c>
      <c r="Q344" t="s">
        <v>50</v>
      </c>
      <c r="R344">
        <v>2</v>
      </c>
      <c r="S344" t="b">
        <v>0</v>
      </c>
      <c r="T344" t="s">
        <v>47</v>
      </c>
      <c r="U344" t="s">
        <v>47</v>
      </c>
      <c r="V344" t="s">
        <v>47</v>
      </c>
      <c r="W344" t="s">
        <v>47</v>
      </c>
      <c r="X344" t="s">
        <v>51</v>
      </c>
      <c r="Y344" t="b">
        <v>0</v>
      </c>
      <c r="Z344" t="s">
        <v>47</v>
      </c>
      <c r="AA344" t="s">
        <v>47</v>
      </c>
      <c r="AB344" t="s">
        <v>47</v>
      </c>
      <c r="AC344" t="b">
        <v>1</v>
      </c>
      <c r="AD344" t="s">
        <v>52</v>
      </c>
      <c r="AE344" t="s">
        <v>2332</v>
      </c>
      <c r="AF344" t="s">
        <v>2330</v>
      </c>
      <c r="AG344" t="s">
        <v>47</v>
      </c>
      <c r="AH344" t="s">
        <v>87</v>
      </c>
      <c r="AI344" s="2">
        <v>46160.598310185182</v>
      </c>
      <c r="AJ344" t="s">
        <v>47</v>
      </c>
      <c r="AK344" t="s">
        <v>47</v>
      </c>
      <c r="AL344" s="2">
        <v>46160.598310185182</v>
      </c>
      <c r="AM344" s="2">
        <v>46160.598310185182</v>
      </c>
    </row>
    <row r="345" spans="1:39" x14ac:dyDescent="0.3">
      <c r="A345" t="s">
        <v>2333</v>
      </c>
      <c r="B345" t="s">
        <v>2334</v>
      </c>
      <c r="C345" t="s">
        <v>41</v>
      </c>
      <c r="D345" t="s">
        <v>2335</v>
      </c>
      <c r="E345" t="s">
        <v>2336</v>
      </c>
      <c r="F345" t="s">
        <v>83</v>
      </c>
      <c r="G345" t="s">
        <v>84</v>
      </c>
      <c r="H345" t="s">
        <v>85</v>
      </c>
      <c r="I345" t="s">
        <v>47</v>
      </c>
      <c r="J345" t="s">
        <v>47</v>
      </c>
      <c r="K345" t="s">
        <v>48</v>
      </c>
      <c r="L345" t="s">
        <v>47</v>
      </c>
      <c r="M345" s="1">
        <v>46064</v>
      </c>
      <c r="N345" s="1">
        <v>46064</v>
      </c>
      <c r="O345" s="1">
        <v>46064</v>
      </c>
      <c r="P345" t="s">
        <v>49</v>
      </c>
      <c r="Q345" t="s">
        <v>50</v>
      </c>
      <c r="R345">
        <v>2</v>
      </c>
      <c r="S345" t="b">
        <v>0</v>
      </c>
      <c r="T345" t="s">
        <v>47</v>
      </c>
      <c r="U345" t="s">
        <v>47</v>
      </c>
      <c r="V345" t="s">
        <v>47</v>
      </c>
      <c r="W345" t="s">
        <v>47</v>
      </c>
      <c r="X345" t="s">
        <v>51</v>
      </c>
      <c r="Y345" t="b">
        <v>0</v>
      </c>
      <c r="Z345" t="s">
        <v>47</v>
      </c>
      <c r="AA345" t="s">
        <v>47</v>
      </c>
      <c r="AB345" t="s">
        <v>47</v>
      </c>
      <c r="AC345" t="b">
        <v>1</v>
      </c>
      <c r="AD345" t="s">
        <v>52</v>
      </c>
      <c r="AE345" t="s">
        <v>2337</v>
      </c>
      <c r="AF345" t="s">
        <v>2335</v>
      </c>
      <c r="AG345" t="s">
        <v>47</v>
      </c>
      <c r="AH345" t="s">
        <v>87</v>
      </c>
      <c r="AI345" s="2">
        <v>46160.614004629628</v>
      </c>
      <c r="AJ345" t="s">
        <v>47</v>
      </c>
      <c r="AK345" t="s">
        <v>47</v>
      </c>
      <c r="AL345" s="2">
        <v>46160.614004629628</v>
      </c>
      <c r="AM345" s="2">
        <v>46160.614004629628</v>
      </c>
    </row>
    <row r="346" spans="1:39" x14ac:dyDescent="0.3">
      <c r="A346" t="s">
        <v>2338</v>
      </c>
      <c r="B346" t="s">
        <v>2339</v>
      </c>
      <c r="C346" t="s">
        <v>41</v>
      </c>
      <c r="D346" t="s">
        <v>2340</v>
      </c>
      <c r="E346" t="s">
        <v>2341</v>
      </c>
      <c r="F346" t="s">
        <v>83</v>
      </c>
      <c r="G346" t="s">
        <v>84</v>
      </c>
      <c r="H346" t="s">
        <v>85</v>
      </c>
      <c r="I346" t="s">
        <v>47</v>
      </c>
      <c r="J346" t="s">
        <v>47</v>
      </c>
      <c r="K346" t="s">
        <v>48</v>
      </c>
      <c r="L346" t="s">
        <v>47</v>
      </c>
      <c r="M346" s="1">
        <v>46064</v>
      </c>
      <c r="N346" s="1">
        <v>46064</v>
      </c>
      <c r="O346" s="1">
        <v>46064</v>
      </c>
      <c r="P346" t="s">
        <v>49</v>
      </c>
      <c r="Q346" t="s">
        <v>50</v>
      </c>
      <c r="R346">
        <v>2</v>
      </c>
      <c r="S346" t="b">
        <v>0</v>
      </c>
      <c r="T346" t="s">
        <v>47</v>
      </c>
      <c r="U346" t="s">
        <v>47</v>
      </c>
      <c r="V346" t="s">
        <v>47</v>
      </c>
      <c r="W346" t="s">
        <v>47</v>
      </c>
      <c r="X346" t="s">
        <v>51</v>
      </c>
      <c r="Y346" t="b">
        <v>0</v>
      </c>
      <c r="Z346" t="s">
        <v>47</v>
      </c>
      <c r="AA346" t="s">
        <v>47</v>
      </c>
      <c r="AB346" t="s">
        <v>47</v>
      </c>
      <c r="AC346" t="b">
        <v>1</v>
      </c>
      <c r="AD346" t="s">
        <v>52</v>
      </c>
      <c r="AE346" t="s">
        <v>2342</v>
      </c>
      <c r="AF346" t="s">
        <v>2340</v>
      </c>
      <c r="AG346" t="s">
        <v>47</v>
      </c>
      <c r="AH346" t="s">
        <v>87</v>
      </c>
      <c r="AI346" s="2">
        <v>46160.565381944441</v>
      </c>
      <c r="AJ346" t="s">
        <v>47</v>
      </c>
      <c r="AK346" t="s">
        <v>47</v>
      </c>
      <c r="AL346" s="2">
        <v>46160.565381944441</v>
      </c>
      <c r="AM346" s="2">
        <v>46160.565381944441</v>
      </c>
    </row>
    <row r="347" spans="1:39" x14ac:dyDescent="0.3">
      <c r="A347" t="s">
        <v>2343</v>
      </c>
      <c r="B347" t="s">
        <v>2344</v>
      </c>
      <c r="C347" t="s">
        <v>41</v>
      </c>
      <c r="D347" t="s">
        <v>2345</v>
      </c>
      <c r="E347" t="s">
        <v>2346</v>
      </c>
      <c r="F347" t="s">
        <v>83</v>
      </c>
      <c r="G347" t="s">
        <v>84</v>
      </c>
      <c r="H347" t="s">
        <v>85</v>
      </c>
      <c r="I347" t="s">
        <v>47</v>
      </c>
      <c r="J347" t="s">
        <v>47</v>
      </c>
      <c r="K347" t="s">
        <v>48</v>
      </c>
      <c r="L347" t="s">
        <v>47</v>
      </c>
      <c r="M347" s="1">
        <v>46064</v>
      </c>
      <c r="N347" s="1">
        <v>46064</v>
      </c>
      <c r="O347" s="1">
        <v>46064</v>
      </c>
      <c r="P347" t="s">
        <v>49</v>
      </c>
      <c r="Q347" t="s">
        <v>50</v>
      </c>
      <c r="R347">
        <v>2</v>
      </c>
      <c r="S347" t="b">
        <v>0</v>
      </c>
      <c r="T347" t="s">
        <v>47</v>
      </c>
      <c r="U347" t="s">
        <v>47</v>
      </c>
      <c r="V347" t="s">
        <v>47</v>
      </c>
      <c r="W347" t="s">
        <v>47</v>
      </c>
      <c r="X347" t="s">
        <v>51</v>
      </c>
      <c r="Y347" t="b">
        <v>0</v>
      </c>
      <c r="Z347" t="s">
        <v>47</v>
      </c>
      <c r="AA347" t="s">
        <v>47</v>
      </c>
      <c r="AB347" t="s">
        <v>47</v>
      </c>
      <c r="AC347" t="b">
        <v>1</v>
      </c>
      <c r="AD347" t="s">
        <v>52</v>
      </c>
      <c r="AE347" t="s">
        <v>2347</v>
      </c>
      <c r="AF347" t="s">
        <v>2345</v>
      </c>
      <c r="AG347" t="s">
        <v>47</v>
      </c>
      <c r="AH347" t="s">
        <v>87</v>
      </c>
      <c r="AI347" s="2">
        <v>46160.598310185182</v>
      </c>
      <c r="AJ347" t="s">
        <v>47</v>
      </c>
      <c r="AK347" t="s">
        <v>47</v>
      </c>
      <c r="AL347" s="2">
        <v>46160.598310185182</v>
      </c>
      <c r="AM347" s="2">
        <v>46160.598310185182</v>
      </c>
    </row>
    <row r="348" spans="1:39" x14ac:dyDescent="0.3">
      <c r="A348" t="s">
        <v>2348</v>
      </c>
      <c r="B348" t="s">
        <v>2349</v>
      </c>
      <c r="C348" t="s">
        <v>41</v>
      </c>
      <c r="D348" t="s">
        <v>2350</v>
      </c>
      <c r="E348" t="s">
        <v>2351</v>
      </c>
      <c r="F348" t="s">
        <v>2352</v>
      </c>
      <c r="G348" t="s">
        <v>2353</v>
      </c>
      <c r="H348" t="s">
        <v>2354</v>
      </c>
      <c r="I348" t="s">
        <v>47</v>
      </c>
      <c r="J348" t="s">
        <v>47</v>
      </c>
      <c r="K348" t="s">
        <v>47</v>
      </c>
      <c r="L348" t="s">
        <v>47</v>
      </c>
      <c r="M348" t="s">
        <v>47</v>
      </c>
      <c r="N348" s="1">
        <v>46064</v>
      </c>
      <c r="O348" s="1">
        <v>46064</v>
      </c>
      <c r="P348" t="s">
        <v>49</v>
      </c>
      <c r="Q348" t="s">
        <v>184</v>
      </c>
      <c r="R348">
        <v>2</v>
      </c>
      <c r="S348" t="b">
        <v>0</v>
      </c>
      <c r="T348" t="s">
        <v>47</v>
      </c>
      <c r="U348" t="s">
        <v>47</v>
      </c>
      <c r="V348" t="s">
        <v>47</v>
      </c>
      <c r="W348" t="s">
        <v>47</v>
      </c>
      <c r="X348" t="s">
        <v>51</v>
      </c>
      <c r="Y348" t="b">
        <v>0</v>
      </c>
      <c r="Z348" t="s">
        <v>47</v>
      </c>
      <c r="AA348" t="s">
        <v>47</v>
      </c>
      <c r="AC348" t="b">
        <v>1</v>
      </c>
      <c r="AD348" t="s">
        <v>52</v>
      </c>
      <c r="AE348" t="s">
        <v>2355</v>
      </c>
      <c r="AF348" t="s">
        <v>2350</v>
      </c>
      <c r="AG348" t="s">
        <v>2356</v>
      </c>
      <c r="AH348" t="s">
        <v>55</v>
      </c>
      <c r="AI348" s="2">
        <v>46160.25</v>
      </c>
      <c r="AJ348" t="s">
        <v>47</v>
      </c>
      <c r="AK348" t="s">
        <v>47</v>
      </c>
      <c r="AL348" s="2">
        <v>46160.479166666664</v>
      </c>
      <c r="AM348" s="2">
        <v>46160.479166666664</v>
      </c>
    </row>
    <row r="349" spans="1:39" x14ac:dyDescent="0.3">
      <c r="A349" t="s">
        <v>2357</v>
      </c>
      <c r="B349" t="s">
        <v>2358</v>
      </c>
      <c r="C349" t="s">
        <v>41</v>
      </c>
      <c r="D349" t="s">
        <v>2359</v>
      </c>
      <c r="E349" t="s">
        <v>2360</v>
      </c>
      <c r="F349" t="s">
        <v>172</v>
      </c>
      <c r="G349" t="s">
        <v>173</v>
      </c>
      <c r="H349" t="s">
        <v>174</v>
      </c>
      <c r="I349" t="s">
        <v>47</v>
      </c>
      <c r="J349" t="s">
        <v>47</v>
      </c>
      <c r="K349" t="s">
        <v>130</v>
      </c>
      <c r="L349" t="s">
        <v>47</v>
      </c>
      <c r="M349" s="1">
        <v>46064</v>
      </c>
      <c r="N349" s="1">
        <v>46064</v>
      </c>
      <c r="O349" s="1">
        <v>46064</v>
      </c>
      <c r="P349" t="s">
        <v>49</v>
      </c>
      <c r="Q349" t="s">
        <v>50</v>
      </c>
      <c r="R349">
        <v>3</v>
      </c>
      <c r="S349" t="b">
        <v>1</v>
      </c>
      <c r="T349" t="s">
        <v>47</v>
      </c>
      <c r="U349" t="s">
        <v>47</v>
      </c>
      <c r="V349" t="s">
        <v>47</v>
      </c>
      <c r="W349" t="s">
        <v>47</v>
      </c>
      <c r="X349" t="s">
        <v>51</v>
      </c>
      <c r="Y349" t="b">
        <v>0</v>
      </c>
      <c r="Z349" t="s">
        <v>47</v>
      </c>
      <c r="AA349" t="s">
        <v>47</v>
      </c>
      <c r="AB349" t="s">
        <v>47</v>
      </c>
      <c r="AC349" t="b">
        <v>1</v>
      </c>
      <c r="AD349" t="s">
        <v>52</v>
      </c>
      <c r="AE349" t="s">
        <v>2361</v>
      </c>
      <c r="AF349" t="s">
        <v>2359</v>
      </c>
      <c r="AG349" t="s">
        <v>47</v>
      </c>
      <c r="AH349" t="s">
        <v>87</v>
      </c>
      <c r="AI349" s="2">
        <v>46160.581724537034</v>
      </c>
      <c r="AJ349" t="s">
        <v>47</v>
      </c>
      <c r="AK349" t="s">
        <v>47</v>
      </c>
      <c r="AL349" s="2">
        <v>46160.581724537034</v>
      </c>
      <c r="AM349" s="2">
        <v>46160.581724537034</v>
      </c>
    </row>
    <row r="350" spans="1:39" x14ac:dyDescent="0.3">
      <c r="A350" t="s">
        <v>2362</v>
      </c>
      <c r="B350" t="s">
        <v>2363</v>
      </c>
      <c r="C350" t="s">
        <v>41</v>
      </c>
      <c r="D350" t="s">
        <v>2364</v>
      </c>
      <c r="E350" t="s">
        <v>2365</v>
      </c>
      <c r="F350" t="s">
        <v>107</v>
      </c>
      <c r="G350" t="s">
        <v>108</v>
      </c>
      <c r="H350" t="s">
        <v>109</v>
      </c>
      <c r="I350" t="s">
        <v>47</v>
      </c>
      <c r="J350" t="s">
        <v>47</v>
      </c>
      <c r="K350" t="s">
        <v>48</v>
      </c>
      <c r="L350" t="s">
        <v>47</v>
      </c>
      <c r="M350" t="s">
        <v>47</v>
      </c>
      <c r="N350" s="1">
        <v>46066</v>
      </c>
      <c r="O350" s="1">
        <v>46066</v>
      </c>
      <c r="P350" t="s">
        <v>49</v>
      </c>
      <c r="Q350" t="s">
        <v>50</v>
      </c>
      <c r="R350">
        <v>2</v>
      </c>
      <c r="S350" t="b">
        <v>0</v>
      </c>
      <c r="T350" t="s">
        <v>47</v>
      </c>
      <c r="U350" t="s">
        <v>47</v>
      </c>
      <c r="V350" t="s">
        <v>47</v>
      </c>
      <c r="W350" t="s">
        <v>47</v>
      </c>
      <c r="X350" t="s">
        <v>51</v>
      </c>
      <c r="Y350" t="b">
        <v>0</v>
      </c>
      <c r="Z350" t="s">
        <v>47</v>
      </c>
      <c r="AA350" t="s">
        <v>47</v>
      </c>
      <c r="AC350" t="b">
        <v>1</v>
      </c>
      <c r="AD350" t="s">
        <v>52</v>
      </c>
      <c r="AE350" t="s">
        <v>2366</v>
      </c>
      <c r="AF350" t="s">
        <v>2364</v>
      </c>
      <c r="AG350" t="s">
        <v>2367</v>
      </c>
      <c r="AH350" t="s">
        <v>55</v>
      </c>
      <c r="AI350" s="2">
        <v>46160.25</v>
      </c>
      <c r="AJ350" t="s">
        <v>47</v>
      </c>
      <c r="AK350" t="s">
        <v>47</v>
      </c>
      <c r="AL350" s="2">
        <v>46160.479166666664</v>
      </c>
      <c r="AM350" s="2">
        <v>46160.479166666664</v>
      </c>
    </row>
    <row r="351" spans="1:39" x14ac:dyDescent="0.3">
      <c r="A351" t="s">
        <v>2368</v>
      </c>
      <c r="B351" t="s">
        <v>2369</v>
      </c>
      <c r="C351" t="s">
        <v>41</v>
      </c>
      <c r="D351" t="s">
        <v>2370</v>
      </c>
      <c r="E351" t="s">
        <v>2371</v>
      </c>
      <c r="F351" t="s">
        <v>322</v>
      </c>
      <c r="G351" t="s">
        <v>323</v>
      </c>
      <c r="H351" t="s">
        <v>379</v>
      </c>
      <c r="I351" t="s">
        <v>47</v>
      </c>
      <c r="J351" t="s">
        <v>47</v>
      </c>
      <c r="K351" t="s">
        <v>253</v>
      </c>
      <c r="L351" t="s">
        <v>47</v>
      </c>
      <c r="M351" t="s">
        <v>47</v>
      </c>
      <c r="N351" s="1">
        <v>46066</v>
      </c>
      <c r="O351" s="1">
        <v>46066</v>
      </c>
      <c r="P351" t="s">
        <v>254</v>
      </c>
      <c r="Q351" t="s">
        <v>50</v>
      </c>
      <c r="R351">
        <v>1</v>
      </c>
      <c r="S351" t="b">
        <v>0</v>
      </c>
      <c r="T351" t="s">
        <v>47</v>
      </c>
      <c r="U351" t="s">
        <v>47</v>
      </c>
      <c r="V351" t="s">
        <v>47</v>
      </c>
      <c r="W351" t="s">
        <v>47</v>
      </c>
      <c r="X351" t="s">
        <v>51</v>
      </c>
      <c r="Y351" t="b">
        <v>0</v>
      </c>
      <c r="Z351" t="s">
        <v>47</v>
      </c>
      <c r="AA351" t="s">
        <v>47</v>
      </c>
      <c r="AC351" t="b">
        <v>1</v>
      </c>
      <c r="AD351" t="s">
        <v>52</v>
      </c>
      <c r="AE351" t="s">
        <v>2372</v>
      </c>
      <c r="AF351" t="s">
        <v>2370</v>
      </c>
      <c r="AG351" t="s">
        <v>2373</v>
      </c>
      <c r="AH351" t="s">
        <v>55</v>
      </c>
      <c r="AI351" s="2">
        <v>46160.173611111109</v>
      </c>
      <c r="AJ351" t="s">
        <v>47</v>
      </c>
      <c r="AK351" t="s">
        <v>47</v>
      </c>
      <c r="AL351" s="2">
        <v>46160.402777777781</v>
      </c>
      <c r="AM351" s="2">
        <v>46160.402777777781</v>
      </c>
    </row>
    <row r="352" spans="1:39" x14ac:dyDescent="0.3">
      <c r="A352" t="s">
        <v>2374</v>
      </c>
      <c r="B352" t="s">
        <v>2375</v>
      </c>
      <c r="C352" t="s">
        <v>41</v>
      </c>
      <c r="D352" t="s">
        <v>2376</v>
      </c>
      <c r="E352" t="s">
        <v>2377</v>
      </c>
      <c r="F352" t="s">
        <v>2378</v>
      </c>
      <c r="G352" t="s">
        <v>2379</v>
      </c>
      <c r="H352" t="s">
        <v>2380</v>
      </c>
      <c r="I352" t="s">
        <v>47</v>
      </c>
      <c r="J352" t="s">
        <v>47</v>
      </c>
      <c r="K352" t="s">
        <v>2381</v>
      </c>
      <c r="L352" t="s">
        <v>47</v>
      </c>
      <c r="M352" t="s">
        <v>47</v>
      </c>
      <c r="N352" s="1">
        <v>46066</v>
      </c>
      <c r="O352" s="1">
        <v>46066</v>
      </c>
      <c r="P352" t="s">
        <v>1771</v>
      </c>
      <c r="Q352" t="s">
        <v>50</v>
      </c>
      <c r="R352">
        <v>4</v>
      </c>
      <c r="S352" t="b">
        <v>1</v>
      </c>
      <c r="T352" t="s">
        <v>47</v>
      </c>
      <c r="U352" t="s">
        <v>2382</v>
      </c>
      <c r="V352" t="s">
        <v>47</v>
      </c>
      <c r="W352" t="s">
        <v>47</v>
      </c>
      <c r="X352" t="s">
        <v>51</v>
      </c>
      <c r="Y352" t="b">
        <v>0</v>
      </c>
      <c r="Z352" t="s">
        <v>47</v>
      </c>
      <c r="AA352" t="s">
        <v>47</v>
      </c>
      <c r="AB352">
        <v>0.8</v>
      </c>
      <c r="AC352" t="b">
        <v>1</v>
      </c>
      <c r="AD352" t="s">
        <v>52</v>
      </c>
      <c r="AE352" t="s">
        <v>2383</v>
      </c>
      <c r="AF352" t="s">
        <v>2376</v>
      </c>
      <c r="AG352" t="s">
        <v>2384</v>
      </c>
      <c r="AH352" t="s">
        <v>55</v>
      </c>
      <c r="AI352" s="2">
        <v>46160.229166666664</v>
      </c>
      <c r="AJ352" t="s">
        <v>47</v>
      </c>
      <c r="AK352" t="s">
        <v>47</v>
      </c>
      <c r="AL352" s="2">
        <v>46160.458333333336</v>
      </c>
      <c r="AM352" s="2">
        <v>46160.458333333336</v>
      </c>
    </row>
    <row r="353" spans="1:39" x14ac:dyDescent="0.3">
      <c r="A353" t="s">
        <v>2385</v>
      </c>
      <c r="B353" t="s">
        <v>2386</v>
      </c>
      <c r="C353" t="s">
        <v>41</v>
      </c>
      <c r="D353" t="s">
        <v>2387</v>
      </c>
      <c r="E353" t="s">
        <v>2388</v>
      </c>
      <c r="F353" t="s">
        <v>127</v>
      </c>
      <c r="G353" t="s">
        <v>128</v>
      </c>
      <c r="H353" t="s">
        <v>129</v>
      </c>
      <c r="I353" t="s">
        <v>47</v>
      </c>
      <c r="J353" t="s">
        <v>47</v>
      </c>
      <c r="K353" t="s">
        <v>130</v>
      </c>
      <c r="L353" t="s">
        <v>47</v>
      </c>
      <c r="M353" t="s">
        <v>47</v>
      </c>
      <c r="N353" s="1">
        <v>46066</v>
      </c>
      <c r="O353" s="1">
        <v>46066</v>
      </c>
      <c r="P353" t="s">
        <v>49</v>
      </c>
      <c r="Q353" t="s">
        <v>50</v>
      </c>
      <c r="R353">
        <v>3</v>
      </c>
      <c r="S353" t="b">
        <v>1</v>
      </c>
      <c r="T353" t="s">
        <v>47</v>
      </c>
      <c r="U353" t="s">
        <v>47</v>
      </c>
      <c r="V353" t="s">
        <v>47</v>
      </c>
      <c r="W353" t="s">
        <v>47</v>
      </c>
      <c r="X353" t="s">
        <v>51</v>
      </c>
      <c r="Y353" t="b">
        <v>0</v>
      </c>
      <c r="Z353" t="s">
        <v>47</v>
      </c>
      <c r="AA353" t="s">
        <v>47</v>
      </c>
      <c r="AB353">
        <v>0.6</v>
      </c>
      <c r="AC353" t="b">
        <v>1</v>
      </c>
      <c r="AD353" t="s">
        <v>52</v>
      </c>
      <c r="AE353" t="s">
        <v>2389</v>
      </c>
      <c r="AF353" t="s">
        <v>2387</v>
      </c>
      <c r="AG353" t="s">
        <v>2390</v>
      </c>
      <c r="AH353" t="s">
        <v>55</v>
      </c>
      <c r="AI353" s="2">
        <v>46160.201388888891</v>
      </c>
      <c r="AJ353" t="s">
        <v>47</v>
      </c>
      <c r="AK353" t="s">
        <v>47</v>
      </c>
      <c r="AL353" s="2">
        <v>46160.430555555555</v>
      </c>
      <c r="AM353" s="2">
        <v>46160.430555555555</v>
      </c>
    </row>
    <row r="354" spans="1:39" x14ac:dyDescent="0.3">
      <c r="A354" t="s">
        <v>2391</v>
      </c>
      <c r="B354" t="s">
        <v>2392</v>
      </c>
      <c r="C354" t="s">
        <v>41</v>
      </c>
      <c r="D354" t="s">
        <v>2393</v>
      </c>
      <c r="E354" t="s">
        <v>2394</v>
      </c>
      <c r="F354" t="s">
        <v>2395</v>
      </c>
      <c r="G354" t="s">
        <v>2396</v>
      </c>
      <c r="H354" t="s">
        <v>2397</v>
      </c>
      <c r="I354" t="s">
        <v>47</v>
      </c>
      <c r="J354" t="s">
        <v>47</v>
      </c>
      <c r="K354" t="s">
        <v>2398</v>
      </c>
      <c r="L354" t="s">
        <v>47</v>
      </c>
      <c r="M354" t="s">
        <v>47</v>
      </c>
      <c r="N354" s="1">
        <v>46066</v>
      </c>
      <c r="O354" s="1">
        <v>46066</v>
      </c>
      <c r="P354" t="s">
        <v>49</v>
      </c>
      <c r="Q354" t="s">
        <v>50</v>
      </c>
      <c r="R354">
        <v>3</v>
      </c>
      <c r="S354" t="b">
        <v>1</v>
      </c>
      <c r="T354" t="s">
        <v>47</v>
      </c>
      <c r="U354" t="s">
        <v>47</v>
      </c>
      <c r="V354" t="s">
        <v>47</v>
      </c>
      <c r="W354" t="s">
        <v>47</v>
      </c>
      <c r="X354" t="s">
        <v>51</v>
      </c>
      <c r="Y354" t="b">
        <v>0</v>
      </c>
      <c r="Z354" t="s">
        <v>47</v>
      </c>
      <c r="AA354" t="s">
        <v>47</v>
      </c>
      <c r="AB354">
        <v>0.6</v>
      </c>
      <c r="AC354" t="b">
        <v>1</v>
      </c>
      <c r="AD354" t="s">
        <v>52</v>
      </c>
      <c r="AE354" t="s">
        <v>2399</v>
      </c>
      <c r="AF354" t="s">
        <v>2393</v>
      </c>
      <c r="AG354" t="s">
        <v>2400</v>
      </c>
      <c r="AH354" t="s">
        <v>55</v>
      </c>
      <c r="AI354" s="2">
        <v>46160.173611111109</v>
      </c>
      <c r="AJ354" t="s">
        <v>47</v>
      </c>
      <c r="AK354" t="s">
        <v>47</v>
      </c>
      <c r="AL354" s="2">
        <v>46160.402777777781</v>
      </c>
      <c r="AM354" s="2">
        <v>46160.402777777781</v>
      </c>
    </row>
    <row r="355" spans="1:39" x14ac:dyDescent="0.3">
      <c r="A355" t="s">
        <v>2401</v>
      </c>
      <c r="B355" t="s">
        <v>2402</v>
      </c>
      <c r="C355" t="s">
        <v>41</v>
      </c>
      <c r="D355" t="s">
        <v>2403</v>
      </c>
      <c r="E355" t="s">
        <v>2404</v>
      </c>
      <c r="F355" t="s">
        <v>718</v>
      </c>
      <c r="G355" t="s">
        <v>719</v>
      </c>
      <c r="H355" t="s">
        <v>720</v>
      </c>
      <c r="I355" t="s">
        <v>47</v>
      </c>
      <c r="J355" t="s">
        <v>47</v>
      </c>
      <c r="K355" t="s">
        <v>721</v>
      </c>
      <c r="L355" t="s">
        <v>47</v>
      </c>
      <c r="M355" s="1">
        <v>46066</v>
      </c>
      <c r="N355" s="1">
        <v>46066</v>
      </c>
      <c r="O355" s="1">
        <v>46066</v>
      </c>
      <c r="P355" t="s">
        <v>722</v>
      </c>
      <c r="Q355" t="s">
        <v>50</v>
      </c>
      <c r="R355">
        <v>3</v>
      </c>
      <c r="S355" t="b">
        <v>1</v>
      </c>
      <c r="T355" t="s">
        <v>47</v>
      </c>
      <c r="U355" t="s">
        <v>47</v>
      </c>
      <c r="V355" t="s">
        <v>47</v>
      </c>
      <c r="W355" t="s">
        <v>47</v>
      </c>
      <c r="X355" t="s">
        <v>51</v>
      </c>
      <c r="Y355" t="b">
        <v>0</v>
      </c>
      <c r="Z355" t="s">
        <v>47</v>
      </c>
      <c r="AA355" t="s">
        <v>47</v>
      </c>
      <c r="AB355" t="s">
        <v>47</v>
      </c>
      <c r="AC355" t="b">
        <v>1</v>
      </c>
      <c r="AD355" t="s">
        <v>52</v>
      </c>
      <c r="AE355" t="s">
        <v>2405</v>
      </c>
      <c r="AF355" t="s">
        <v>2403</v>
      </c>
      <c r="AG355" t="s">
        <v>47</v>
      </c>
      <c r="AH355" t="s">
        <v>87</v>
      </c>
      <c r="AI355" s="2">
        <v>46160.581724537034</v>
      </c>
      <c r="AJ355" t="s">
        <v>47</v>
      </c>
      <c r="AK355" t="s">
        <v>47</v>
      </c>
      <c r="AL355" s="2">
        <v>46160.581724537034</v>
      </c>
      <c r="AM355" s="2">
        <v>46160.581724537034</v>
      </c>
    </row>
    <row r="356" spans="1:39" x14ac:dyDescent="0.3">
      <c r="A356" t="s">
        <v>2406</v>
      </c>
      <c r="B356" t="s">
        <v>2407</v>
      </c>
      <c r="C356" t="s">
        <v>41</v>
      </c>
      <c r="D356" t="s">
        <v>2408</v>
      </c>
      <c r="E356" t="s">
        <v>2409</v>
      </c>
      <c r="F356" t="s">
        <v>107</v>
      </c>
      <c r="G356" t="s">
        <v>108</v>
      </c>
      <c r="H356" t="s">
        <v>109</v>
      </c>
      <c r="I356" t="s">
        <v>47</v>
      </c>
      <c r="J356" t="s">
        <v>47</v>
      </c>
      <c r="K356" t="s">
        <v>48</v>
      </c>
      <c r="L356" t="s">
        <v>47</v>
      </c>
      <c r="M356" t="s">
        <v>47</v>
      </c>
      <c r="N356" s="1">
        <v>46066</v>
      </c>
      <c r="O356" s="1">
        <v>46066</v>
      </c>
      <c r="P356" t="s">
        <v>49</v>
      </c>
      <c r="Q356" t="s">
        <v>50</v>
      </c>
      <c r="R356">
        <v>2</v>
      </c>
      <c r="S356" t="b">
        <v>0</v>
      </c>
      <c r="T356" t="s">
        <v>47</v>
      </c>
      <c r="U356" t="s">
        <v>47</v>
      </c>
      <c r="V356" t="s">
        <v>47</v>
      </c>
      <c r="W356" t="s">
        <v>47</v>
      </c>
      <c r="X356" t="s">
        <v>51</v>
      </c>
      <c r="Y356" t="b">
        <v>0</v>
      </c>
      <c r="Z356" t="s">
        <v>47</v>
      </c>
      <c r="AA356" t="s">
        <v>47</v>
      </c>
      <c r="AC356" t="b">
        <v>1</v>
      </c>
      <c r="AD356" t="s">
        <v>52</v>
      </c>
      <c r="AE356" t="s">
        <v>2410</v>
      </c>
      <c r="AF356" t="s">
        <v>2408</v>
      </c>
      <c r="AG356" t="s">
        <v>2411</v>
      </c>
      <c r="AH356" t="s">
        <v>55</v>
      </c>
      <c r="AI356" s="2">
        <v>46160.25</v>
      </c>
      <c r="AJ356" t="s">
        <v>47</v>
      </c>
      <c r="AK356" t="s">
        <v>47</v>
      </c>
      <c r="AL356" s="2">
        <v>46160.479166666664</v>
      </c>
      <c r="AM356" s="2">
        <v>46160.479166666664</v>
      </c>
    </row>
    <row r="357" spans="1:39" x14ac:dyDescent="0.3">
      <c r="A357" t="s">
        <v>2412</v>
      </c>
      <c r="B357" t="s">
        <v>2413</v>
      </c>
      <c r="C357" t="s">
        <v>41</v>
      </c>
      <c r="D357" t="s">
        <v>2414</v>
      </c>
      <c r="E357" t="s">
        <v>2415</v>
      </c>
      <c r="F357" t="s">
        <v>322</v>
      </c>
      <c r="G357" t="s">
        <v>323</v>
      </c>
      <c r="H357" t="s">
        <v>324</v>
      </c>
      <c r="I357" t="s">
        <v>47</v>
      </c>
      <c r="J357" t="s">
        <v>47</v>
      </c>
      <c r="K357" t="s">
        <v>253</v>
      </c>
      <c r="L357" t="s">
        <v>47</v>
      </c>
      <c r="M357" t="s">
        <v>47</v>
      </c>
      <c r="N357" s="1">
        <v>46066</v>
      </c>
      <c r="O357" s="1">
        <v>46066</v>
      </c>
      <c r="P357" t="s">
        <v>254</v>
      </c>
      <c r="Q357" t="s">
        <v>50</v>
      </c>
      <c r="R357">
        <v>1</v>
      </c>
      <c r="S357" t="b">
        <v>0</v>
      </c>
      <c r="T357" t="s">
        <v>47</v>
      </c>
      <c r="U357" t="s">
        <v>47</v>
      </c>
      <c r="V357" t="s">
        <v>47</v>
      </c>
      <c r="W357" t="s">
        <v>47</v>
      </c>
      <c r="X357" t="s">
        <v>51</v>
      </c>
      <c r="Y357" t="b">
        <v>0</v>
      </c>
      <c r="Z357" t="s">
        <v>47</v>
      </c>
      <c r="AA357" t="s">
        <v>47</v>
      </c>
      <c r="AC357" t="b">
        <v>1</v>
      </c>
      <c r="AD357" t="s">
        <v>52</v>
      </c>
      <c r="AE357" t="s">
        <v>2416</v>
      </c>
      <c r="AF357" t="s">
        <v>2414</v>
      </c>
      <c r="AG357" t="s">
        <v>2417</v>
      </c>
      <c r="AH357" t="s">
        <v>55</v>
      </c>
      <c r="AI357" s="2">
        <v>46160.229166666664</v>
      </c>
      <c r="AJ357" t="s">
        <v>47</v>
      </c>
      <c r="AK357" t="s">
        <v>47</v>
      </c>
      <c r="AL357" s="2">
        <v>46160.458333333336</v>
      </c>
      <c r="AM357" s="2">
        <v>46160.458333333336</v>
      </c>
    </row>
    <row r="358" spans="1:39" x14ac:dyDescent="0.3">
      <c r="A358" t="s">
        <v>2418</v>
      </c>
      <c r="B358" t="s">
        <v>2419</v>
      </c>
      <c r="C358" t="s">
        <v>41</v>
      </c>
      <c r="D358" t="s">
        <v>2420</v>
      </c>
      <c r="E358" t="s">
        <v>2421</v>
      </c>
      <c r="F358" t="s">
        <v>127</v>
      </c>
      <c r="G358" t="s">
        <v>128</v>
      </c>
      <c r="H358" t="s">
        <v>129</v>
      </c>
      <c r="I358" t="s">
        <v>47</v>
      </c>
      <c r="J358" t="s">
        <v>47</v>
      </c>
      <c r="K358" t="s">
        <v>130</v>
      </c>
      <c r="L358" t="s">
        <v>47</v>
      </c>
      <c r="M358" t="s">
        <v>47</v>
      </c>
      <c r="N358" s="1">
        <v>46066</v>
      </c>
      <c r="O358" s="1">
        <v>46066</v>
      </c>
      <c r="P358" t="s">
        <v>49</v>
      </c>
      <c r="Q358" t="s">
        <v>50</v>
      </c>
      <c r="R358">
        <v>3</v>
      </c>
      <c r="S358" t="b">
        <v>1</v>
      </c>
      <c r="T358" t="s">
        <v>47</v>
      </c>
      <c r="U358" t="s">
        <v>47</v>
      </c>
      <c r="V358" t="s">
        <v>47</v>
      </c>
      <c r="W358" t="s">
        <v>47</v>
      </c>
      <c r="X358" t="s">
        <v>51</v>
      </c>
      <c r="Y358" t="b">
        <v>0</v>
      </c>
      <c r="Z358" t="s">
        <v>47</v>
      </c>
      <c r="AA358" t="s">
        <v>47</v>
      </c>
      <c r="AB358">
        <v>0.6</v>
      </c>
      <c r="AC358" t="b">
        <v>1</v>
      </c>
      <c r="AD358" t="s">
        <v>52</v>
      </c>
      <c r="AE358" t="s">
        <v>2422</v>
      </c>
      <c r="AF358" t="s">
        <v>2420</v>
      </c>
      <c r="AG358" t="s">
        <v>2423</v>
      </c>
      <c r="AH358" t="s">
        <v>55</v>
      </c>
      <c r="AI358" s="2">
        <v>46160.173611111109</v>
      </c>
      <c r="AJ358" t="s">
        <v>47</v>
      </c>
      <c r="AK358" t="s">
        <v>47</v>
      </c>
      <c r="AL358" s="2">
        <v>46160.402777777781</v>
      </c>
      <c r="AM358" s="2">
        <v>46160.402777777781</v>
      </c>
    </row>
    <row r="359" spans="1:39" x14ac:dyDescent="0.3">
      <c r="A359" t="s">
        <v>2424</v>
      </c>
      <c r="B359" t="s">
        <v>2425</v>
      </c>
      <c r="C359" t="s">
        <v>41</v>
      </c>
      <c r="D359" t="s">
        <v>2426</v>
      </c>
      <c r="E359" t="s">
        <v>2427</v>
      </c>
      <c r="F359" t="s">
        <v>83</v>
      </c>
      <c r="G359" t="s">
        <v>84</v>
      </c>
      <c r="H359" t="s">
        <v>85</v>
      </c>
      <c r="I359" t="s">
        <v>47</v>
      </c>
      <c r="J359" t="s">
        <v>47</v>
      </c>
      <c r="K359" t="s">
        <v>48</v>
      </c>
      <c r="L359" t="s">
        <v>47</v>
      </c>
      <c r="M359" s="1">
        <v>46067</v>
      </c>
      <c r="N359" s="1">
        <v>46067</v>
      </c>
      <c r="O359" s="1">
        <v>46067</v>
      </c>
      <c r="P359" t="s">
        <v>49</v>
      </c>
      <c r="Q359" t="s">
        <v>50</v>
      </c>
      <c r="R359">
        <v>2</v>
      </c>
      <c r="S359" t="b">
        <v>0</v>
      </c>
      <c r="T359" t="s">
        <v>47</v>
      </c>
      <c r="U359" t="s">
        <v>47</v>
      </c>
      <c r="V359" t="s">
        <v>47</v>
      </c>
      <c r="W359" t="s">
        <v>47</v>
      </c>
      <c r="X359" t="s">
        <v>51</v>
      </c>
      <c r="Y359" t="b">
        <v>0</v>
      </c>
      <c r="Z359" t="s">
        <v>47</v>
      </c>
      <c r="AA359" t="s">
        <v>47</v>
      </c>
      <c r="AB359" t="s">
        <v>47</v>
      </c>
      <c r="AC359" t="b">
        <v>1</v>
      </c>
      <c r="AD359" t="s">
        <v>52</v>
      </c>
      <c r="AE359" t="s">
        <v>2428</v>
      </c>
      <c r="AF359" t="s">
        <v>2426</v>
      </c>
      <c r="AG359" t="s">
        <v>47</v>
      </c>
      <c r="AH359" t="s">
        <v>87</v>
      </c>
      <c r="AI359" s="2">
        <v>46160.581724537034</v>
      </c>
      <c r="AJ359" t="s">
        <v>47</v>
      </c>
      <c r="AK359" t="s">
        <v>47</v>
      </c>
      <c r="AL359" s="2">
        <v>46160.581724537034</v>
      </c>
      <c r="AM359" s="2">
        <v>46160.581724537034</v>
      </c>
    </row>
    <row r="360" spans="1:39" x14ac:dyDescent="0.3">
      <c r="A360" t="s">
        <v>2429</v>
      </c>
      <c r="B360" t="s">
        <v>2430</v>
      </c>
      <c r="C360" t="s">
        <v>41</v>
      </c>
      <c r="D360" t="s">
        <v>2431</v>
      </c>
      <c r="E360" t="s">
        <v>2432</v>
      </c>
      <c r="F360" t="s">
        <v>800</v>
      </c>
      <c r="G360" t="s">
        <v>801</v>
      </c>
      <c r="H360" t="s">
        <v>2433</v>
      </c>
      <c r="I360" t="s">
        <v>47</v>
      </c>
      <c r="J360" t="s">
        <v>47</v>
      </c>
      <c r="K360" t="s">
        <v>48</v>
      </c>
      <c r="L360" t="s">
        <v>47</v>
      </c>
      <c r="M360" t="s">
        <v>47</v>
      </c>
      <c r="N360" s="1">
        <v>46067</v>
      </c>
      <c r="O360" s="1">
        <v>46067</v>
      </c>
      <c r="P360" t="s">
        <v>49</v>
      </c>
      <c r="Q360" t="s">
        <v>50</v>
      </c>
      <c r="R360">
        <v>2</v>
      </c>
      <c r="S360" t="b">
        <v>0</v>
      </c>
      <c r="T360" t="s">
        <v>47</v>
      </c>
      <c r="U360" t="s">
        <v>47</v>
      </c>
      <c r="V360" t="s">
        <v>47</v>
      </c>
      <c r="W360" t="s">
        <v>47</v>
      </c>
      <c r="X360" t="s">
        <v>51</v>
      </c>
      <c r="Y360" t="b">
        <v>0</v>
      </c>
      <c r="Z360" t="s">
        <v>47</v>
      </c>
      <c r="AA360" t="s">
        <v>47</v>
      </c>
      <c r="AC360" t="b">
        <v>1</v>
      </c>
      <c r="AD360" t="s">
        <v>52</v>
      </c>
      <c r="AE360" t="s">
        <v>2434</v>
      </c>
      <c r="AF360" t="s">
        <v>2431</v>
      </c>
      <c r="AG360" t="s">
        <v>2435</v>
      </c>
      <c r="AH360" t="s">
        <v>55</v>
      </c>
      <c r="AI360" s="2">
        <v>46160.270833333336</v>
      </c>
      <c r="AJ360" t="s">
        <v>47</v>
      </c>
      <c r="AK360" t="s">
        <v>47</v>
      </c>
      <c r="AL360" s="2">
        <v>46160.5</v>
      </c>
      <c r="AM360" s="2">
        <v>46160.5</v>
      </c>
    </row>
    <row r="361" spans="1:39" x14ac:dyDescent="0.3">
      <c r="A361" t="s">
        <v>2436</v>
      </c>
      <c r="B361" t="s">
        <v>2437</v>
      </c>
      <c r="C361" t="s">
        <v>41</v>
      </c>
      <c r="D361" t="s">
        <v>2438</v>
      </c>
      <c r="E361" t="s">
        <v>2439</v>
      </c>
      <c r="F361" t="s">
        <v>83</v>
      </c>
      <c r="G361" t="s">
        <v>84</v>
      </c>
      <c r="H361" t="s">
        <v>85</v>
      </c>
      <c r="I361" t="s">
        <v>47</v>
      </c>
      <c r="J361" t="s">
        <v>47</v>
      </c>
      <c r="K361" t="s">
        <v>48</v>
      </c>
      <c r="L361" t="s">
        <v>47</v>
      </c>
      <c r="M361" s="1">
        <v>46067</v>
      </c>
      <c r="N361" s="1">
        <v>46067</v>
      </c>
      <c r="O361" s="1">
        <v>46067</v>
      </c>
      <c r="P361" t="s">
        <v>49</v>
      </c>
      <c r="Q361" t="s">
        <v>50</v>
      </c>
      <c r="R361">
        <v>2</v>
      </c>
      <c r="S361" t="b">
        <v>0</v>
      </c>
      <c r="T361" t="s">
        <v>47</v>
      </c>
      <c r="U361" t="s">
        <v>47</v>
      </c>
      <c r="V361" t="s">
        <v>47</v>
      </c>
      <c r="W361" t="s">
        <v>47</v>
      </c>
      <c r="X361" t="s">
        <v>51</v>
      </c>
      <c r="Y361" t="b">
        <v>0</v>
      </c>
      <c r="Z361" t="s">
        <v>47</v>
      </c>
      <c r="AA361" t="s">
        <v>47</v>
      </c>
      <c r="AB361" t="s">
        <v>47</v>
      </c>
      <c r="AC361" t="b">
        <v>1</v>
      </c>
      <c r="AD361" t="s">
        <v>52</v>
      </c>
      <c r="AE361" t="s">
        <v>2440</v>
      </c>
      <c r="AF361" t="s">
        <v>2438</v>
      </c>
      <c r="AG361" t="s">
        <v>47</v>
      </c>
      <c r="AH361" t="s">
        <v>87</v>
      </c>
      <c r="AI361" s="2">
        <v>46160.581724537034</v>
      </c>
      <c r="AJ361" t="s">
        <v>47</v>
      </c>
      <c r="AK361" t="s">
        <v>47</v>
      </c>
      <c r="AL361" s="2">
        <v>46160.581724537034</v>
      </c>
      <c r="AM361" s="2">
        <v>46160.581724537034</v>
      </c>
    </row>
    <row r="362" spans="1:39" x14ac:dyDescent="0.3">
      <c r="A362" t="s">
        <v>2441</v>
      </c>
      <c r="B362" t="s">
        <v>2442</v>
      </c>
      <c r="C362" t="s">
        <v>41</v>
      </c>
      <c r="D362" t="s">
        <v>2443</v>
      </c>
      <c r="E362" t="s">
        <v>2444</v>
      </c>
      <c r="F362" t="s">
        <v>107</v>
      </c>
      <c r="G362" t="s">
        <v>108</v>
      </c>
      <c r="H362" t="s">
        <v>2445</v>
      </c>
      <c r="I362" t="s">
        <v>47</v>
      </c>
      <c r="J362" t="s">
        <v>47</v>
      </c>
      <c r="K362" t="s">
        <v>48</v>
      </c>
      <c r="L362" t="s">
        <v>47</v>
      </c>
      <c r="M362" t="s">
        <v>47</v>
      </c>
      <c r="N362" s="1">
        <v>46067</v>
      </c>
      <c r="O362" s="1">
        <v>46067</v>
      </c>
      <c r="P362" t="s">
        <v>49</v>
      </c>
      <c r="Q362" t="s">
        <v>50</v>
      </c>
      <c r="R362">
        <v>2</v>
      </c>
      <c r="S362" t="b">
        <v>0</v>
      </c>
      <c r="T362" t="s">
        <v>47</v>
      </c>
      <c r="U362" t="s">
        <v>47</v>
      </c>
      <c r="V362" t="s">
        <v>47</v>
      </c>
      <c r="W362" t="s">
        <v>47</v>
      </c>
      <c r="X362" t="s">
        <v>51</v>
      </c>
      <c r="Y362" t="b">
        <v>0</v>
      </c>
      <c r="Z362" t="s">
        <v>47</v>
      </c>
      <c r="AA362" t="s">
        <v>47</v>
      </c>
      <c r="AC362" t="b">
        <v>1</v>
      </c>
      <c r="AD362" t="s">
        <v>52</v>
      </c>
      <c r="AE362" t="s">
        <v>2446</v>
      </c>
      <c r="AF362" t="s">
        <v>2443</v>
      </c>
      <c r="AG362" t="s">
        <v>2447</v>
      </c>
      <c r="AH362" t="s">
        <v>55</v>
      </c>
      <c r="AI362" s="2">
        <v>46160.25</v>
      </c>
      <c r="AJ362" t="s">
        <v>47</v>
      </c>
      <c r="AK362" t="s">
        <v>47</v>
      </c>
      <c r="AL362" s="2">
        <v>46160.479166666664</v>
      </c>
      <c r="AM362" s="2">
        <v>46160.479166666664</v>
      </c>
    </row>
    <row r="363" spans="1:39" x14ac:dyDescent="0.3">
      <c r="A363" t="s">
        <v>2448</v>
      </c>
      <c r="B363" t="s">
        <v>2449</v>
      </c>
      <c r="C363" t="s">
        <v>41</v>
      </c>
      <c r="D363" t="s">
        <v>2450</v>
      </c>
      <c r="E363" t="s">
        <v>2451</v>
      </c>
      <c r="F363" t="s">
        <v>83</v>
      </c>
      <c r="G363" t="s">
        <v>84</v>
      </c>
      <c r="H363" t="s">
        <v>85</v>
      </c>
      <c r="I363" t="s">
        <v>47</v>
      </c>
      <c r="J363" t="s">
        <v>47</v>
      </c>
      <c r="K363" t="s">
        <v>48</v>
      </c>
      <c r="L363" t="s">
        <v>47</v>
      </c>
      <c r="M363" s="1">
        <v>46067</v>
      </c>
      <c r="N363" s="1">
        <v>46067</v>
      </c>
      <c r="O363" s="1">
        <v>46067</v>
      </c>
      <c r="P363" t="s">
        <v>49</v>
      </c>
      <c r="Q363" t="s">
        <v>50</v>
      </c>
      <c r="R363">
        <v>2</v>
      </c>
      <c r="S363" t="b">
        <v>0</v>
      </c>
      <c r="T363" t="s">
        <v>47</v>
      </c>
      <c r="U363" t="s">
        <v>47</v>
      </c>
      <c r="V363" t="s">
        <v>47</v>
      </c>
      <c r="W363" t="s">
        <v>47</v>
      </c>
      <c r="X363" t="s">
        <v>51</v>
      </c>
      <c r="Y363" t="b">
        <v>0</v>
      </c>
      <c r="Z363" t="s">
        <v>47</v>
      </c>
      <c r="AA363" t="s">
        <v>47</v>
      </c>
      <c r="AB363" t="s">
        <v>47</v>
      </c>
      <c r="AC363" t="b">
        <v>1</v>
      </c>
      <c r="AD363" t="s">
        <v>52</v>
      </c>
      <c r="AE363" t="s">
        <v>2452</v>
      </c>
      <c r="AF363" t="s">
        <v>2450</v>
      </c>
      <c r="AG363" t="s">
        <v>47</v>
      </c>
      <c r="AH363" t="s">
        <v>87</v>
      </c>
      <c r="AI363" s="2">
        <v>46160.598310185182</v>
      </c>
      <c r="AJ363" t="s">
        <v>47</v>
      </c>
      <c r="AK363" t="s">
        <v>47</v>
      </c>
      <c r="AL363" s="2">
        <v>46160.598310185182</v>
      </c>
      <c r="AM363" s="2">
        <v>46160.598310185182</v>
      </c>
    </row>
    <row r="364" spans="1:39" x14ac:dyDescent="0.3">
      <c r="A364" t="s">
        <v>2453</v>
      </c>
      <c r="B364" t="s">
        <v>2454</v>
      </c>
      <c r="C364" t="s">
        <v>41</v>
      </c>
      <c r="D364" t="s">
        <v>2455</v>
      </c>
      <c r="E364" t="s">
        <v>2456</v>
      </c>
      <c r="F364" t="s">
        <v>83</v>
      </c>
      <c r="G364" t="s">
        <v>84</v>
      </c>
      <c r="H364" t="s">
        <v>85</v>
      </c>
      <c r="I364" t="s">
        <v>47</v>
      </c>
      <c r="J364" t="s">
        <v>47</v>
      </c>
      <c r="K364" t="s">
        <v>48</v>
      </c>
      <c r="L364" t="s">
        <v>47</v>
      </c>
      <c r="M364" s="1">
        <v>46067</v>
      </c>
      <c r="N364" s="1">
        <v>46067</v>
      </c>
      <c r="O364" s="1">
        <v>46067</v>
      </c>
      <c r="P364" t="s">
        <v>49</v>
      </c>
      <c r="Q364" t="s">
        <v>50</v>
      </c>
      <c r="R364">
        <v>2</v>
      </c>
      <c r="S364" t="b">
        <v>0</v>
      </c>
      <c r="T364" t="s">
        <v>47</v>
      </c>
      <c r="U364" t="s">
        <v>47</v>
      </c>
      <c r="V364" t="s">
        <v>47</v>
      </c>
      <c r="W364" t="s">
        <v>47</v>
      </c>
      <c r="X364" t="s">
        <v>51</v>
      </c>
      <c r="Y364" t="b">
        <v>0</v>
      </c>
      <c r="Z364" t="s">
        <v>47</v>
      </c>
      <c r="AA364" t="s">
        <v>47</v>
      </c>
      <c r="AB364" t="s">
        <v>47</v>
      </c>
      <c r="AC364" t="b">
        <v>1</v>
      </c>
      <c r="AD364" t="s">
        <v>52</v>
      </c>
      <c r="AE364" t="s">
        <v>2457</v>
      </c>
      <c r="AF364" t="s">
        <v>2455</v>
      </c>
      <c r="AG364" t="s">
        <v>47</v>
      </c>
      <c r="AH364" t="s">
        <v>87</v>
      </c>
      <c r="AI364" s="2">
        <v>46160.581724537034</v>
      </c>
      <c r="AJ364" t="s">
        <v>47</v>
      </c>
      <c r="AK364" t="s">
        <v>47</v>
      </c>
      <c r="AL364" s="2">
        <v>46160.581724537034</v>
      </c>
      <c r="AM364" s="2">
        <v>46160.581724537034</v>
      </c>
    </row>
    <row r="365" spans="1:39" x14ac:dyDescent="0.3">
      <c r="A365" t="s">
        <v>2458</v>
      </c>
      <c r="B365" t="s">
        <v>2459</v>
      </c>
      <c r="C365" t="s">
        <v>41</v>
      </c>
      <c r="D365" t="s">
        <v>2460</v>
      </c>
      <c r="E365" t="s">
        <v>2461</v>
      </c>
      <c r="F365" t="s">
        <v>83</v>
      </c>
      <c r="G365" t="s">
        <v>84</v>
      </c>
      <c r="H365" t="s">
        <v>85</v>
      </c>
      <c r="I365" t="s">
        <v>47</v>
      </c>
      <c r="J365" t="s">
        <v>47</v>
      </c>
      <c r="K365" t="s">
        <v>48</v>
      </c>
      <c r="L365" t="s">
        <v>47</v>
      </c>
      <c r="M365" s="1">
        <v>46067</v>
      </c>
      <c r="N365" s="1">
        <v>46067</v>
      </c>
      <c r="O365" s="1">
        <v>46067</v>
      </c>
      <c r="P365" t="s">
        <v>49</v>
      </c>
      <c r="Q365" t="s">
        <v>50</v>
      </c>
      <c r="R365">
        <v>2</v>
      </c>
      <c r="S365" t="b">
        <v>0</v>
      </c>
      <c r="T365" t="s">
        <v>47</v>
      </c>
      <c r="U365" t="s">
        <v>47</v>
      </c>
      <c r="V365" t="s">
        <v>47</v>
      </c>
      <c r="W365" t="s">
        <v>47</v>
      </c>
      <c r="X365" t="s">
        <v>51</v>
      </c>
      <c r="Y365" t="b">
        <v>0</v>
      </c>
      <c r="Z365" t="s">
        <v>47</v>
      </c>
      <c r="AA365" t="s">
        <v>47</v>
      </c>
      <c r="AB365" t="s">
        <v>47</v>
      </c>
      <c r="AC365" t="b">
        <v>1</v>
      </c>
      <c r="AD365" t="s">
        <v>52</v>
      </c>
      <c r="AE365" t="s">
        <v>2462</v>
      </c>
      <c r="AF365" t="s">
        <v>2460</v>
      </c>
      <c r="AG365" t="s">
        <v>47</v>
      </c>
      <c r="AH365" t="s">
        <v>87</v>
      </c>
      <c r="AI365" s="2">
        <v>46160.598310185182</v>
      </c>
      <c r="AJ365" t="s">
        <v>47</v>
      </c>
      <c r="AK365" t="s">
        <v>47</v>
      </c>
      <c r="AL365" s="2">
        <v>46160.598310185182</v>
      </c>
      <c r="AM365" s="2">
        <v>46160.598310185182</v>
      </c>
    </row>
    <row r="366" spans="1:39" x14ac:dyDescent="0.3">
      <c r="A366" t="s">
        <v>2463</v>
      </c>
      <c r="B366" t="s">
        <v>2464</v>
      </c>
      <c r="C366" t="s">
        <v>41</v>
      </c>
      <c r="D366" t="s">
        <v>2465</v>
      </c>
      <c r="E366" t="s">
        <v>2466</v>
      </c>
      <c r="F366" t="s">
        <v>83</v>
      </c>
      <c r="G366" t="s">
        <v>84</v>
      </c>
      <c r="H366" t="s">
        <v>85</v>
      </c>
      <c r="I366" t="s">
        <v>47</v>
      </c>
      <c r="J366" t="s">
        <v>47</v>
      </c>
      <c r="K366" t="s">
        <v>48</v>
      </c>
      <c r="L366" t="s">
        <v>47</v>
      </c>
      <c r="M366" s="1">
        <v>46067</v>
      </c>
      <c r="N366" s="1">
        <v>46067</v>
      </c>
      <c r="O366" s="1">
        <v>46067</v>
      </c>
      <c r="P366" t="s">
        <v>49</v>
      </c>
      <c r="Q366" t="s">
        <v>50</v>
      </c>
      <c r="R366">
        <v>2</v>
      </c>
      <c r="S366" t="b">
        <v>0</v>
      </c>
      <c r="T366" t="s">
        <v>47</v>
      </c>
      <c r="U366" t="s">
        <v>47</v>
      </c>
      <c r="V366" t="s">
        <v>47</v>
      </c>
      <c r="W366" t="s">
        <v>47</v>
      </c>
      <c r="X366" t="s">
        <v>51</v>
      </c>
      <c r="Y366" t="b">
        <v>0</v>
      </c>
      <c r="Z366" t="s">
        <v>47</v>
      </c>
      <c r="AA366" t="s">
        <v>47</v>
      </c>
      <c r="AB366" t="s">
        <v>47</v>
      </c>
      <c r="AC366" t="b">
        <v>1</v>
      </c>
      <c r="AD366" t="s">
        <v>52</v>
      </c>
      <c r="AE366" t="s">
        <v>2467</v>
      </c>
      <c r="AF366" t="s">
        <v>2465</v>
      </c>
      <c r="AG366" t="s">
        <v>47</v>
      </c>
      <c r="AH366" t="s">
        <v>87</v>
      </c>
      <c r="AI366" s="2">
        <v>46160.581724537034</v>
      </c>
      <c r="AJ366" t="s">
        <v>47</v>
      </c>
      <c r="AK366" t="s">
        <v>47</v>
      </c>
      <c r="AL366" s="2">
        <v>46160.581724537034</v>
      </c>
      <c r="AM366" s="2">
        <v>46160.581724537034</v>
      </c>
    </row>
    <row r="367" spans="1:39" x14ac:dyDescent="0.3">
      <c r="A367" t="s">
        <v>2468</v>
      </c>
      <c r="B367" t="s">
        <v>2469</v>
      </c>
      <c r="C367" t="s">
        <v>41</v>
      </c>
      <c r="D367" t="s">
        <v>2470</v>
      </c>
      <c r="E367" t="s">
        <v>2471</v>
      </c>
      <c r="F367" t="s">
        <v>83</v>
      </c>
      <c r="G367" t="s">
        <v>84</v>
      </c>
      <c r="H367" t="s">
        <v>85</v>
      </c>
      <c r="I367" t="s">
        <v>47</v>
      </c>
      <c r="J367" t="s">
        <v>47</v>
      </c>
      <c r="K367" t="s">
        <v>48</v>
      </c>
      <c r="L367" t="s">
        <v>47</v>
      </c>
      <c r="M367" s="1">
        <v>46067</v>
      </c>
      <c r="N367" s="1">
        <v>46067</v>
      </c>
      <c r="O367" s="1">
        <v>46067</v>
      </c>
      <c r="P367" t="s">
        <v>49</v>
      </c>
      <c r="Q367" t="s">
        <v>50</v>
      </c>
      <c r="R367">
        <v>2</v>
      </c>
      <c r="S367" t="b">
        <v>0</v>
      </c>
      <c r="T367" t="s">
        <v>47</v>
      </c>
      <c r="U367" t="s">
        <v>47</v>
      </c>
      <c r="V367" t="s">
        <v>47</v>
      </c>
      <c r="W367" t="s">
        <v>47</v>
      </c>
      <c r="X367" t="s">
        <v>51</v>
      </c>
      <c r="Y367" t="b">
        <v>0</v>
      </c>
      <c r="Z367" t="s">
        <v>47</v>
      </c>
      <c r="AA367" t="s">
        <v>47</v>
      </c>
      <c r="AB367" t="s">
        <v>47</v>
      </c>
      <c r="AC367" t="b">
        <v>1</v>
      </c>
      <c r="AD367" t="s">
        <v>52</v>
      </c>
      <c r="AE367" t="s">
        <v>2472</v>
      </c>
      <c r="AF367" t="s">
        <v>2470</v>
      </c>
      <c r="AG367" t="s">
        <v>47</v>
      </c>
      <c r="AH367" t="s">
        <v>87</v>
      </c>
      <c r="AI367" s="2">
        <v>46160.581724537034</v>
      </c>
      <c r="AJ367" t="s">
        <v>47</v>
      </c>
      <c r="AK367" t="s">
        <v>47</v>
      </c>
      <c r="AL367" s="2">
        <v>46160.581724537034</v>
      </c>
      <c r="AM367" s="2">
        <v>46160.581724537034</v>
      </c>
    </row>
    <row r="368" spans="1:39" x14ac:dyDescent="0.3">
      <c r="A368" t="s">
        <v>2473</v>
      </c>
      <c r="B368" t="s">
        <v>2474</v>
      </c>
      <c r="C368" t="s">
        <v>41</v>
      </c>
      <c r="D368" t="s">
        <v>2475</v>
      </c>
      <c r="E368" t="s">
        <v>2476</v>
      </c>
      <c r="F368" t="s">
        <v>1552</v>
      </c>
      <c r="G368" t="s">
        <v>1553</v>
      </c>
      <c r="H368" t="s">
        <v>2477</v>
      </c>
      <c r="I368" t="s">
        <v>47</v>
      </c>
      <c r="J368" t="s">
        <v>47</v>
      </c>
      <c r="K368" t="s">
        <v>47</v>
      </c>
      <c r="L368" t="s">
        <v>47</v>
      </c>
      <c r="M368" t="s">
        <v>47</v>
      </c>
      <c r="N368" s="1">
        <v>46069</v>
      </c>
      <c r="O368" s="1">
        <v>46069</v>
      </c>
      <c r="P368" t="s">
        <v>219</v>
      </c>
      <c r="Q368" t="s">
        <v>50</v>
      </c>
      <c r="R368">
        <v>2</v>
      </c>
      <c r="S368" t="b">
        <v>1</v>
      </c>
      <c r="T368" t="s">
        <v>47</v>
      </c>
      <c r="U368" t="s">
        <v>47</v>
      </c>
      <c r="V368" t="s">
        <v>47</v>
      </c>
      <c r="W368" t="s">
        <v>47</v>
      </c>
      <c r="X368" t="s">
        <v>51</v>
      </c>
      <c r="Y368" t="b">
        <v>0</v>
      </c>
      <c r="Z368" t="s">
        <v>47</v>
      </c>
      <c r="AA368" t="s">
        <v>47</v>
      </c>
      <c r="AB368">
        <v>0.55000000000000004</v>
      </c>
      <c r="AC368" t="b">
        <v>1</v>
      </c>
      <c r="AD368" t="s">
        <v>52</v>
      </c>
      <c r="AE368" t="s">
        <v>2478</v>
      </c>
      <c r="AF368" t="s">
        <v>2475</v>
      </c>
      <c r="AG368" t="s">
        <v>2479</v>
      </c>
      <c r="AH368" t="s">
        <v>55</v>
      </c>
      <c r="AI368" s="2">
        <v>46160.25</v>
      </c>
      <c r="AJ368" t="s">
        <v>47</v>
      </c>
      <c r="AK368" t="s">
        <v>47</v>
      </c>
      <c r="AL368" s="2">
        <v>46160.479166666664</v>
      </c>
      <c r="AM368" s="2">
        <v>46160.479166666664</v>
      </c>
    </row>
    <row r="369" spans="1:39" x14ac:dyDescent="0.3">
      <c r="A369" t="s">
        <v>2480</v>
      </c>
      <c r="B369" t="s">
        <v>2481</v>
      </c>
      <c r="C369" t="s">
        <v>41</v>
      </c>
      <c r="D369" t="s">
        <v>2482</v>
      </c>
      <c r="E369" t="s">
        <v>2483</v>
      </c>
      <c r="F369" t="s">
        <v>127</v>
      </c>
      <c r="G369" t="s">
        <v>128</v>
      </c>
      <c r="H369" t="s">
        <v>129</v>
      </c>
      <c r="I369" t="s">
        <v>47</v>
      </c>
      <c r="J369" t="s">
        <v>47</v>
      </c>
      <c r="K369" t="s">
        <v>130</v>
      </c>
      <c r="L369" t="s">
        <v>47</v>
      </c>
      <c r="M369" t="s">
        <v>47</v>
      </c>
      <c r="N369" s="1">
        <v>46069</v>
      </c>
      <c r="O369" s="1">
        <v>46069</v>
      </c>
      <c r="P369" t="s">
        <v>49</v>
      </c>
      <c r="Q369" t="s">
        <v>50</v>
      </c>
      <c r="R369">
        <v>3</v>
      </c>
      <c r="S369" t="b">
        <v>1</v>
      </c>
      <c r="T369" t="s">
        <v>47</v>
      </c>
      <c r="U369" t="s">
        <v>47</v>
      </c>
      <c r="V369" t="s">
        <v>47</v>
      </c>
      <c r="W369" t="s">
        <v>47</v>
      </c>
      <c r="X369" t="s">
        <v>51</v>
      </c>
      <c r="Y369" t="b">
        <v>0</v>
      </c>
      <c r="Z369" t="s">
        <v>47</v>
      </c>
      <c r="AA369" t="s">
        <v>47</v>
      </c>
      <c r="AB369">
        <v>0.6</v>
      </c>
      <c r="AC369" t="b">
        <v>1</v>
      </c>
      <c r="AD369" t="s">
        <v>52</v>
      </c>
      <c r="AE369" t="s">
        <v>2484</v>
      </c>
      <c r="AF369" t="s">
        <v>2482</v>
      </c>
      <c r="AG369" t="s">
        <v>2485</v>
      </c>
      <c r="AH369" t="s">
        <v>55</v>
      </c>
      <c r="AI369" s="2">
        <v>46160.201388888891</v>
      </c>
      <c r="AJ369" t="s">
        <v>47</v>
      </c>
      <c r="AK369" t="s">
        <v>47</v>
      </c>
      <c r="AL369" s="2">
        <v>46160.430555555555</v>
      </c>
      <c r="AM369" s="2">
        <v>46160.430555555555</v>
      </c>
    </row>
    <row r="370" spans="1:39" x14ac:dyDescent="0.3">
      <c r="A370" t="s">
        <v>2486</v>
      </c>
      <c r="B370" t="s">
        <v>2487</v>
      </c>
      <c r="C370" t="s">
        <v>41</v>
      </c>
      <c r="D370" t="s">
        <v>2488</v>
      </c>
      <c r="E370" t="s">
        <v>2489</v>
      </c>
      <c r="F370" t="s">
        <v>191</v>
      </c>
      <c r="G370" t="s">
        <v>128</v>
      </c>
      <c r="H370" t="s">
        <v>192</v>
      </c>
      <c r="I370" t="s">
        <v>47</v>
      </c>
      <c r="J370" t="s">
        <v>47</v>
      </c>
      <c r="K370" t="s">
        <v>130</v>
      </c>
      <c r="L370" t="s">
        <v>47</v>
      </c>
      <c r="M370" t="s">
        <v>47</v>
      </c>
      <c r="N370" s="1">
        <v>46069</v>
      </c>
      <c r="O370" s="1">
        <v>46069</v>
      </c>
      <c r="P370" t="s">
        <v>49</v>
      </c>
      <c r="Q370" t="s">
        <v>50</v>
      </c>
      <c r="R370">
        <v>3</v>
      </c>
      <c r="S370" t="b">
        <v>1</v>
      </c>
      <c r="T370" t="s">
        <v>47</v>
      </c>
      <c r="U370" t="s">
        <v>47</v>
      </c>
      <c r="V370" t="s">
        <v>47</v>
      </c>
      <c r="W370" t="s">
        <v>47</v>
      </c>
      <c r="X370" t="s">
        <v>51</v>
      </c>
      <c r="Y370" t="b">
        <v>0</v>
      </c>
      <c r="Z370" t="s">
        <v>47</v>
      </c>
      <c r="AA370" t="s">
        <v>47</v>
      </c>
      <c r="AB370">
        <v>0.6</v>
      </c>
      <c r="AC370" t="b">
        <v>1</v>
      </c>
      <c r="AD370" t="s">
        <v>52</v>
      </c>
      <c r="AE370" t="s">
        <v>2490</v>
      </c>
      <c r="AF370" t="s">
        <v>2488</v>
      </c>
      <c r="AG370" t="s">
        <v>2491</v>
      </c>
      <c r="AH370" t="s">
        <v>55</v>
      </c>
      <c r="AI370" s="2">
        <v>46160.229166666664</v>
      </c>
      <c r="AJ370" t="s">
        <v>47</v>
      </c>
      <c r="AK370" t="s">
        <v>47</v>
      </c>
      <c r="AL370" s="2">
        <v>46160.458333333336</v>
      </c>
      <c r="AM370" s="2">
        <v>46160.458333333336</v>
      </c>
    </row>
    <row r="371" spans="1:39" x14ac:dyDescent="0.3">
      <c r="A371" t="s">
        <v>2492</v>
      </c>
      <c r="B371" t="s">
        <v>2493</v>
      </c>
      <c r="C371" t="s">
        <v>41</v>
      </c>
      <c r="D371" t="s">
        <v>2494</v>
      </c>
      <c r="E371" t="s">
        <v>2495</v>
      </c>
      <c r="F371" t="s">
        <v>107</v>
      </c>
      <c r="G371" t="s">
        <v>108</v>
      </c>
      <c r="H371" t="s">
        <v>109</v>
      </c>
      <c r="I371" t="s">
        <v>47</v>
      </c>
      <c r="J371" t="s">
        <v>47</v>
      </c>
      <c r="K371" t="s">
        <v>48</v>
      </c>
      <c r="L371" t="s">
        <v>47</v>
      </c>
      <c r="M371" t="s">
        <v>47</v>
      </c>
      <c r="N371" s="1">
        <v>46069</v>
      </c>
      <c r="O371" s="1">
        <v>46069</v>
      </c>
      <c r="P371" t="s">
        <v>49</v>
      </c>
      <c r="Q371" t="s">
        <v>50</v>
      </c>
      <c r="R371">
        <v>2</v>
      </c>
      <c r="S371" t="b">
        <v>0</v>
      </c>
      <c r="T371" t="s">
        <v>47</v>
      </c>
      <c r="U371" t="s">
        <v>47</v>
      </c>
      <c r="V371" t="s">
        <v>47</v>
      </c>
      <c r="W371" t="s">
        <v>47</v>
      </c>
      <c r="X371" t="s">
        <v>51</v>
      </c>
      <c r="Y371" t="b">
        <v>0</v>
      </c>
      <c r="Z371" t="s">
        <v>47</v>
      </c>
      <c r="AA371" t="s">
        <v>47</v>
      </c>
      <c r="AC371" t="b">
        <v>1</v>
      </c>
      <c r="AD371" t="s">
        <v>52</v>
      </c>
      <c r="AE371" t="s">
        <v>2496</v>
      </c>
      <c r="AF371" t="s">
        <v>2494</v>
      </c>
      <c r="AG371" t="s">
        <v>2497</v>
      </c>
      <c r="AH371" t="s">
        <v>55</v>
      </c>
      <c r="AI371" s="2">
        <v>46160.25</v>
      </c>
      <c r="AJ371" t="s">
        <v>47</v>
      </c>
      <c r="AK371" t="s">
        <v>47</v>
      </c>
      <c r="AL371" s="2">
        <v>46160.479166666664</v>
      </c>
      <c r="AM371" s="2">
        <v>46160.479166666664</v>
      </c>
    </row>
    <row r="372" spans="1:39" x14ac:dyDescent="0.3">
      <c r="A372" t="s">
        <v>2498</v>
      </c>
      <c r="B372" t="s">
        <v>2499</v>
      </c>
      <c r="C372" t="s">
        <v>41</v>
      </c>
      <c r="D372" t="s">
        <v>2500</v>
      </c>
      <c r="E372" t="s">
        <v>2501</v>
      </c>
      <c r="F372" t="s">
        <v>127</v>
      </c>
      <c r="G372" t="s">
        <v>128</v>
      </c>
      <c r="H372" t="s">
        <v>129</v>
      </c>
      <c r="I372" t="s">
        <v>47</v>
      </c>
      <c r="J372" t="s">
        <v>47</v>
      </c>
      <c r="K372" t="s">
        <v>130</v>
      </c>
      <c r="L372" t="s">
        <v>47</v>
      </c>
      <c r="M372" t="s">
        <v>47</v>
      </c>
      <c r="N372" s="1">
        <v>46069</v>
      </c>
      <c r="O372" s="1">
        <v>46069</v>
      </c>
      <c r="P372" t="s">
        <v>49</v>
      </c>
      <c r="Q372" t="s">
        <v>50</v>
      </c>
      <c r="R372">
        <v>3</v>
      </c>
      <c r="S372" t="b">
        <v>1</v>
      </c>
      <c r="T372" t="s">
        <v>47</v>
      </c>
      <c r="U372" t="s">
        <v>47</v>
      </c>
      <c r="V372" t="s">
        <v>47</v>
      </c>
      <c r="W372" t="s">
        <v>47</v>
      </c>
      <c r="X372" t="s">
        <v>51</v>
      </c>
      <c r="Y372" t="b">
        <v>0</v>
      </c>
      <c r="Z372" t="s">
        <v>47</v>
      </c>
      <c r="AA372" t="s">
        <v>47</v>
      </c>
      <c r="AB372">
        <v>0.6</v>
      </c>
      <c r="AC372" t="b">
        <v>1</v>
      </c>
      <c r="AD372" t="s">
        <v>52</v>
      </c>
      <c r="AE372" t="s">
        <v>2502</v>
      </c>
      <c r="AF372" t="s">
        <v>2500</v>
      </c>
      <c r="AG372" t="s">
        <v>2503</v>
      </c>
      <c r="AH372" t="s">
        <v>55</v>
      </c>
      <c r="AI372" s="2">
        <v>46160.201388888891</v>
      </c>
      <c r="AJ372" t="s">
        <v>47</v>
      </c>
      <c r="AK372" t="s">
        <v>47</v>
      </c>
      <c r="AL372" s="2">
        <v>46160.430555555555</v>
      </c>
      <c r="AM372" s="2">
        <v>46160.430555555555</v>
      </c>
    </row>
    <row r="373" spans="1:39" x14ac:dyDescent="0.3">
      <c r="A373" t="s">
        <v>2504</v>
      </c>
      <c r="B373" t="s">
        <v>2505</v>
      </c>
      <c r="C373" t="s">
        <v>41</v>
      </c>
      <c r="D373" t="s">
        <v>2506</v>
      </c>
      <c r="E373" t="s">
        <v>2507</v>
      </c>
      <c r="F373" t="s">
        <v>680</v>
      </c>
      <c r="G373" t="s">
        <v>681</v>
      </c>
      <c r="H373" t="s">
        <v>682</v>
      </c>
      <c r="I373" t="s">
        <v>47</v>
      </c>
      <c r="J373" t="s">
        <v>47</v>
      </c>
      <c r="K373" t="s">
        <v>130</v>
      </c>
      <c r="L373" t="s">
        <v>47</v>
      </c>
      <c r="M373" t="s">
        <v>47</v>
      </c>
      <c r="N373" s="1">
        <v>46069</v>
      </c>
      <c r="O373" s="1">
        <v>46069</v>
      </c>
      <c r="P373" t="s">
        <v>49</v>
      </c>
      <c r="Q373" t="s">
        <v>50</v>
      </c>
      <c r="R373">
        <v>3</v>
      </c>
      <c r="S373" t="b">
        <v>1</v>
      </c>
      <c r="T373" t="s">
        <v>47</v>
      </c>
      <c r="U373" t="s">
        <v>47</v>
      </c>
      <c r="V373" t="s">
        <v>47</v>
      </c>
      <c r="W373" t="s">
        <v>47</v>
      </c>
      <c r="X373" t="s">
        <v>51</v>
      </c>
      <c r="Y373" t="b">
        <v>0</v>
      </c>
      <c r="Z373" t="s">
        <v>47</v>
      </c>
      <c r="AA373" t="s">
        <v>47</v>
      </c>
      <c r="AB373">
        <v>0.6</v>
      </c>
      <c r="AC373" t="b">
        <v>1</v>
      </c>
      <c r="AD373" t="s">
        <v>52</v>
      </c>
      <c r="AE373" t="s">
        <v>2508</v>
      </c>
      <c r="AF373" t="s">
        <v>2506</v>
      </c>
      <c r="AG373" t="s">
        <v>2509</v>
      </c>
      <c r="AH373" t="s">
        <v>55</v>
      </c>
      <c r="AI373" s="2">
        <v>46160.270833333336</v>
      </c>
      <c r="AJ373" t="s">
        <v>47</v>
      </c>
      <c r="AK373" t="s">
        <v>47</v>
      </c>
      <c r="AL373" s="2">
        <v>46160.5</v>
      </c>
      <c r="AM373" s="2">
        <v>46160.5</v>
      </c>
    </row>
    <row r="374" spans="1:39" x14ac:dyDescent="0.3">
      <c r="A374" t="s">
        <v>2510</v>
      </c>
      <c r="B374" t="s">
        <v>2511</v>
      </c>
      <c r="C374" t="s">
        <v>41</v>
      </c>
      <c r="D374" t="s">
        <v>2512</v>
      </c>
      <c r="E374" t="s">
        <v>2513</v>
      </c>
      <c r="F374" t="s">
        <v>322</v>
      </c>
      <c r="G374" t="s">
        <v>323</v>
      </c>
      <c r="H374" t="s">
        <v>379</v>
      </c>
      <c r="I374" t="s">
        <v>47</v>
      </c>
      <c r="J374" t="s">
        <v>47</v>
      </c>
      <c r="K374" t="s">
        <v>253</v>
      </c>
      <c r="L374" t="s">
        <v>47</v>
      </c>
      <c r="M374" t="s">
        <v>47</v>
      </c>
      <c r="N374" s="1">
        <v>46069</v>
      </c>
      <c r="O374" s="1">
        <v>46069</v>
      </c>
      <c r="P374" t="s">
        <v>254</v>
      </c>
      <c r="Q374" t="s">
        <v>50</v>
      </c>
      <c r="R374">
        <v>1</v>
      </c>
      <c r="S374" t="b">
        <v>0</v>
      </c>
      <c r="T374" t="s">
        <v>47</v>
      </c>
      <c r="U374" t="s">
        <v>47</v>
      </c>
      <c r="V374" t="s">
        <v>47</v>
      </c>
      <c r="W374" t="s">
        <v>47</v>
      </c>
      <c r="X374" t="s">
        <v>51</v>
      </c>
      <c r="Y374" t="b">
        <v>0</v>
      </c>
      <c r="Z374" t="s">
        <v>47</v>
      </c>
      <c r="AA374" t="s">
        <v>47</v>
      </c>
      <c r="AC374" t="b">
        <v>1</v>
      </c>
      <c r="AD374" t="s">
        <v>52</v>
      </c>
      <c r="AE374" t="s">
        <v>2514</v>
      </c>
      <c r="AF374" t="s">
        <v>2512</v>
      </c>
      <c r="AG374" t="s">
        <v>2515</v>
      </c>
      <c r="AH374" t="s">
        <v>55</v>
      </c>
      <c r="AI374" s="2">
        <v>46160.173611111109</v>
      </c>
      <c r="AJ374" t="s">
        <v>47</v>
      </c>
      <c r="AK374" t="s">
        <v>47</v>
      </c>
      <c r="AL374" s="2">
        <v>46160.402777777781</v>
      </c>
      <c r="AM374" s="2">
        <v>46160.402777777781</v>
      </c>
    </row>
    <row r="375" spans="1:39" x14ac:dyDescent="0.3">
      <c r="A375" t="s">
        <v>2516</v>
      </c>
      <c r="B375" t="s">
        <v>2517</v>
      </c>
      <c r="C375" t="s">
        <v>41</v>
      </c>
      <c r="D375" t="s">
        <v>2518</v>
      </c>
      <c r="E375" t="s">
        <v>2519</v>
      </c>
      <c r="F375" t="s">
        <v>127</v>
      </c>
      <c r="G375" t="s">
        <v>128</v>
      </c>
      <c r="H375" t="s">
        <v>129</v>
      </c>
      <c r="I375" t="s">
        <v>47</v>
      </c>
      <c r="J375" t="s">
        <v>47</v>
      </c>
      <c r="K375" t="s">
        <v>130</v>
      </c>
      <c r="L375" t="s">
        <v>47</v>
      </c>
      <c r="M375" t="s">
        <v>47</v>
      </c>
      <c r="N375" s="1">
        <v>46069</v>
      </c>
      <c r="O375" s="1">
        <v>46069</v>
      </c>
      <c r="P375" t="s">
        <v>49</v>
      </c>
      <c r="Q375" t="s">
        <v>50</v>
      </c>
      <c r="R375">
        <v>3</v>
      </c>
      <c r="S375" t="b">
        <v>1</v>
      </c>
      <c r="T375" t="s">
        <v>47</v>
      </c>
      <c r="U375" t="s">
        <v>47</v>
      </c>
      <c r="V375" t="s">
        <v>47</v>
      </c>
      <c r="W375" t="s">
        <v>47</v>
      </c>
      <c r="X375" t="s">
        <v>51</v>
      </c>
      <c r="Y375" t="b">
        <v>0</v>
      </c>
      <c r="Z375" t="s">
        <v>47</v>
      </c>
      <c r="AA375" t="s">
        <v>47</v>
      </c>
      <c r="AB375">
        <v>0.6</v>
      </c>
      <c r="AC375" t="b">
        <v>1</v>
      </c>
      <c r="AD375" t="s">
        <v>52</v>
      </c>
      <c r="AE375" t="s">
        <v>2520</v>
      </c>
      <c r="AF375" t="s">
        <v>2518</v>
      </c>
      <c r="AG375" t="s">
        <v>2521</v>
      </c>
      <c r="AH375" t="s">
        <v>55</v>
      </c>
      <c r="AI375" s="2">
        <v>46160.201388888891</v>
      </c>
      <c r="AJ375" t="s">
        <v>47</v>
      </c>
      <c r="AK375" t="s">
        <v>47</v>
      </c>
      <c r="AL375" s="2">
        <v>46160.430555555555</v>
      </c>
      <c r="AM375" s="2">
        <v>46160.430555555555</v>
      </c>
    </row>
    <row r="376" spans="1:39" x14ac:dyDescent="0.3">
      <c r="A376" t="s">
        <v>2522</v>
      </c>
      <c r="B376" t="s">
        <v>2523</v>
      </c>
      <c r="C376" t="s">
        <v>41</v>
      </c>
      <c r="D376" t="s">
        <v>2524</v>
      </c>
      <c r="E376" t="s">
        <v>2525</v>
      </c>
      <c r="F376" t="s">
        <v>2268</v>
      </c>
      <c r="G376" t="s">
        <v>2269</v>
      </c>
      <c r="H376" t="s">
        <v>2526</v>
      </c>
      <c r="I376" t="s">
        <v>47</v>
      </c>
      <c r="J376" t="s">
        <v>47</v>
      </c>
      <c r="K376" t="s">
        <v>2271</v>
      </c>
      <c r="L376" t="s">
        <v>47</v>
      </c>
      <c r="M376" t="s">
        <v>47</v>
      </c>
      <c r="N376" s="1">
        <v>46070</v>
      </c>
      <c r="O376" s="1">
        <v>46070</v>
      </c>
      <c r="P376" t="s">
        <v>183</v>
      </c>
      <c r="Q376" t="s">
        <v>50</v>
      </c>
      <c r="R376">
        <v>2</v>
      </c>
      <c r="S376" t="b">
        <v>0</v>
      </c>
      <c r="T376" t="s">
        <v>47</v>
      </c>
      <c r="U376" t="s">
        <v>47</v>
      </c>
      <c r="V376" t="s">
        <v>47</v>
      </c>
      <c r="W376" t="s">
        <v>47</v>
      </c>
      <c r="X376" t="s">
        <v>51</v>
      </c>
      <c r="Y376" t="b">
        <v>0</v>
      </c>
      <c r="Z376" t="s">
        <v>47</v>
      </c>
      <c r="AA376" t="s">
        <v>47</v>
      </c>
      <c r="AC376" t="b">
        <v>1</v>
      </c>
      <c r="AD376" t="s">
        <v>52</v>
      </c>
      <c r="AE376" t="s">
        <v>2527</v>
      </c>
      <c r="AF376" t="s">
        <v>2524</v>
      </c>
      <c r="AG376" t="s">
        <v>2528</v>
      </c>
      <c r="AH376" t="s">
        <v>55</v>
      </c>
      <c r="AI376" s="2">
        <v>46160.229166666664</v>
      </c>
      <c r="AJ376" t="s">
        <v>47</v>
      </c>
      <c r="AK376" t="s">
        <v>47</v>
      </c>
      <c r="AL376" s="2">
        <v>46160.458333333336</v>
      </c>
      <c r="AM376" s="2">
        <v>46160.458333333336</v>
      </c>
    </row>
    <row r="377" spans="1:39" x14ac:dyDescent="0.3">
      <c r="A377" t="s">
        <v>2529</v>
      </c>
      <c r="B377" t="s">
        <v>2530</v>
      </c>
      <c r="C377" t="s">
        <v>41</v>
      </c>
      <c r="D377" t="s">
        <v>2531</v>
      </c>
      <c r="E377" t="s">
        <v>2532</v>
      </c>
      <c r="F377" t="s">
        <v>2533</v>
      </c>
      <c r="G377" t="s">
        <v>2534</v>
      </c>
      <c r="H377" t="s">
        <v>2535</v>
      </c>
      <c r="I377" t="s">
        <v>47</v>
      </c>
      <c r="J377" t="s">
        <v>47</v>
      </c>
      <c r="K377" t="s">
        <v>47</v>
      </c>
      <c r="L377" t="s">
        <v>47</v>
      </c>
      <c r="M377" t="s">
        <v>47</v>
      </c>
      <c r="N377" s="1">
        <v>46070</v>
      </c>
      <c r="O377" s="1">
        <v>46070</v>
      </c>
      <c r="P377" t="s">
        <v>49</v>
      </c>
      <c r="Q377" t="s">
        <v>184</v>
      </c>
      <c r="R377">
        <v>2</v>
      </c>
      <c r="S377" t="b">
        <v>0</v>
      </c>
      <c r="T377" t="s">
        <v>47</v>
      </c>
      <c r="U377" t="s">
        <v>47</v>
      </c>
      <c r="V377" t="s">
        <v>47</v>
      </c>
      <c r="W377" t="s">
        <v>47</v>
      </c>
      <c r="X377" t="s">
        <v>51</v>
      </c>
      <c r="Y377" t="b">
        <v>0</v>
      </c>
      <c r="Z377" t="s">
        <v>47</v>
      </c>
      <c r="AA377" t="s">
        <v>47</v>
      </c>
      <c r="AC377" t="b">
        <v>1</v>
      </c>
      <c r="AD377" t="s">
        <v>52</v>
      </c>
      <c r="AE377" t="s">
        <v>2536</v>
      </c>
      <c r="AF377" t="s">
        <v>2531</v>
      </c>
      <c r="AG377" t="s">
        <v>2537</v>
      </c>
      <c r="AH377" t="s">
        <v>55</v>
      </c>
      <c r="AI377" s="2">
        <v>46160.25</v>
      </c>
      <c r="AJ377" t="s">
        <v>47</v>
      </c>
      <c r="AK377" t="s">
        <v>47</v>
      </c>
      <c r="AL377" s="2">
        <v>46160.479166666664</v>
      </c>
      <c r="AM377" s="2">
        <v>46160.479166666664</v>
      </c>
    </row>
    <row r="378" spans="1:39" x14ac:dyDescent="0.3">
      <c r="A378" t="s">
        <v>2538</v>
      </c>
      <c r="B378" t="s">
        <v>2539</v>
      </c>
      <c r="C378" t="s">
        <v>41</v>
      </c>
      <c r="D378" t="s">
        <v>2540</v>
      </c>
      <c r="E378" t="s">
        <v>2541</v>
      </c>
      <c r="F378" t="s">
        <v>127</v>
      </c>
      <c r="G378" t="s">
        <v>128</v>
      </c>
      <c r="H378" t="s">
        <v>129</v>
      </c>
      <c r="I378" t="s">
        <v>47</v>
      </c>
      <c r="J378" t="s">
        <v>47</v>
      </c>
      <c r="K378" t="s">
        <v>130</v>
      </c>
      <c r="L378" t="s">
        <v>47</v>
      </c>
      <c r="M378" t="s">
        <v>47</v>
      </c>
      <c r="N378" s="1">
        <v>46070</v>
      </c>
      <c r="O378" s="1">
        <v>46070</v>
      </c>
      <c r="P378" t="s">
        <v>49</v>
      </c>
      <c r="Q378" t="s">
        <v>50</v>
      </c>
      <c r="R378">
        <v>3</v>
      </c>
      <c r="S378" t="b">
        <v>1</v>
      </c>
      <c r="T378" t="s">
        <v>47</v>
      </c>
      <c r="U378" t="s">
        <v>47</v>
      </c>
      <c r="V378" t="s">
        <v>47</v>
      </c>
      <c r="W378" t="s">
        <v>47</v>
      </c>
      <c r="X378" t="s">
        <v>51</v>
      </c>
      <c r="Y378" t="b">
        <v>0</v>
      </c>
      <c r="Z378" t="s">
        <v>47</v>
      </c>
      <c r="AA378" t="s">
        <v>47</v>
      </c>
      <c r="AB378">
        <v>0.6</v>
      </c>
      <c r="AC378" t="b">
        <v>1</v>
      </c>
      <c r="AD378" t="s">
        <v>52</v>
      </c>
      <c r="AE378" t="s">
        <v>2542</v>
      </c>
      <c r="AF378" t="s">
        <v>2540</v>
      </c>
      <c r="AG378" t="s">
        <v>2543</v>
      </c>
      <c r="AH378" t="s">
        <v>55</v>
      </c>
      <c r="AI378" s="2">
        <v>46160.201388888891</v>
      </c>
      <c r="AJ378" t="s">
        <v>47</v>
      </c>
      <c r="AK378" t="s">
        <v>47</v>
      </c>
      <c r="AL378" s="2">
        <v>46160.430555555555</v>
      </c>
      <c r="AM378" s="2">
        <v>46160.430555555555</v>
      </c>
    </row>
    <row r="379" spans="1:39" x14ac:dyDescent="0.3">
      <c r="A379" t="s">
        <v>2544</v>
      </c>
      <c r="B379" t="s">
        <v>2545</v>
      </c>
      <c r="C379" t="s">
        <v>41</v>
      </c>
      <c r="D379" t="s">
        <v>2546</v>
      </c>
      <c r="E379" t="s">
        <v>2547</v>
      </c>
      <c r="F379" t="s">
        <v>83</v>
      </c>
      <c r="G379" t="s">
        <v>84</v>
      </c>
      <c r="H379" t="s">
        <v>85</v>
      </c>
      <c r="I379" t="s">
        <v>47</v>
      </c>
      <c r="J379" t="s">
        <v>47</v>
      </c>
      <c r="K379" t="s">
        <v>48</v>
      </c>
      <c r="L379" t="s">
        <v>47</v>
      </c>
      <c r="M379" s="1">
        <v>46071</v>
      </c>
      <c r="N379" s="1">
        <v>46071</v>
      </c>
      <c r="O379" s="1">
        <v>46071</v>
      </c>
      <c r="P379" t="s">
        <v>49</v>
      </c>
      <c r="Q379" t="s">
        <v>50</v>
      </c>
      <c r="R379">
        <v>2</v>
      </c>
      <c r="S379" t="b">
        <v>0</v>
      </c>
      <c r="T379" t="s">
        <v>47</v>
      </c>
      <c r="U379" t="s">
        <v>47</v>
      </c>
      <c r="V379" t="s">
        <v>47</v>
      </c>
      <c r="W379" t="s">
        <v>47</v>
      </c>
      <c r="X379" t="s">
        <v>51</v>
      </c>
      <c r="Y379" t="b">
        <v>0</v>
      </c>
      <c r="Z379" t="s">
        <v>47</v>
      </c>
      <c r="AA379" t="s">
        <v>47</v>
      </c>
      <c r="AB379" t="s">
        <v>47</v>
      </c>
      <c r="AC379" t="b">
        <v>1</v>
      </c>
      <c r="AD379" t="s">
        <v>52</v>
      </c>
      <c r="AE379" t="s">
        <v>2548</v>
      </c>
      <c r="AF379" t="s">
        <v>2546</v>
      </c>
      <c r="AG379" t="s">
        <v>47</v>
      </c>
      <c r="AH379" t="s">
        <v>87</v>
      </c>
      <c r="AI379" s="2">
        <v>46160.581724537034</v>
      </c>
      <c r="AJ379" t="s">
        <v>47</v>
      </c>
      <c r="AK379" t="s">
        <v>47</v>
      </c>
      <c r="AL379" s="2">
        <v>46160.581724537034</v>
      </c>
      <c r="AM379" s="2">
        <v>46160.581724537034</v>
      </c>
    </row>
    <row r="380" spans="1:39" x14ac:dyDescent="0.3">
      <c r="A380" t="s">
        <v>2549</v>
      </c>
      <c r="B380" t="s">
        <v>2550</v>
      </c>
      <c r="C380" t="s">
        <v>41</v>
      </c>
      <c r="D380" t="s">
        <v>2551</v>
      </c>
      <c r="E380" t="s">
        <v>2552</v>
      </c>
      <c r="F380" t="s">
        <v>83</v>
      </c>
      <c r="G380" t="s">
        <v>84</v>
      </c>
      <c r="H380" t="s">
        <v>85</v>
      </c>
      <c r="I380" t="s">
        <v>47</v>
      </c>
      <c r="J380" t="s">
        <v>47</v>
      </c>
      <c r="K380" t="s">
        <v>48</v>
      </c>
      <c r="L380" t="s">
        <v>47</v>
      </c>
      <c r="M380" s="1">
        <v>46071</v>
      </c>
      <c r="N380" s="1">
        <v>46071</v>
      </c>
      <c r="O380" s="1">
        <v>46071</v>
      </c>
      <c r="P380" t="s">
        <v>49</v>
      </c>
      <c r="Q380" t="s">
        <v>50</v>
      </c>
      <c r="R380">
        <v>2</v>
      </c>
      <c r="S380" t="b">
        <v>0</v>
      </c>
      <c r="T380" t="s">
        <v>47</v>
      </c>
      <c r="U380" t="s">
        <v>47</v>
      </c>
      <c r="V380" t="s">
        <v>47</v>
      </c>
      <c r="W380" t="s">
        <v>47</v>
      </c>
      <c r="X380" t="s">
        <v>51</v>
      </c>
      <c r="Y380" t="b">
        <v>0</v>
      </c>
      <c r="Z380" t="s">
        <v>47</v>
      </c>
      <c r="AA380" t="s">
        <v>47</v>
      </c>
      <c r="AB380" t="s">
        <v>47</v>
      </c>
      <c r="AC380" t="b">
        <v>1</v>
      </c>
      <c r="AD380" t="s">
        <v>52</v>
      </c>
      <c r="AE380" t="s">
        <v>2553</v>
      </c>
      <c r="AF380" t="s">
        <v>2551</v>
      </c>
      <c r="AG380" t="s">
        <v>47</v>
      </c>
      <c r="AH380" t="s">
        <v>87</v>
      </c>
      <c r="AI380" s="2">
        <v>46160.581724537034</v>
      </c>
      <c r="AJ380" t="s">
        <v>47</v>
      </c>
      <c r="AK380" t="s">
        <v>47</v>
      </c>
      <c r="AL380" s="2">
        <v>46160.581724537034</v>
      </c>
      <c r="AM380" s="2">
        <v>46160.581724537034</v>
      </c>
    </row>
    <row r="381" spans="1:39" x14ac:dyDescent="0.3">
      <c r="A381" t="s">
        <v>2554</v>
      </c>
      <c r="B381" t="s">
        <v>2555</v>
      </c>
      <c r="C381" t="s">
        <v>41</v>
      </c>
      <c r="D381" t="s">
        <v>2556</v>
      </c>
      <c r="E381" t="s">
        <v>2557</v>
      </c>
      <c r="F381" t="s">
        <v>83</v>
      </c>
      <c r="G381" t="s">
        <v>84</v>
      </c>
      <c r="H381" t="s">
        <v>85</v>
      </c>
      <c r="I381" t="s">
        <v>47</v>
      </c>
      <c r="J381" t="s">
        <v>47</v>
      </c>
      <c r="K381" t="s">
        <v>48</v>
      </c>
      <c r="L381" t="s">
        <v>47</v>
      </c>
      <c r="M381" s="1">
        <v>46071</v>
      </c>
      <c r="N381" s="1">
        <v>46071</v>
      </c>
      <c r="O381" s="1">
        <v>46071</v>
      </c>
      <c r="P381" t="s">
        <v>49</v>
      </c>
      <c r="Q381" t="s">
        <v>50</v>
      </c>
      <c r="R381">
        <v>2</v>
      </c>
      <c r="S381" t="b">
        <v>0</v>
      </c>
      <c r="T381" t="s">
        <v>47</v>
      </c>
      <c r="U381" t="s">
        <v>47</v>
      </c>
      <c r="V381" t="s">
        <v>47</v>
      </c>
      <c r="W381" t="s">
        <v>47</v>
      </c>
      <c r="X381" t="s">
        <v>51</v>
      </c>
      <c r="Y381" t="b">
        <v>0</v>
      </c>
      <c r="Z381" t="s">
        <v>47</v>
      </c>
      <c r="AA381" t="s">
        <v>47</v>
      </c>
      <c r="AB381" t="s">
        <v>47</v>
      </c>
      <c r="AC381" t="b">
        <v>1</v>
      </c>
      <c r="AD381" t="s">
        <v>52</v>
      </c>
      <c r="AE381" t="s">
        <v>2558</v>
      </c>
      <c r="AF381" t="s">
        <v>2556</v>
      </c>
      <c r="AG381" t="s">
        <v>47</v>
      </c>
      <c r="AH381" t="s">
        <v>87</v>
      </c>
      <c r="AI381" s="2">
        <v>46160.581724537034</v>
      </c>
      <c r="AJ381" t="s">
        <v>47</v>
      </c>
      <c r="AK381" t="s">
        <v>47</v>
      </c>
      <c r="AL381" s="2">
        <v>46160.581724537034</v>
      </c>
      <c r="AM381" s="2">
        <v>46160.581724537034</v>
      </c>
    </row>
    <row r="382" spans="1:39" x14ac:dyDescent="0.3">
      <c r="A382" t="s">
        <v>2559</v>
      </c>
      <c r="B382" t="s">
        <v>2560</v>
      </c>
      <c r="C382" t="s">
        <v>41</v>
      </c>
      <c r="D382" t="s">
        <v>2561</v>
      </c>
      <c r="E382" t="s">
        <v>2562</v>
      </c>
      <c r="F382" t="s">
        <v>83</v>
      </c>
      <c r="G382" t="s">
        <v>84</v>
      </c>
      <c r="H382" t="s">
        <v>85</v>
      </c>
      <c r="I382" t="s">
        <v>47</v>
      </c>
      <c r="J382" t="s">
        <v>47</v>
      </c>
      <c r="K382" t="s">
        <v>48</v>
      </c>
      <c r="L382" t="s">
        <v>47</v>
      </c>
      <c r="M382" s="1">
        <v>46071</v>
      </c>
      <c r="N382" s="1">
        <v>46071</v>
      </c>
      <c r="O382" s="1">
        <v>46071</v>
      </c>
      <c r="P382" t="s">
        <v>49</v>
      </c>
      <c r="Q382" t="s">
        <v>50</v>
      </c>
      <c r="R382">
        <v>2</v>
      </c>
      <c r="S382" t="b">
        <v>0</v>
      </c>
      <c r="T382" t="s">
        <v>47</v>
      </c>
      <c r="U382" t="s">
        <v>47</v>
      </c>
      <c r="V382" t="s">
        <v>47</v>
      </c>
      <c r="W382" t="s">
        <v>47</v>
      </c>
      <c r="X382" t="s">
        <v>51</v>
      </c>
      <c r="Y382" t="b">
        <v>0</v>
      </c>
      <c r="Z382" t="s">
        <v>47</v>
      </c>
      <c r="AA382" t="s">
        <v>47</v>
      </c>
      <c r="AB382" t="s">
        <v>47</v>
      </c>
      <c r="AC382" t="b">
        <v>1</v>
      </c>
      <c r="AD382" t="s">
        <v>52</v>
      </c>
      <c r="AE382" t="s">
        <v>2563</v>
      </c>
      <c r="AF382" t="s">
        <v>2561</v>
      </c>
      <c r="AG382" t="s">
        <v>47</v>
      </c>
      <c r="AH382" t="s">
        <v>87</v>
      </c>
      <c r="AI382" s="2">
        <v>46160.581724537034</v>
      </c>
      <c r="AJ382" t="s">
        <v>47</v>
      </c>
      <c r="AK382" t="s">
        <v>47</v>
      </c>
      <c r="AL382" s="2">
        <v>46160.581724537034</v>
      </c>
      <c r="AM382" s="2">
        <v>46160.581724537034</v>
      </c>
    </row>
    <row r="383" spans="1:39" x14ac:dyDescent="0.3">
      <c r="A383" t="s">
        <v>2564</v>
      </c>
      <c r="B383" t="s">
        <v>2565</v>
      </c>
      <c r="C383" t="s">
        <v>41</v>
      </c>
      <c r="D383" t="s">
        <v>2566</v>
      </c>
      <c r="E383" t="s">
        <v>2567</v>
      </c>
      <c r="F383" t="s">
        <v>107</v>
      </c>
      <c r="G383" t="s">
        <v>108</v>
      </c>
      <c r="H383" t="s">
        <v>109</v>
      </c>
      <c r="I383" t="s">
        <v>47</v>
      </c>
      <c r="J383" t="s">
        <v>47</v>
      </c>
      <c r="K383" t="s">
        <v>48</v>
      </c>
      <c r="L383" t="s">
        <v>47</v>
      </c>
      <c r="M383" t="s">
        <v>47</v>
      </c>
      <c r="N383" s="1">
        <v>46071</v>
      </c>
      <c r="O383" s="1">
        <v>46071</v>
      </c>
      <c r="P383" t="s">
        <v>49</v>
      </c>
      <c r="Q383" t="s">
        <v>50</v>
      </c>
      <c r="R383">
        <v>2</v>
      </c>
      <c r="S383" t="b">
        <v>0</v>
      </c>
      <c r="T383" t="s">
        <v>47</v>
      </c>
      <c r="U383" t="s">
        <v>47</v>
      </c>
      <c r="V383" t="s">
        <v>47</v>
      </c>
      <c r="W383" t="s">
        <v>47</v>
      </c>
      <c r="X383" t="s">
        <v>51</v>
      </c>
      <c r="Y383" t="b">
        <v>0</v>
      </c>
      <c r="Z383" t="s">
        <v>47</v>
      </c>
      <c r="AA383" t="s">
        <v>47</v>
      </c>
      <c r="AC383" t="b">
        <v>1</v>
      </c>
      <c r="AD383" t="s">
        <v>52</v>
      </c>
      <c r="AE383" t="s">
        <v>2568</v>
      </c>
      <c r="AF383" t="s">
        <v>2566</v>
      </c>
      <c r="AG383" t="s">
        <v>2569</v>
      </c>
      <c r="AH383" t="s">
        <v>55</v>
      </c>
      <c r="AI383" s="2">
        <v>46160.229166666664</v>
      </c>
      <c r="AJ383" t="s">
        <v>47</v>
      </c>
      <c r="AK383" t="s">
        <v>47</v>
      </c>
      <c r="AL383" s="2">
        <v>46160.458333333336</v>
      </c>
      <c r="AM383" s="2">
        <v>46160.458333333336</v>
      </c>
    </row>
    <row r="384" spans="1:39" x14ac:dyDescent="0.3">
      <c r="A384" t="s">
        <v>2570</v>
      </c>
      <c r="B384" t="s">
        <v>2571</v>
      </c>
      <c r="C384" t="s">
        <v>41</v>
      </c>
      <c r="D384" t="s">
        <v>2572</v>
      </c>
      <c r="E384" t="s">
        <v>2573</v>
      </c>
      <c r="F384" t="s">
        <v>107</v>
      </c>
      <c r="G384" t="s">
        <v>108</v>
      </c>
      <c r="H384" t="s">
        <v>109</v>
      </c>
      <c r="I384" t="s">
        <v>47</v>
      </c>
      <c r="J384" t="s">
        <v>47</v>
      </c>
      <c r="K384" t="s">
        <v>48</v>
      </c>
      <c r="L384" t="s">
        <v>47</v>
      </c>
      <c r="M384" t="s">
        <v>47</v>
      </c>
      <c r="N384" s="1">
        <v>46071</v>
      </c>
      <c r="O384" s="1">
        <v>46071</v>
      </c>
      <c r="P384" t="s">
        <v>49</v>
      </c>
      <c r="Q384" t="s">
        <v>50</v>
      </c>
      <c r="R384">
        <v>2</v>
      </c>
      <c r="S384" t="b">
        <v>0</v>
      </c>
      <c r="T384" t="s">
        <v>47</v>
      </c>
      <c r="U384" t="s">
        <v>47</v>
      </c>
      <c r="V384" t="s">
        <v>47</v>
      </c>
      <c r="W384" t="s">
        <v>47</v>
      </c>
      <c r="X384" t="s">
        <v>51</v>
      </c>
      <c r="Y384" t="b">
        <v>0</v>
      </c>
      <c r="Z384" t="s">
        <v>47</v>
      </c>
      <c r="AA384" t="s">
        <v>47</v>
      </c>
      <c r="AC384" t="b">
        <v>1</v>
      </c>
      <c r="AD384" t="s">
        <v>52</v>
      </c>
      <c r="AE384" t="s">
        <v>2574</v>
      </c>
      <c r="AF384" t="s">
        <v>2572</v>
      </c>
      <c r="AG384" t="s">
        <v>2575</v>
      </c>
      <c r="AH384" t="s">
        <v>55</v>
      </c>
      <c r="AI384" s="2">
        <v>46160.25</v>
      </c>
      <c r="AJ384" t="s">
        <v>47</v>
      </c>
      <c r="AK384" t="s">
        <v>47</v>
      </c>
      <c r="AL384" s="2">
        <v>46160.479166666664</v>
      </c>
      <c r="AM384" s="2">
        <v>46160.479166666664</v>
      </c>
    </row>
    <row r="385" spans="1:39" x14ac:dyDescent="0.3">
      <c r="A385" t="s">
        <v>2576</v>
      </c>
      <c r="B385" t="s">
        <v>2577</v>
      </c>
      <c r="C385" t="s">
        <v>41</v>
      </c>
      <c r="D385" t="s">
        <v>2578</v>
      </c>
      <c r="E385" t="s">
        <v>2579</v>
      </c>
      <c r="F385" t="s">
        <v>1902</v>
      </c>
      <c r="G385" t="s">
        <v>1903</v>
      </c>
      <c r="H385" t="s">
        <v>1904</v>
      </c>
      <c r="I385" t="s">
        <v>47</v>
      </c>
      <c r="J385" t="s">
        <v>47</v>
      </c>
      <c r="K385" t="s">
        <v>47</v>
      </c>
      <c r="L385" t="s">
        <v>47</v>
      </c>
      <c r="M385" s="1">
        <v>46071</v>
      </c>
      <c r="N385" s="1">
        <v>46071</v>
      </c>
      <c r="O385" s="1">
        <v>46071</v>
      </c>
      <c r="P385" t="s">
        <v>288</v>
      </c>
      <c r="Q385" t="s">
        <v>237</v>
      </c>
      <c r="R385">
        <v>1</v>
      </c>
      <c r="S385" t="b">
        <v>0</v>
      </c>
      <c r="T385" t="s">
        <v>47</v>
      </c>
      <c r="U385" t="s">
        <v>47</v>
      </c>
      <c r="V385" t="s">
        <v>47</v>
      </c>
      <c r="W385" t="s">
        <v>47</v>
      </c>
      <c r="X385" t="s">
        <v>51</v>
      </c>
      <c r="Y385" t="b">
        <v>0</v>
      </c>
      <c r="Z385" t="s">
        <v>47</v>
      </c>
      <c r="AA385" t="s">
        <v>47</v>
      </c>
      <c r="AB385" t="s">
        <v>47</v>
      </c>
      <c r="AC385" t="b">
        <v>1</v>
      </c>
      <c r="AD385" t="s">
        <v>52</v>
      </c>
      <c r="AE385" t="s">
        <v>2580</v>
      </c>
      <c r="AF385" t="s">
        <v>2578</v>
      </c>
      <c r="AG385" t="s">
        <v>47</v>
      </c>
      <c r="AH385" t="s">
        <v>87</v>
      </c>
      <c r="AI385" s="2">
        <v>46160.614004629628</v>
      </c>
      <c r="AJ385" t="s">
        <v>47</v>
      </c>
      <c r="AK385" t="s">
        <v>47</v>
      </c>
      <c r="AL385" s="2">
        <v>46160.614004629628</v>
      </c>
      <c r="AM385" s="2">
        <v>46160.614004629628</v>
      </c>
    </row>
    <row r="386" spans="1:39" x14ac:dyDescent="0.3">
      <c r="A386" t="s">
        <v>2581</v>
      </c>
      <c r="B386" t="s">
        <v>2582</v>
      </c>
      <c r="C386" t="s">
        <v>41</v>
      </c>
      <c r="D386" t="s">
        <v>2583</v>
      </c>
      <c r="E386" t="s">
        <v>2584</v>
      </c>
      <c r="F386" t="s">
        <v>322</v>
      </c>
      <c r="G386" t="s">
        <v>323</v>
      </c>
      <c r="H386" t="s">
        <v>379</v>
      </c>
      <c r="I386" t="s">
        <v>47</v>
      </c>
      <c r="J386" t="s">
        <v>47</v>
      </c>
      <c r="K386" t="s">
        <v>253</v>
      </c>
      <c r="L386" t="s">
        <v>47</v>
      </c>
      <c r="M386" t="s">
        <v>47</v>
      </c>
      <c r="N386" s="1">
        <v>46071</v>
      </c>
      <c r="O386" s="1">
        <v>46071</v>
      </c>
      <c r="P386" t="s">
        <v>254</v>
      </c>
      <c r="Q386" t="s">
        <v>50</v>
      </c>
      <c r="R386">
        <v>1</v>
      </c>
      <c r="S386" t="b">
        <v>0</v>
      </c>
      <c r="T386" t="s">
        <v>47</v>
      </c>
      <c r="U386" t="s">
        <v>47</v>
      </c>
      <c r="V386" t="s">
        <v>47</v>
      </c>
      <c r="W386" t="s">
        <v>47</v>
      </c>
      <c r="X386" t="s">
        <v>51</v>
      </c>
      <c r="Y386" t="b">
        <v>0</v>
      </c>
      <c r="Z386" t="s">
        <v>47</v>
      </c>
      <c r="AA386" t="s">
        <v>47</v>
      </c>
      <c r="AC386" t="b">
        <v>1</v>
      </c>
      <c r="AD386" t="s">
        <v>52</v>
      </c>
      <c r="AE386" t="s">
        <v>2585</v>
      </c>
      <c r="AF386" t="s">
        <v>2583</v>
      </c>
      <c r="AG386" t="s">
        <v>2586</v>
      </c>
      <c r="AH386" t="s">
        <v>55</v>
      </c>
      <c r="AI386" s="2">
        <v>46160.173611111109</v>
      </c>
      <c r="AJ386" t="s">
        <v>47</v>
      </c>
      <c r="AK386" t="s">
        <v>47</v>
      </c>
      <c r="AL386" s="2">
        <v>46160.402777777781</v>
      </c>
      <c r="AM386" s="2">
        <v>46160.402777777781</v>
      </c>
    </row>
    <row r="387" spans="1:39" x14ac:dyDescent="0.3">
      <c r="A387" t="s">
        <v>2587</v>
      </c>
      <c r="B387" t="s">
        <v>2588</v>
      </c>
      <c r="C387" t="s">
        <v>41</v>
      </c>
      <c r="D387" t="s">
        <v>2589</v>
      </c>
      <c r="E387" t="s">
        <v>2590</v>
      </c>
      <c r="F387" t="s">
        <v>322</v>
      </c>
      <c r="G387" t="s">
        <v>323</v>
      </c>
      <c r="H387" t="s">
        <v>379</v>
      </c>
      <c r="I387" t="s">
        <v>47</v>
      </c>
      <c r="J387" t="s">
        <v>47</v>
      </c>
      <c r="K387" t="s">
        <v>253</v>
      </c>
      <c r="L387" t="s">
        <v>47</v>
      </c>
      <c r="M387" t="s">
        <v>47</v>
      </c>
      <c r="N387" s="1">
        <v>46071</v>
      </c>
      <c r="O387" s="1">
        <v>46071</v>
      </c>
      <c r="P387" t="s">
        <v>254</v>
      </c>
      <c r="Q387" t="s">
        <v>50</v>
      </c>
      <c r="R387">
        <v>1</v>
      </c>
      <c r="S387" t="b">
        <v>0</v>
      </c>
      <c r="T387" t="s">
        <v>47</v>
      </c>
      <c r="U387" t="s">
        <v>47</v>
      </c>
      <c r="V387" t="s">
        <v>47</v>
      </c>
      <c r="W387" t="s">
        <v>47</v>
      </c>
      <c r="X387" t="s">
        <v>51</v>
      </c>
      <c r="Y387" t="b">
        <v>0</v>
      </c>
      <c r="Z387" t="s">
        <v>47</v>
      </c>
      <c r="AA387" t="s">
        <v>47</v>
      </c>
      <c r="AC387" t="b">
        <v>1</v>
      </c>
      <c r="AD387" t="s">
        <v>52</v>
      </c>
      <c r="AE387" t="s">
        <v>2591</v>
      </c>
      <c r="AF387" t="s">
        <v>2589</v>
      </c>
      <c r="AG387" t="s">
        <v>2592</v>
      </c>
      <c r="AH387" t="s">
        <v>55</v>
      </c>
      <c r="AI387" s="2">
        <v>46160.173611111109</v>
      </c>
      <c r="AJ387" t="s">
        <v>47</v>
      </c>
      <c r="AK387" t="s">
        <v>47</v>
      </c>
      <c r="AL387" s="2">
        <v>46160.402777777781</v>
      </c>
      <c r="AM387" s="2">
        <v>46160.402777777781</v>
      </c>
    </row>
    <row r="388" spans="1:39" x14ac:dyDescent="0.3">
      <c r="A388" t="s">
        <v>2593</v>
      </c>
      <c r="B388" t="s">
        <v>2594</v>
      </c>
      <c r="C388" t="s">
        <v>41</v>
      </c>
      <c r="D388" t="s">
        <v>2595</v>
      </c>
      <c r="E388" t="s">
        <v>2596</v>
      </c>
      <c r="F388" t="s">
        <v>2597</v>
      </c>
      <c r="G388" t="s">
        <v>2598</v>
      </c>
      <c r="H388" t="s">
        <v>2599</v>
      </c>
      <c r="I388" t="s">
        <v>47</v>
      </c>
      <c r="J388" t="s">
        <v>47</v>
      </c>
      <c r="K388" t="s">
        <v>314</v>
      </c>
      <c r="L388" t="s">
        <v>47</v>
      </c>
      <c r="M388" t="s">
        <v>47</v>
      </c>
      <c r="N388" s="1">
        <v>46071</v>
      </c>
      <c r="O388" s="1">
        <v>46071</v>
      </c>
      <c r="P388" t="s">
        <v>315</v>
      </c>
      <c r="Q388" t="s">
        <v>50</v>
      </c>
      <c r="R388">
        <v>1</v>
      </c>
      <c r="S388" t="b">
        <v>0</v>
      </c>
      <c r="T388" t="s">
        <v>47</v>
      </c>
      <c r="U388" t="s">
        <v>47</v>
      </c>
      <c r="V388" t="s">
        <v>47</v>
      </c>
      <c r="W388" t="s">
        <v>47</v>
      </c>
      <c r="X388" t="s">
        <v>51</v>
      </c>
      <c r="Y388" t="b">
        <v>0</v>
      </c>
      <c r="Z388" t="s">
        <v>47</v>
      </c>
      <c r="AA388" t="s">
        <v>47</v>
      </c>
      <c r="AC388" t="b">
        <v>1</v>
      </c>
      <c r="AD388" t="s">
        <v>52</v>
      </c>
      <c r="AE388" t="s">
        <v>2600</v>
      </c>
      <c r="AF388" t="s">
        <v>2595</v>
      </c>
      <c r="AG388" t="s">
        <v>2601</v>
      </c>
      <c r="AH388" t="s">
        <v>55</v>
      </c>
      <c r="AI388" s="2">
        <v>46160.149305555555</v>
      </c>
      <c r="AJ388" t="s">
        <v>47</v>
      </c>
      <c r="AK388" t="s">
        <v>47</v>
      </c>
      <c r="AL388" s="2">
        <v>46160.171903877315</v>
      </c>
      <c r="AM388" s="2">
        <v>46160.171903877315</v>
      </c>
    </row>
    <row r="389" spans="1:39" x14ac:dyDescent="0.3">
      <c r="A389" t="s">
        <v>2602</v>
      </c>
      <c r="B389" t="s">
        <v>2603</v>
      </c>
      <c r="C389" t="s">
        <v>41</v>
      </c>
      <c r="D389" t="s">
        <v>2604</v>
      </c>
      <c r="E389" t="s">
        <v>2605</v>
      </c>
      <c r="F389" t="s">
        <v>322</v>
      </c>
      <c r="G389" t="s">
        <v>323</v>
      </c>
      <c r="H389" t="s">
        <v>379</v>
      </c>
      <c r="I389" t="s">
        <v>47</v>
      </c>
      <c r="J389" t="s">
        <v>47</v>
      </c>
      <c r="K389" t="s">
        <v>253</v>
      </c>
      <c r="L389" t="s">
        <v>47</v>
      </c>
      <c r="M389" t="s">
        <v>47</v>
      </c>
      <c r="N389" s="1">
        <v>46071</v>
      </c>
      <c r="O389" s="1">
        <v>46071</v>
      </c>
      <c r="P389" t="s">
        <v>254</v>
      </c>
      <c r="Q389" t="s">
        <v>50</v>
      </c>
      <c r="R389">
        <v>1</v>
      </c>
      <c r="S389" t="b">
        <v>0</v>
      </c>
      <c r="T389" t="s">
        <v>47</v>
      </c>
      <c r="U389" t="s">
        <v>47</v>
      </c>
      <c r="V389" t="s">
        <v>47</v>
      </c>
      <c r="W389" t="s">
        <v>47</v>
      </c>
      <c r="X389" t="s">
        <v>51</v>
      </c>
      <c r="Y389" t="b">
        <v>0</v>
      </c>
      <c r="Z389" t="s">
        <v>47</v>
      </c>
      <c r="AA389" t="s">
        <v>47</v>
      </c>
      <c r="AC389" t="b">
        <v>1</v>
      </c>
      <c r="AD389" t="s">
        <v>52</v>
      </c>
      <c r="AE389" t="s">
        <v>2606</v>
      </c>
      <c r="AF389" t="s">
        <v>2604</v>
      </c>
      <c r="AG389" t="s">
        <v>2607</v>
      </c>
      <c r="AH389" t="s">
        <v>55</v>
      </c>
      <c r="AI389" s="2">
        <v>46160.173611111109</v>
      </c>
      <c r="AJ389" t="s">
        <v>47</v>
      </c>
      <c r="AK389" t="s">
        <v>47</v>
      </c>
      <c r="AL389" s="2">
        <v>46160.402777777781</v>
      </c>
      <c r="AM389" s="2">
        <v>46160.402777777781</v>
      </c>
    </row>
    <row r="390" spans="1:39" x14ac:dyDescent="0.3">
      <c r="A390" t="s">
        <v>2608</v>
      </c>
      <c r="B390" t="s">
        <v>2609</v>
      </c>
      <c r="C390" t="s">
        <v>41</v>
      </c>
      <c r="D390" t="s">
        <v>2610</v>
      </c>
      <c r="E390" t="s">
        <v>2611</v>
      </c>
      <c r="F390" t="s">
        <v>322</v>
      </c>
      <c r="G390" t="s">
        <v>323</v>
      </c>
      <c r="H390" t="s">
        <v>379</v>
      </c>
      <c r="I390" t="s">
        <v>47</v>
      </c>
      <c r="J390" t="s">
        <v>47</v>
      </c>
      <c r="K390" t="s">
        <v>253</v>
      </c>
      <c r="L390" t="s">
        <v>47</v>
      </c>
      <c r="M390" t="s">
        <v>47</v>
      </c>
      <c r="N390" s="1">
        <v>46071</v>
      </c>
      <c r="O390" s="1">
        <v>46071</v>
      </c>
      <c r="P390" t="s">
        <v>254</v>
      </c>
      <c r="Q390" t="s">
        <v>50</v>
      </c>
      <c r="R390">
        <v>1</v>
      </c>
      <c r="S390" t="b">
        <v>0</v>
      </c>
      <c r="T390" t="s">
        <v>47</v>
      </c>
      <c r="U390" t="s">
        <v>47</v>
      </c>
      <c r="V390" t="s">
        <v>47</v>
      </c>
      <c r="W390" t="s">
        <v>47</v>
      </c>
      <c r="X390" t="s">
        <v>51</v>
      </c>
      <c r="Y390" t="b">
        <v>0</v>
      </c>
      <c r="Z390" t="s">
        <v>47</v>
      </c>
      <c r="AA390" t="s">
        <v>47</v>
      </c>
      <c r="AC390" t="b">
        <v>1</v>
      </c>
      <c r="AD390" t="s">
        <v>52</v>
      </c>
      <c r="AE390" t="s">
        <v>2612</v>
      </c>
      <c r="AF390" t="s">
        <v>2610</v>
      </c>
      <c r="AG390" t="s">
        <v>2613</v>
      </c>
      <c r="AH390" t="s">
        <v>55</v>
      </c>
      <c r="AI390" s="2">
        <v>46160.173611111109</v>
      </c>
      <c r="AJ390" t="s">
        <v>47</v>
      </c>
      <c r="AK390" t="s">
        <v>47</v>
      </c>
      <c r="AL390" s="2">
        <v>46160.402777777781</v>
      </c>
      <c r="AM390" s="2">
        <v>46160.402777777781</v>
      </c>
    </row>
    <row r="391" spans="1:39" x14ac:dyDescent="0.3">
      <c r="A391" t="s">
        <v>2614</v>
      </c>
      <c r="B391" t="s">
        <v>2615</v>
      </c>
      <c r="C391" t="s">
        <v>41</v>
      </c>
      <c r="D391" t="s">
        <v>2616</v>
      </c>
      <c r="E391" t="s">
        <v>2617</v>
      </c>
      <c r="F391" t="s">
        <v>322</v>
      </c>
      <c r="G391" t="s">
        <v>323</v>
      </c>
      <c r="H391" t="s">
        <v>379</v>
      </c>
      <c r="I391" t="s">
        <v>47</v>
      </c>
      <c r="J391" t="s">
        <v>47</v>
      </c>
      <c r="K391" t="s">
        <v>253</v>
      </c>
      <c r="L391" t="s">
        <v>47</v>
      </c>
      <c r="M391" t="s">
        <v>47</v>
      </c>
      <c r="N391" s="1">
        <v>46071</v>
      </c>
      <c r="O391" s="1">
        <v>46071</v>
      </c>
      <c r="P391" t="s">
        <v>254</v>
      </c>
      <c r="Q391" t="s">
        <v>50</v>
      </c>
      <c r="R391">
        <v>1</v>
      </c>
      <c r="S391" t="b">
        <v>0</v>
      </c>
      <c r="T391" t="s">
        <v>47</v>
      </c>
      <c r="U391" t="s">
        <v>47</v>
      </c>
      <c r="V391" t="s">
        <v>47</v>
      </c>
      <c r="W391" t="s">
        <v>47</v>
      </c>
      <c r="X391" t="s">
        <v>51</v>
      </c>
      <c r="Y391" t="b">
        <v>0</v>
      </c>
      <c r="Z391" t="s">
        <v>47</v>
      </c>
      <c r="AA391" t="s">
        <v>47</v>
      </c>
      <c r="AC391" t="b">
        <v>1</v>
      </c>
      <c r="AD391" t="s">
        <v>52</v>
      </c>
      <c r="AE391" t="s">
        <v>2618</v>
      </c>
      <c r="AF391" t="s">
        <v>2616</v>
      </c>
      <c r="AG391" t="s">
        <v>2619</v>
      </c>
      <c r="AH391" t="s">
        <v>55</v>
      </c>
      <c r="AI391" s="2">
        <v>46160.173611111109</v>
      </c>
      <c r="AJ391" t="s">
        <v>47</v>
      </c>
      <c r="AK391" t="s">
        <v>47</v>
      </c>
      <c r="AL391" s="2">
        <v>46160.402777777781</v>
      </c>
      <c r="AM391" s="2">
        <v>46160.402777777781</v>
      </c>
    </row>
    <row r="392" spans="1:39" x14ac:dyDescent="0.3">
      <c r="A392" t="s">
        <v>2620</v>
      </c>
      <c r="B392" t="s">
        <v>2621</v>
      </c>
      <c r="C392" t="s">
        <v>41</v>
      </c>
      <c r="D392" t="s">
        <v>2622</v>
      </c>
      <c r="E392" t="s">
        <v>2623</v>
      </c>
      <c r="F392" t="s">
        <v>2624</v>
      </c>
      <c r="G392" t="s">
        <v>2625</v>
      </c>
      <c r="H392" t="s">
        <v>2626</v>
      </c>
      <c r="I392" t="s">
        <v>47</v>
      </c>
      <c r="J392" t="s">
        <v>47</v>
      </c>
      <c r="K392" t="s">
        <v>47</v>
      </c>
      <c r="L392" t="s">
        <v>47</v>
      </c>
      <c r="M392" t="s">
        <v>47</v>
      </c>
      <c r="N392" s="1">
        <v>46071</v>
      </c>
      <c r="O392" s="1">
        <v>46071</v>
      </c>
      <c r="P392" t="s">
        <v>621</v>
      </c>
      <c r="Q392" t="s">
        <v>50</v>
      </c>
      <c r="R392">
        <v>2</v>
      </c>
      <c r="S392" t="b">
        <v>1</v>
      </c>
      <c r="T392" t="s">
        <v>47</v>
      </c>
      <c r="U392" t="s">
        <v>47</v>
      </c>
      <c r="V392" t="s">
        <v>47</v>
      </c>
      <c r="W392" t="s">
        <v>47</v>
      </c>
      <c r="X392" t="s">
        <v>51</v>
      </c>
      <c r="Y392" t="b">
        <v>0</v>
      </c>
      <c r="Z392" t="s">
        <v>47</v>
      </c>
      <c r="AA392" t="s">
        <v>47</v>
      </c>
      <c r="AB392">
        <v>0.55000000000000004</v>
      </c>
      <c r="AC392" t="b">
        <v>1</v>
      </c>
      <c r="AD392" t="s">
        <v>52</v>
      </c>
      <c r="AE392" t="s">
        <v>2627</v>
      </c>
      <c r="AF392" t="s">
        <v>2622</v>
      </c>
      <c r="AG392" t="s">
        <v>2628</v>
      </c>
      <c r="AH392" t="s">
        <v>55</v>
      </c>
      <c r="AI392" s="2">
        <v>46160.229166666664</v>
      </c>
      <c r="AJ392" t="s">
        <v>47</v>
      </c>
      <c r="AK392" t="s">
        <v>47</v>
      </c>
      <c r="AL392" s="2">
        <v>46160.458333333336</v>
      </c>
      <c r="AM392" s="2">
        <v>46160.458333333336</v>
      </c>
    </row>
    <row r="393" spans="1:39" x14ac:dyDescent="0.3">
      <c r="A393" t="s">
        <v>2629</v>
      </c>
      <c r="B393" t="s">
        <v>2630</v>
      </c>
      <c r="C393" t="s">
        <v>41</v>
      </c>
      <c r="D393" t="s">
        <v>2631</v>
      </c>
      <c r="E393" t="s">
        <v>2632</v>
      </c>
      <c r="F393" t="s">
        <v>107</v>
      </c>
      <c r="G393" t="s">
        <v>108</v>
      </c>
      <c r="H393" t="s">
        <v>109</v>
      </c>
      <c r="I393" t="s">
        <v>47</v>
      </c>
      <c r="J393" t="s">
        <v>47</v>
      </c>
      <c r="K393" t="s">
        <v>48</v>
      </c>
      <c r="L393" t="s">
        <v>47</v>
      </c>
      <c r="M393" t="s">
        <v>47</v>
      </c>
      <c r="N393" s="1">
        <v>46072</v>
      </c>
      <c r="O393" s="1">
        <v>46072</v>
      </c>
      <c r="P393" t="s">
        <v>49</v>
      </c>
      <c r="Q393" t="s">
        <v>50</v>
      </c>
      <c r="R393">
        <v>2</v>
      </c>
      <c r="S393" t="b">
        <v>0</v>
      </c>
      <c r="T393" t="s">
        <v>47</v>
      </c>
      <c r="U393" t="s">
        <v>47</v>
      </c>
      <c r="V393" t="s">
        <v>47</v>
      </c>
      <c r="W393" t="s">
        <v>47</v>
      </c>
      <c r="X393" t="s">
        <v>51</v>
      </c>
      <c r="Y393" t="b">
        <v>0</v>
      </c>
      <c r="Z393" t="s">
        <v>47</v>
      </c>
      <c r="AA393" t="s">
        <v>47</v>
      </c>
      <c r="AC393" t="b">
        <v>1</v>
      </c>
      <c r="AD393" t="s">
        <v>52</v>
      </c>
      <c r="AE393" t="s">
        <v>2633</v>
      </c>
      <c r="AF393" t="s">
        <v>2631</v>
      </c>
      <c r="AG393" t="s">
        <v>2634</v>
      </c>
      <c r="AH393" t="s">
        <v>55</v>
      </c>
      <c r="AI393" s="2">
        <v>46160.270833333336</v>
      </c>
      <c r="AJ393" t="s">
        <v>47</v>
      </c>
      <c r="AK393" t="s">
        <v>47</v>
      </c>
      <c r="AL393" s="2">
        <v>46160.5</v>
      </c>
      <c r="AM393" s="2">
        <v>46160.5</v>
      </c>
    </row>
    <row r="394" spans="1:39" x14ac:dyDescent="0.3">
      <c r="A394" t="s">
        <v>2635</v>
      </c>
      <c r="B394" t="s">
        <v>2636</v>
      </c>
      <c r="C394" t="s">
        <v>41</v>
      </c>
      <c r="D394" t="s">
        <v>2637</v>
      </c>
      <c r="E394" t="s">
        <v>2638</v>
      </c>
      <c r="F394" t="s">
        <v>107</v>
      </c>
      <c r="G394" t="s">
        <v>108</v>
      </c>
      <c r="H394" t="s">
        <v>109</v>
      </c>
      <c r="I394" t="s">
        <v>47</v>
      </c>
      <c r="J394" t="s">
        <v>47</v>
      </c>
      <c r="K394" t="s">
        <v>48</v>
      </c>
      <c r="L394" t="s">
        <v>47</v>
      </c>
      <c r="M394" t="s">
        <v>47</v>
      </c>
      <c r="N394" s="1">
        <v>46072</v>
      </c>
      <c r="O394" s="1">
        <v>46072</v>
      </c>
      <c r="P394" t="s">
        <v>49</v>
      </c>
      <c r="Q394" t="s">
        <v>50</v>
      </c>
      <c r="R394">
        <v>2</v>
      </c>
      <c r="S394" t="b">
        <v>0</v>
      </c>
      <c r="T394" t="s">
        <v>47</v>
      </c>
      <c r="U394" t="s">
        <v>47</v>
      </c>
      <c r="V394" t="s">
        <v>47</v>
      </c>
      <c r="W394" t="s">
        <v>47</v>
      </c>
      <c r="X394" t="s">
        <v>51</v>
      </c>
      <c r="Y394" t="b">
        <v>0</v>
      </c>
      <c r="Z394" t="s">
        <v>47</v>
      </c>
      <c r="AA394" t="s">
        <v>47</v>
      </c>
      <c r="AC394" t="b">
        <v>1</v>
      </c>
      <c r="AD394" t="s">
        <v>52</v>
      </c>
      <c r="AE394" t="s">
        <v>2639</v>
      </c>
      <c r="AF394" t="s">
        <v>2637</v>
      </c>
      <c r="AG394" t="s">
        <v>2640</v>
      </c>
      <c r="AH394" t="s">
        <v>55</v>
      </c>
      <c r="AI394" s="2">
        <v>46160.25</v>
      </c>
      <c r="AJ394" t="s">
        <v>47</v>
      </c>
      <c r="AK394" t="s">
        <v>47</v>
      </c>
      <c r="AL394" s="2">
        <v>46160.479166666664</v>
      </c>
      <c r="AM394" s="2">
        <v>46160.479166666664</v>
      </c>
    </row>
    <row r="395" spans="1:39" x14ac:dyDescent="0.3">
      <c r="A395" t="s">
        <v>2641</v>
      </c>
      <c r="B395" t="s">
        <v>2642</v>
      </c>
      <c r="C395" t="s">
        <v>41</v>
      </c>
      <c r="D395" t="s">
        <v>2643</v>
      </c>
      <c r="E395" t="s">
        <v>2644</v>
      </c>
      <c r="F395" t="s">
        <v>107</v>
      </c>
      <c r="G395" t="s">
        <v>108</v>
      </c>
      <c r="H395" t="s">
        <v>2645</v>
      </c>
      <c r="I395" t="s">
        <v>47</v>
      </c>
      <c r="J395" t="s">
        <v>47</v>
      </c>
      <c r="K395" t="s">
        <v>48</v>
      </c>
      <c r="L395" t="s">
        <v>47</v>
      </c>
      <c r="M395" t="s">
        <v>47</v>
      </c>
      <c r="N395" s="1">
        <v>46072</v>
      </c>
      <c r="O395" s="1">
        <v>46072</v>
      </c>
      <c r="P395" t="s">
        <v>49</v>
      </c>
      <c r="Q395" t="s">
        <v>50</v>
      </c>
      <c r="R395">
        <v>2</v>
      </c>
      <c r="S395" t="b">
        <v>0</v>
      </c>
      <c r="T395" t="s">
        <v>47</v>
      </c>
      <c r="U395" t="s">
        <v>47</v>
      </c>
      <c r="V395" t="s">
        <v>47</v>
      </c>
      <c r="W395" t="s">
        <v>47</v>
      </c>
      <c r="X395" t="s">
        <v>51</v>
      </c>
      <c r="Y395" t="b">
        <v>0</v>
      </c>
      <c r="Z395" t="s">
        <v>47</v>
      </c>
      <c r="AA395" t="s">
        <v>47</v>
      </c>
      <c r="AC395" t="b">
        <v>1</v>
      </c>
      <c r="AD395" t="s">
        <v>52</v>
      </c>
      <c r="AE395" t="s">
        <v>2646</v>
      </c>
      <c r="AF395" t="s">
        <v>2643</v>
      </c>
      <c r="AG395" t="s">
        <v>2647</v>
      </c>
      <c r="AH395" t="s">
        <v>55</v>
      </c>
      <c r="AI395" s="2">
        <v>46160.270833333336</v>
      </c>
      <c r="AJ395" t="s">
        <v>47</v>
      </c>
      <c r="AK395" t="s">
        <v>47</v>
      </c>
      <c r="AL395" s="2">
        <v>46160.5</v>
      </c>
      <c r="AM395" s="2">
        <v>46160.5</v>
      </c>
    </row>
    <row r="396" spans="1:39" x14ac:dyDescent="0.3">
      <c r="A396" t="s">
        <v>2648</v>
      </c>
      <c r="B396" t="s">
        <v>2649</v>
      </c>
      <c r="C396" t="s">
        <v>41</v>
      </c>
      <c r="D396" t="s">
        <v>2650</v>
      </c>
      <c r="E396" t="s">
        <v>2651</v>
      </c>
      <c r="F396" t="s">
        <v>107</v>
      </c>
      <c r="G396" t="s">
        <v>108</v>
      </c>
      <c r="H396" t="s">
        <v>109</v>
      </c>
      <c r="I396" t="s">
        <v>47</v>
      </c>
      <c r="J396" t="s">
        <v>47</v>
      </c>
      <c r="K396" t="s">
        <v>48</v>
      </c>
      <c r="L396" t="s">
        <v>47</v>
      </c>
      <c r="M396" t="s">
        <v>47</v>
      </c>
      <c r="N396" s="1">
        <v>46072</v>
      </c>
      <c r="O396" s="1">
        <v>46072</v>
      </c>
      <c r="P396" t="s">
        <v>49</v>
      </c>
      <c r="Q396" t="s">
        <v>50</v>
      </c>
      <c r="R396">
        <v>2</v>
      </c>
      <c r="S396" t="b">
        <v>0</v>
      </c>
      <c r="T396" t="s">
        <v>47</v>
      </c>
      <c r="U396" t="s">
        <v>47</v>
      </c>
      <c r="V396" t="s">
        <v>47</v>
      </c>
      <c r="W396" t="s">
        <v>47</v>
      </c>
      <c r="X396" t="s">
        <v>51</v>
      </c>
      <c r="Y396" t="b">
        <v>0</v>
      </c>
      <c r="Z396" t="s">
        <v>47</v>
      </c>
      <c r="AA396" t="s">
        <v>47</v>
      </c>
      <c r="AC396" t="b">
        <v>1</v>
      </c>
      <c r="AD396" t="s">
        <v>52</v>
      </c>
      <c r="AE396" t="s">
        <v>2652</v>
      </c>
      <c r="AF396" t="s">
        <v>2650</v>
      </c>
      <c r="AG396" t="s">
        <v>2653</v>
      </c>
      <c r="AH396" t="s">
        <v>55</v>
      </c>
      <c r="AI396" s="2">
        <v>46160.25</v>
      </c>
      <c r="AJ396" t="s">
        <v>47</v>
      </c>
      <c r="AK396" t="s">
        <v>47</v>
      </c>
      <c r="AL396" s="2">
        <v>46160.479166666664</v>
      </c>
      <c r="AM396" s="2">
        <v>46160.479166666664</v>
      </c>
    </row>
    <row r="397" spans="1:39" x14ac:dyDescent="0.3">
      <c r="A397" t="s">
        <v>2654</v>
      </c>
      <c r="B397" t="s">
        <v>2655</v>
      </c>
      <c r="C397" t="s">
        <v>41</v>
      </c>
      <c r="D397" t="s">
        <v>2656</v>
      </c>
      <c r="E397" t="s">
        <v>2657</v>
      </c>
      <c r="F397" t="s">
        <v>83</v>
      </c>
      <c r="G397" t="s">
        <v>84</v>
      </c>
      <c r="H397" t="s">
        <v>85</v>
      </c>
      <c r="I397" t="s">
        <v>47</v>
      </c>
      <c r="J397" t="s">
        <v>47</v>
      </c>
      <c r="K397" t="s">
        <v>48</v>
      </c>
      <c r="L397" t="s">
        <v>47</v>
      </c>
      <c r="M397" s="1">
        <v>46072</v>
      </c>
      <c r="N397" s="1">
        <v>46072</v>
      </c>
      <c r="O397" s="1">
        <v>46072</v>
      </c>
      <c r="P397" t="s">
        <v>49</v>
      </c>
      <c r="Q397" t="s">
        <v>50</v>
      </c>
      <c r="R397">
        <v>2</v>
      </c>
      <c r="S397" t="b">
        <v>0</v>
      </c>
      <c r="T397" t="s">
        <v>47</v>
      </c>
      <c r="U397" t="s">
        <v>47</v>
      </c>
      <c r="V397" t="s">
        <v>47</v>
      </c>
      <c r="W397" t="s">
        <v>47</v>
      </c>
      <c r="X397" t="s">
        <v>51</v>
      </c>
      <c r="Y397" t="b">
        <v>0</v>
      </c>
      <c r="Z397" t="s">
        <v>47</v>
      </c>
      <c r="AA397" t="s">
        <v>47</v>
      </c>
      <c r="AB397" t="s">
        <v>47</v>
      </c>
      <c r="AC397" t="b">
        <v>1</v>
      </c>
      <c r="AD397" t="s">
        <v>52</v>
      </c>
      <c r="AE397" t="s">
        <v>2658</v>
      </c>
      <c r="AF397" t="s">
        <v>2656</v>
      </c>
      <c r="AG397" t="s">
        <v>47</v>
      </c>
      <c r="AH397" t="s">
        <v>87</v>
      </c>
      <c r="AI397" s="2">
        <v>46160.598310185182</v>
      </c>
      <c r="AJ397" t="s">
        <v>47</v>
      </c>
      <c r="AK397" t="s">
        <v>47</v>
      </c>
      <c r="AL397" s="2">
        <v>46160.598310185182</v>
      </c>
      <c r="AM397" s="2">
        <v>46160.598310185182</v>
      </c>
    </row>
    <row r="398" spans="1:39" x14ac:dyDescent="0.3">
      <c r="A398" t="s">
        <v>2659</v>
      </c>
      <c r="B398" t="s">
        <v>2660</v>
      </c>
      <c r="C398" t="s">
        <v>41</v>
      </c>
      <c r="D398" t="s">
        <v>2661</v>
      </c>
      <c r="E398" t="s">
        <v>2662</v>
      </c>
      <c r="F398" t="s">
        <v>83</v>
      </c>
      <c r="G398" t="s">
        <v>84</v>
      </c>
      <c r="H398" t="s">
        <v>85</v>
      </c>
      <c r="I398" t="s">
        <v>47</v>
      </c>
      <c r="J398" t="s">
        <v>47</v>
      </c>
      <c r="K398" t="s">
        <v>48</v>
      </c>
      <c r="L398" t="s">
        <v>47</v>
      </c>
      <c r="M398" s="1">
        <v>46072</v>
      </c>
      <c r="N398" s="1">
        <v>46072</v>
      </c>
      <c r="O398" s="1">
        <v>46072</v>
      </c>
      <c r="P398" t="s">
        <v>49</v>
      </c>
      <c r="Q398" t="s">
        <v>50</v>
      </c>
      <c r="R398">
        <v>2</v>
      </c>
      <c r="S398" t="b">
        <v>0</v>
      </c>
      <c r="T398" t="s">
        <v>47</v>
      </c>
      <c r="U398" t="s">
        <v>47</v>
      </c>
      <c r="V398" t="s">
        <v>47</v>
      </c>
      <c r="W398" t="s">
        <v>47</v>
      </c>
      <c r="X398" t="s">
        <v>51</v>
      </c>
      <c r="Y398" t="b">
        <v>0</v>
      </c>
      <c r="Z398" t="s">
        <v>47</v>
      </c>
      <c r="AA398" t="s">
        <v>47</v>
      </c>
      <c r="AB398" t="s">
        <v>47</v>
      </c>
      <c r="AC398" t="b">
        <v>1</v>
      </c>
      <c r="AD398" t="s">
        <v>52</v>
      </c>
      <c r="AE398" t="s">
        <v>2663</v>
      </c>
      <c r="AF398" t="s">
        <v>2661</v>
      </c>
      <c r="AG398" t="s">
        <v>47</v>
      </c>
      <c r="AH398" t="s">
        <v>87</v>
      </c>
      <c r="AI398" s="2">
        <v>46160.614004629628</v>
      </c>
      <c r="AJ398" t="s">
        <v>47</v>
      </c>
      <c r="AK398" t="s">
        <v>47</v>
      </c>
      <c r="AL398" s="2">
        <v>46160.614004629628</v>
      </c>
      <c r="AM398" s="2">
        <v>46160.614004629628</v>
      </c>
    </row>
    <row r="399" spans="1:39" x14ac:dyDescent="0.3">
      <c r="A399" t="s">
        <v>2664</v>
      </c>
      <c r="B399" t="s">
        <v>2665</v>
      </c>
      <c r="C399" t="s">
        <v>41</v>
      </c>
      <c r="D399" t="s">
        <v>2666</v>
      </c>
      <c r="E399" t="s">
        <v>2667</v>
      </c>
      <c r="F399" t="s">
        <v>83</v>
      </c>
      <c r="G399" t="s">
        <v>84</v>
      </c>
      <c r="H399" t="s">
        <v>85</v>
      </c>
      <c r="I399" t="s">
        <v>47</v>
      </c>
      <c r="J399" t="s">
        <v>47</v>
      </c>
      <c r="K399" t="s">
        <v>48</v>
      </c>
      <c r="L399" t="s">
        <v>47</v>
      </c>
      <c r="M399" s="1">
        <v>46072</v>
      </c>
      <c r="N399" s="1">
        <v>46072</v>
      </c>
      <c r="O399" s="1">
        <v>46072</v>
      </c>
      <c r="P399" t="s">
        <v>49</v>
      </c>
      <c r="Q399" t="s">
        <v>50</v>
      </c>
      <c r="R399">
        <v>2</v>
      </c>
      <c r="S399" t="b">
        <v>0</v>
      </c>
      <c r="T399" t="s">
        <v>47</v>
      </c>
      <c r="U399" t="s">
        <v>47</v>
      </c>
      <c r="V399" t="s">
        <v>47</v>
      </c>
      <c r="W399" t="s">
        <v>47</v>
      </c>
      <c r="X399" t="s">
        <v>51</v>
      </c>
      <c r="Y399" t="b">
        <v>0</v>
      </c>
      <c r="Z399" t="s">
        <v>47</v>
      </c>
      <c r="AA399" t="s">
        <v>47</v>
      </c>
      <c r="AB399" t="s">
        <v>47</v>
      </c>
      <c r="AC399" t="b">
        <v>1</v>
      </c>
      <c r="AD399" t="s">
        <v>52</v>
      </c>
      <c r="AE399" t="s">
        <v>2668</v>
      </c>
      <c r="AF399" t="s">
        <v>2666</v>
      </c>
      <c r="AG399" t="s">
        <v>47</v>
      </c>
      <c r="AH399" t="s">
        <v>87</v>
      </c>
      <c r="AI399" s="2">
        <v>46160.581724537034</v>
      </c>
      <c r="AJ399" t="s">
        <v>47</v>
      </c>
      <c r="AK399" t="s">
        <v>47</v>
      </c>
      <c r="AL399" s="2">
        <v>46160.581724537034</v>
      </c>
      <c r="AM399" s="2">
        <v>46160.581724537034</v>
      </c>
    </row>
    <row r="400" spans="1:39" x14ac:dyDescent="0.3">
      <c r="A400" t="s">
        <v>2669</v>
      </c>
      <c r="B400" t="s">
        <v>2670</v>
      </c>
      <c r="C400" t="s">
        <v>41</v>
      </c>
      <c r="D400" t="s">
        <v>2671</v>
      </c>
      <c r="E400" t="s">
        <v>2672</v>
      </c>
      <c r="F400" t="s">
        <v>2673</v>
      </c>
      <c r="G400" t="s">
        <v>2674</v>
      </c>
      <c r="H400" t="s">
        <v>2675</v>
      </c>
      <c r="I400" t="s">
        <v>47</v>
      </c>
      <c r="J400" t="s">
        <v>47</v>
      </c>
      <c r="K400" t="s">
        <v>1332</v>
      </c>
      <c r="L400" t="s">
        <v>47</v>
      </c>
      <c r="M400" t="s">
        <v>47</v>
      </c>
      <c r="N400" s="1">
        <v>46072</v>
      </c>
      <c r="O400" s="1">
        <v>46072</v>
      </c>
      <c r="P400" t="s">
        <v>315</v>
      </c>
      <c r="Q400" t="s">
        <v>50</v>
      </c>
      <c r="R400">
        <v>1</v>
      </c>
      <c r="S400" t="b">
        <v>0</v>
      </c>
      <c r="T400" t="s">
        <v>47</v>
      </c>
      <c r="U400" t="s">
        <v>47</v>
      </c>
      <c r="V400" t="s">
        <v>47</v>
      </c>
      <c r="W400" t="s">
        <v>47</v>
      </c>
      <c r="X400" t="s">
        <v>51</v>
      </c>
      <c r="Y400" t="b">
        <v>0</v>
      </c>
      <c r="Z400" t="s">
        <v>47</v>
      </c>
      <c r="AA400" t="s">
        <v>47</v>
      </c>
      <c r="AC400" t="b">
        <v>1</v>
      </c>
      <c r="AD400" t="s">
        <v>52</v>
      </c>
      <c r="AE400" t="s">
        <v>2676</v>
      </c>
      <c r="AF400" t="s">
        <v>2671</v>
      </c>
      <c r="AG400" t="s">
        <v>2677</v>
      </c>
      <c r="AH400" t="s">
        <v>55</v>
      </c>
      <c r="AI400" s="2">
        <v>46160.229166666664</v>
      </c>
      <c r="AJ400" t="s">
        <v>47</v>
      </c>
      <c r="AK400" t="s">
        <v>47</v>
      </c>
      <c r="AL400" s="2">
        <v>46160.458333333336</v>
      </c>
      <c r="AM400" s="2">
        <v>46160.458333333336</v>
      </c>
    </row>
    <row r="401" spans="1:39" x14ac:dyDescent="0.3">
      <c r="A401" t="s">
        <v>2678</v>
      </c>
      <c r="B401" t="s">
        <v>2679</v>
      </c>
      <c r="C401" t="s">
        <v>41</v>
      </c>
      <c r="D401" t="s">
        <v>2680</v>
      </c>
      <c r="E401" t="s">
        <v>2681</v>
      </c>
      <c r="F401" t="s">
        <v>83</v>
      </c>
      <c r="G401" t="s">
        <v>84</v>
      </c>
      <c r="H401" t="s">
        <v>85</v>
      </c>
      <c r="I401" t="s">
        <v>47</v>
      </c>
      <c r="J401" t="s">
        <v>47</v>
      </c>
      <c r="K401" t="s">
        <v>48</v>
      </c>
      <c r="L401" t="s">
        <v>47</v>
      </c>
      <c r="M401" s="1">
        <v>46072</v>
      </c>
      <c r="N401" s="1">
        <v>46072</v>
      </c>
      <c r="O401" s="1">
        <v>46072</v>
      </c>
      <c r="P401" t="s">
        <v>49</v>
      </c>
      <c r="Q401" t="s">
        <v>50</v>
      </c>
      <c r="R401">
        <v>2</v>
      </c>
      <c r="S401" t="b">
        <v>0</v>
      </c>
      <c r="T401" t="s">
        <v>47</v>
      </c>
      <c r="U401" t="s">
        <v>47</v>
      </c>
      <c r="V401" t="s">
        <v>47</v>
      </c>
      <c r="W401" t="s">
        <v>47</v>
      </c>
      <c r="X401" t="s">
        <v>51</v>
      </c>
      <c r="Y401" t="b">
        <v>0</v>
      </c>
      <c r="Z401" t="s">
        <v>47</v>
      </c>
      <c r="AA401" t="s">
        <v>47</v>
      </c>
      <c r="AB401" t="s">
        <v>47</v>
      </c>
      <c r="AC401" t="b">
        <v>1</v>
      </c>
      <c r="AD401" t="s">
        <v>52</v>
      </c>
      <c r="AE401" t="s">
        <v>2682</v>
      </c>
      <c r="AF401" t="s">
        <v>2680</v>
      </c>
      <c r="AG401" t="s">
        <v>47</v>
      </c>
      <c r="AH401" t="s">
        <v>87</v>
      </c>
      <c r="AI401" s="2">
        <v>46160.581724537034</v>
      </c>
      <c r="AJ401" t="s">
        <v>47</v>
      </c>
      <c r="AK401" t="s">
        <v>47</v>
      </c>
      <c r="AL401" s="2">
        <v>46160.581724537034</v>
      </c>
      <c r="AM401" s="2">
        <v>46160.581724537034</v>
      </c>
    </row>
    <row r="402" spans="1:39" x14ac:dyDescent="0.3">
      <c r="A402" t="s">
        <v>2683</v>
      </c>
      <c r="B402" t="s">
        <v>2684</v>
      </c>
      <c r="C402" t="s">
        <v>41</v>
      </c>
      <c r="D402" t="s">
        <v>2685</v>
      </c>
      <c r="E402" t="s">
        <v>2686</v>
      </c>
      <c r="F402" t="s">
        <v>83</v>
      </c>
      <c r="G402" t="s">
        <v>84</v>
      </c>
      <c r="H402" t="s">
        <v>85</v>
      </c>
      <c r="I402" t="s">
        <v>47</v>
      </c>
      <c r="J402" t="s">
        <v>47</v>
      </c>
      <c r="K402" t="s">
        <v>48</v>
      </c>
      <c r="L402" t="s">
        <v>47</v>
      </c>
      <c r="M402" s="1">
        <v>46072</v>
      </c>
      <c r="N402" s="1">
        <v>46072</v>
      </c>
      <c r="O402" s="1">
        <v>46072</v>
      </c>
      <c r="P402" t="s">
        <v>49</v>
      </c>
      <c r="Q402" t="s">
        <v>50</v>
      </c>
      <c r="R402">
        <v>2</v>
      </c>
      <c r="S402" t="b">
        <v>0</v>
      </c>
      <c r="T402" t="s">
        <v>47</v>
      </c>
      <c r="U402" t="s">
        <v>47</v>
      </c>
      <c r="V402" t="s">
        <v>47</v>
      </c>
      <c r="W402" t="s">
        <v>47</v>
      </c>
      <c r="X402" t="s">
        <v>51</v>
      </c>
      <c r="Y402" t="b">
        <v>0</v>
      </c>
      <c r="Z402" t="s">
        <v>47</v>
      </c>
      <c r="AA402" t="s">
        <v>47</v>
      </c>
      <c r="AB402" t="s">
        <v>47</v>
      </c>
      <c r="AC402" t="b">
        <v>1</v>
      </c>
      <c r="AD402" t="s">
        <v>52</v>
      </c>
      <c r="AE402" t="s">
        <v>2687</v>
      </c>
      <c r="AF402" t="s">
        <v>2685</v>
      </c>
      <c r="AG402" t="s">
        <v>47</v>
      </c>
      <c r="AH402" t="s">
        <v>87</v>
      </c>
      <c r="AI402" s="2">
        <v>46160.598310185182</v>
      </c>
      <c r="AJ402" t="s">
        <v>47</v>
      </c>
      <c r="AK402" t="s">
        <v>47</v>
      </c>
      <c r="AL402" s="2">
        <v>46160.598310185182</v>
      </c>
      <c r="AM402" s="2">
        <v>46160.598310185182</v>
      </c>
    </row>
    <row r="403" spans="1:39" x14ac:dyDescent="0.3">
      <c r="A403" t="s">
        <v>2688</v>
      </c>
      <c r="B403" t="s">
        <v>2689</v>
      </c>
      <c r="C403" t="s">
        <v>41</v>
      </c>
      <c r="D403" t="s">
        <v>2690</v>
      </c>
      <c r="E403" t="s">
        <v>2691</v>
      </c>
      <c r="F403" t="s">
        <v>83</v>
      </c>
      <c r="G403" t="s">
        <v>84</v>
      </c>
      <c r="H403" t="s">
        <v>85</v>
      </c>
      <c r="I403" t="s">
        <v>47</v>
      </c>
      <c r="J403" t="s">
        <v>47</v>
      </c>
      <c r="K403" t="s">
        <v>48</v>
      </c>
      <c r="L403" t="s">
        <v>47</v>
      </c>
      <c r="M403" s="1">
        <v>46072</v>
      </c>
      <c r="N403" s="1">
        <v>46072</v>
      </c>
      <c r="O403" s="1">
        <v>46072</v>
      </c>
      <c r="P403" t="s">
        <v>49</v>
      </c>
      <c r="Q403" t="s">
        <v>50</v>
      </c>
      <c r="R403">
        <v>2</v>
      </c>
      <c r="S403" t="b">
        <v>0</v>
      </c>
      <c r="T403" t="s">
        <v>47</v>
      </c>
      <c r="U403" t="s">
        <v>47</v>
      </c>
      <c r="V403" t="s">
        <v>47</v>
      </c>
      <c r="W403" t="s">
        <v>47</v>
      </c>
      <c r="X403" t="s">
        <v>51</v>
      </c>
      <c r="Y403" t="b">
        <v>0</v>
      </c>
      <c r="Z403" t="s">
        <v>47</v>
      </c>
      <c r="AA403" t="s">
        <v>47</v>
      </c>
      <c r="AB403" t="s">
        <v>47</v>
      </c>
      <c r="AC403" t="b">
        <v>1</v>
      </c>
      <c r="AD403" t="s">
        <v>52</v>
      </c>
      <c r="AE403" t="s">
        <v>2692</v>
      </c>
      <c r="AF403" t="s">
        <v>2690</v>
      </c>
      <c r="AG403" t="s">
        <v>47</v>
      </c>
      <c r="AH403" t="s">
        <v>87</v>
      </c>
      <c r="AI403" s="2">
        <v>46160.581724537034</v>
      </c>
      <c r="AJ403" t="s">
        <v>47</v>
      </c>
      <c r="AK403" t="s">
        <v>47</v>
      </c>
      <c r="AL403" s="2">
        <v>46160.581724537034</v>
      </c>
      <c r="AM403" s="2">
        <v>46160.581724537034</v>
      </c>
    </row>
    <row r="404" spans="1:39" x14ac:dyDescent="0.3">
      <c r="A404" t="s">
        <v>2693</v>
      </c>
      <c r="B404" t="s">
        <v>2694</v>
      </c>
      <c r="C404" t="s">
        <v>41</v>
      </c>
      <c r="D404" t="s">
        <v>2695</v>
      </c>
      <c r="E404" t="s">
        <v>2696</v>
      </c>
      <c r="F404" t="s">
        <v>83</v>
      </c>
      <c r="G404" t="s">
        <v>84</v>
      </c>
      <c r="H404" t="s">
        <v>85</v>
      </c>
      <c r="I404" t="s">
        <v>47</v>
      </c>
      <c r="J404" t="s">
        <v>47</v>
      </c>
      <c r="K404" t="s">
        <v>48</v>
      </c>
      <c r="L404" t="s">
        <v>47</v>
      </c>
      <c r="M404" s="1">
        <v>46072</v>
      </c>
      <c r="N404" s="1">
        <v>46072</v>
      </c>
      <c r="O404" s="1">
        <v>46072</v>
      </c>
      <c r="P404" t="s">
        <v>49</v>
      </c>
      <c r="Q404" t="s">
        <v>50</v>
      </c>
      <c r="R404">
        <v>2</v>
      </c>
      <c r="S404" t="b">
        <v>0</v>
      </c>
      <c r="T404" t="s">
        <v>47</v>
      </c>
      <c r="U404" t="s">
        <v>47</v>
      </c>
      <c r="V404" t="s">
        <v>47</v>
      </c>
      <c r="W404" t="s">
        <v>47</v>
      </c>
      <c r="X404" t="s">
        <v>51</v>
      </c>
      <c r="Y404" t="b">
        <v>0</v>
      </c>
      <c r="Z404" t="s">
        <v>47</v>
      </c>
      <c r="AA404" t="s">
        <v>47</v>
      </c>
      <c r="AB404" t="s">
        <v>47</v>
      </c>
      <c r="AC404" t="b">
        <v>1</v>
      </c>
      <c r="AD404" t="s">
        <v>52</v>
      </c>
      <c r="AE404" t="s">
        <v>2697</v>
      </c>
      <c r="AF404" t="s">
        <v>2695</v>
      </c>
      <c r="AG404" t="s">
        <v>47</v>
      </c>
      <c r="AH404" t="s">
        <v>87</v>
      </c>
      <c r="AI404" s="2">
        <v>46160.581724537034</v>
      </c>
      <c r="AJ404" t="s">
        <v>47</v>
      </c>
      <c r="AK404" t="s">
        <v>47</v>
      </c>
      <c r="AL404" s="2">
        <v>46160.581724537034</v>
      </c>
      <c r="AM404" s="2">
        <v>46160.581724537034</v>
      </c>
    </row>
    <row r="405" spans="1:39" x14ac:dyDescent="0.3">
      <c r="A405" t="s">
        <v>2698</v>
      </c>
      <c r="B405" t="s">
        <v>2699</v>
      </c>
      <c r="C405" t="s">
        <v>41</v>
      </c>
      <c r="D405" t="s">
        <v>2700</v>
      </c>
      <c r="E405" t="s">
        <v>2701</v>
      </c>
      <c r="F405" t="s">
        <v>107</v>
      </c>
      <c r="G405" t="s">
        <v>108</v>
      </c>
      <c r="H405" t="s">
        <v>2702</v>
      </c>
      <c r="I405" t="s">
        <v>47</v>
      </c>
      <c r="J405" t="s">
        <v>47</v>
      </c>
      <c r="K405" t="s">
        <v>48</v>
      </c>
      <c r="L405" t="s">
        <v>47</v>
      </c>
      <c r="M405" t="s">
        <v>47</v>
      </c>
      <c r="N405" s="1">
        <v>46072</v>
      </c>
      <c r="O405" s="1">
        <v>46072</v>
      </c>
      <c r="P405" t="s">
        <v>49</v>
      </c>
      <c r="Q405" t="s">
        <v>50</v>
      </c>
      <c r="R405">
        <v>2</v>
      </c>
      <c r="S405" t="b">
        <v>0</v>
      </c>
      <c r="T405" t="s">
        <v>47</v>
      </c>
      <c r="U405" t="s">
        <v>47</v>
      </c>
      <c r="V405" t="s">
        <v>47</v>
      </c>
      <c r="W405" t="s">
        <v>47</v>
      </c>
      <c r="X405" t="s">
        <v>51</v>
      </c>
      <c r="Y405" t="b">
        <v>0</v>
      </c>
      <c r="Z405" t="s">
        <v>47</v>
      </c>
      <c r="AA405" t="s">
        <v>47</v>
      </c>
      <c r="AC405" t="b">
        <v>1</v>
      </c>
      <c r="AD405" t="s">
        <v>52</v>
      </c>
      <c r="AE405" t="s">
        <v>2703</v>
      </c>
      <c r="AF405" t="s">
        <v>2700</v>
      </c>
      <c r="AG405" t="s">
        <v>2704</v>
      </c>
      <c r="AH405" t="s">
        <v>55</v>
      </c>
      <c r="AI405" s="2">
        <v>46160.270833333336</v>
      </c>
      <c r="AJ405" t="s">
        <v>47</v>
      </c>
      <c r="AK405" t="s">
        <v>47</v>
      </c>
      <c r="AL405" s="2">
        <v>46160.5</v>
      </c>
      <c r="AM405" s="2">
        <v>46160.5</v>
      </c>
    </row>
    <row r="406" spans="1:39" x14ac:dyDescent="0.3">
      <c r="A406" t="s">
        <v>2705</v>
      </c>
      <c r="B406" t="s">
        <v>2706</v>
      </c>
      <c r="C406" t="s">
        <v>41</v>
      </c>
      <c r="D406" t="s">
        <v>2707</v>
      </c>
      <c r="E406" t="s">
        <v>2708</v>
      </c>
      <c r="F406" t="s">
        <v>107</v>
      </c>
      <c r="G406" t="s">
        <v>108</v>
      </c>
      <c r="H406" t="s">
        <v>2709</v>
      </c>
      <c r="I406" t="s">
        <v>47</v>
      </c>
      <c r="J406" t="s">
        <v>47</v>
      </c>
      <c r="K406" t="s">
        <v>48</v>
      </c>
      <c r="L406" t="s">
        <v>47</v>
      </c>
      <c r="M406" t="s">
        <v>47</v>
      </c>
      <c r="N406" s="1">
        <v>46072</v>
      </c>
      <c r="O406" s="1">
        <v>46072</v>
      </c>
      <c r="P406" t="s">
        <v>49</v>
      </c>
      <c r="Q406" t="s">
        <v>50</v>
      </c>
      <c r="R406">
        <v>2</v>
      </c>
      <c r="S406" t="b">
        <v>0</v>
      </c>
      <c r="T406" t="s">
        <v>47</v>
      </c>
      <c r="U406" t="s">
        <v>47</v>
      </c>
      <c r="V406" t="s">
        <v>47</v>
      </c>
      <c r="W406" t="s">
        <v>47</v>
      </c>
      <c r="X406" t="s">
        <v>51</v>
      </c>
      <c r="Y406" t="b">
        <v>0</v>
      </c>
      <c r="Z406" t="s">
        <v>47</v>
      </c>
      <c r="AA406" t="s">
        <v>47</v>
      </c>
      <c r="AC406" t="b">
        <v>1</v>
      </c>
      <c r="AD406" t="s">
        <v>52</v>
      </c>
      <c r="AE406" t="s">
        <v>2710</v>
      </c>
      <c r="AF406" t="s">
        <v>2707</v>
      </c>
      <c r="AG406" t="s">
        <v>2711</v>
      </c>
      <c r="AH406" t="s">
        <v>55</v>
      </c>
      <c r="AI406" s="2">
        <v>46160.270833333336</v>
      </c>
      <c r="AJ406" t="s">
        <v>47</v>
      </c>
      <c r="AK406" t="s">
        <v>47</v>
      </c>
      <c r="AL406" s="2">
        <v>46160.5</v>
      </c>
      <c r="AM406" s="2">
        <v>46160.5</v>
      </c>
    </row>
    <row r="407" spans="1:39" x14ac:dyDescent="0.3">
      <c r="A407" t="s">
        <v>2712</v>
      </c>
      <c r="B407" t="s">
        <v>2713</v>
      </c>
      <c r="C407" t="s">
        <v>41</v>
      </c>
      <c r="D407" t="s">
        <v>2714</v>
      </c>
      <c r="E407" t="s">
        <v>2715</v>
      </c>
      <c r="F407" t="s">
        <v>322</v>
      </c>
      <c r="G407" t="s">
        <v>323</v>
      </c>
      <c r="H407" t="s">
        <v>379</v>
      </c>
      <c r="I407" t="s">
        <v>47</v>
      </c>
      <c r="J407" t="s">
        <v>47</v>
      </c>
      <c r="K407" t="s">
        <v>253</v>
      </c>
      <c r="L407" t="s">
        <v>47</v>
      </c>
      <c r="M407" t="s">
        <v>47</v>
      </c>
      <c r="N407" s="1">
        <v>46073</v>
      </c>
      <c r="O407" s="1">
        <v>46073</v>
      </c>
      <c r="P407" t="s">
        <v>254</v>
      </c>
      <c r="Q407" t="s">
        <v>50</v>
      </c>
      <c r="R407">
        <v>1</v>
      </c>
      <c r="S407" t="b">
        <v>0</v>
      </c>
      <c r="T407" t="s">
        <v>47</v>
      </c>
      <c r="U407" t="s">
        <v>47</v>
      </c>
      <c r="V407" t="s">
        <v>47</v>
      </c>
      <c r="W407" t="s">
        <v>47</v>
      </c>
      <c r="X407" t="s">
        <v>51</v>
      </c>
      <c r="Y407" t="b">
        <v>0</v>
      </c>
      <c r="Z407" t="s">
        <v>47</v>
      </c>
      <c r="AA407" t="s">
        <v>47</v>
      </c>
      <c r="AC407" t="b">
        <v>1</v>
      </c>
      <c r="AD407" t="s">
        <v>52</v>
      </c>
      <c r="AE407" t="s">
        <v>2716</v>
      </c>
      <c r="AF407" t="s">
        <v>2714</v>
      </c>
      <c r="AG407" t="s">
        <v>2717</v>
      </c>
      <c r="AH407" t="s">
        <v>55</v>
      </c>
      <c r="AI407" s="2">
        <v>46160.173611111109</v>
      </c>
      <c r="AJ407" t="s">
        <v>47</v>
      </c>
      <c r="AK407" t="s">
        <v>47</v>
      </c>
      <c r="AL407" s="2">
        <v>46160.402777777781</v>
      </c>
      <c r="AM407" s="2">
        <v>46160.402777777781</v>
      </c>
    </row>
    <row r="408" spans="1:39" x14ac:dyDescent="0.3">
      <c r="A408" t="s">
        <v>2718</v>
      </c>
      <c r="B408" t="s">
        <v>2719</v>
      </c>
      <c r="C408" t="s">
        <v>41</v>
      </c>
      <c r="D408" t="s">
        <v>2720</v>
      </c>
      <c r="E408" t="s">
        <v>2721</v>
      </c>
      <c r="F408" t="s">
        <v>2722</v>
      </c>
      <c r="G408" t="s">
        <v>2723</v>
      </c>
      <c r="H408" t="s">
        <v>2724</v>
      </c>
      <c r="I408" t="s">
        <v>47</v>
      </c>
      <c r="J408" t="s">
        <v>47</v>
      </c>
      <c r="K408" t="s">
        <v>47</v>
      </c>
      <c r="L408" t="s">
        <v>47</v>
      </c>
      <c r="M408" t="s">
        <v>47</v>
      </c>
      <c r="N408" s="1">
        <v>46073</v>
      </c>
      <c r="O408" s="1">
        <v>46073</v>
      </c>
      <c r="P408" t="s">
        <v>254</v>
      </c>
      <c r="Q408" t="s">
        <v>50</v>
      </c>
      <c r="R408">
        <v>2</v>
      </c>
      <c r="S408" t="b">
        <v>0</v>
      </c>
      <c r="T408" t="s">
        <v>47</v>
      </c>
      <c r="U408" t="s">
        <v>47</v>
      </c>
      <c r="V408" t="s">
        <v>47</v>
      </c>
      <c r="W408" t="s">
        <v>47</v>
      </c>
      <c r="X408" t="s">
        <v>51</v>
      </c>
      <c r="Y408" t="b">
        <v>0</v>
      </c>
      <c r="Z408" t="s">
        <v>47</v>
      </c>
      <c r="AA408" t="s">
        <v>47</v>
      </c>
      <c r="AC408" t="b">
        <v>1</v>
      </c>
      <c r="AD408" t="s">
        <v>52</v>
      </c>
      <c r="AE408" t="s">
        <v>2725</v>
      </c>
      <c r="AF408" t="s">
        <v>2720</v>
      </c>
      <c r="AG408" t="s">
        <v>2726</v>
      </c>
      <c r="AH408" t="s">
        <v>55</v>
      </c>
      <c r="AI408" s="2">
        <v>46160.229166666664</v>
      </c>
      <c r="AJ408" t="s">
        <v>47</v>
      </c>
      <c r="AK408" t="s">
        <v>47</v>
      </c>
      <c r="AL408" s="2">
        <v>46160.458333333336</v>
      </c>
      <c r="AM408" s="2">
        <v>46160.458333333336</v>
      </c>
    </row>
    <row r="409" spans="1:39" x14ac:dyDescent="0.3">
      <c r="A409" t="s">
        <v>2727</v>
      </c>
      <c r="B409" t="s">
        <v>2728</v>
      </c>
      <c r="C409" t="s">
        <v>41</v>
      </c>
      <c r="D409" t="s">
        <v>2729</v>
      </c>
      <c r="E409" t="s">
        <v>2730</v>
      </c>
      <c r="F409" t="s">
        <v>2731</v>
      </c>
      <c r="G409" t="s">
        <v>2732</v>
      </c>
      <c r="H409" t="s">
        <v>2733</v>
      </c>
      <c r="I409" t="s">
        <v>47</v>
      </c>
      <c r="J409" t="s">
        <v>47</v>
      </c>
      <c r="K409" t="s">
        <v>1660</v>
      </c>
      <c r="L409" t="s">
        <v>47</v>
      </c>
      <c r="M409" s="1">
        <v>46073</v>
      </c>
      <c r="N409" s="1">
        <v>46073</v>
      </c>
      <c r="O409" s="1">
        <v>46073</v>
      </c>
      <c r="P409" t="s">
        <v>1661</v>
      </c>
      <c r="Q409" t="s">
        <v>76</v>
      </c>
      <c r="R409">
        <v>3</v>
      </c>
      <c r="S409" t="b">
        <v>0</v>
      </c>
      <c r="T409" t="s">
        <v>47</v>
      </c>
      <c r="U409" t="s">
        <v>47</v>
      </c>
      <c r="V409" t="s">
        <v>47</v>
      </c>
      <c r="W409" t="s">
        <v>47</v>
      </c>
      <c r="X409" t="s">
        <v>51</v>
      </c>
      <c r="Y409" t="b">
        <v>0</v>
      </c>
      <c r="Z409" t="s">
        <v>47</v>
      </c>
      <c r="AA409" t="s">
        <v>47</v>
      </c>
      <c r="AB409" t="s">
        <v>47</v>
      </c>
      <c r="AC409" t="b">
        <v>1</v>
      </c>
      <c r="AD409" t="s">
        <v>52</v>
      </c>
      <c r="AE409" t="s">
        <v>2734</v>
      </c>
      <c r="AF409" t="s">
        <v>2729</v>
      </c>
      <c r="AG409" t="s">
        <v>47</v>
      </c>
      <c r="AH409" t="s">
        <v>87</v>
      </c>
      <c r="AI409" s="2">
        <v>46160.598310185182</v>
      </c>
      <c r="AJ409" t="s">
        <v>47</v>
      </c>
      <c r="AK409" t="s">
        <v>47</v>
      </c>
      <c r="AL409" s="2">
        <v>46160.598310185182</v>
      </c>
      <c r="AM409" s="2">
        <v>46160.598310185182</v>
      </c>
    </row>
    <row r="410" spans="1:39" x14ac:dyDescent="0.3">
      <c r="A410" t="s">
        <v>2735</v>
      </c>
      <c r="B410" t="s">
        <v>2736</v>
      </c>
      <c r="C410" t="s">
        <v>41</v>
      </c>
      <c r="D410" t="s">
        <v>2737</v>
      </c>
      <c r="E410" t="s">
        <v>2738</v>
      </c>
      <c r="F410" t="s">
        <v>83</v>
      </c>
      <c r="G410" t="s">
        <v>84</v>
      </c>
      <c r="H410" t="s">
        <v>85</v>
      </c>
      <c r="I410" t="s">
        <v>47</v>
      </c>
      <c r="J410" t="s">
        <v>47</v>
      </c>
      <c r="K410" t="s">
        <v>48</v>
      </c>
      <c r="L410" t="s">
        <v>47</v>
      </c>
      <c r="M410" s="1">
        <v>46074</v>
      </c>
      <c r="N410" s="1">
        <v>46074</v>
      </c>
      <c r="O410" s="1">
        <v>46074</v>
      </c>
      <c r="P410" t="s">
        <v>49</v>
      </c>
      <c r="Q410" t="s">
        <v>50</v>
      </c>
      <c r="R410">
        <v>2</v>
      </c>
      <c r="S410" t="b">
        <v>0</v>
      </c>
      <c r="T410" t="s">
        <v>47</v>
      </c>
      <c r="U410" t="s">
        <v>47</v>
      </c>
      <c r="V410" t="s">
        <v>47</v>
      </c>
      <c r="W410" t="s">
        <v>47</v>
      </c>
      <c r="X410" t="s">
        <v>51</v>
      </c>
      <c r="Y410" t="b">
        <v>0</v>
      </c>
      <c r="Z410" t="s">
        <v>47</v>
      </c>
      <c r="AA410" t="s">
        <v>47</v>
      </c>
      <c r="AB410" t="s">
        <v>47</v>
      </c>
      <c r="AC410" t="b">
        <v>1</v>
      </c>
      <c r="AD410" t="s">
        <v>52</v>
      </c>
      <c r="AE410" t="s">
        <v>2739</v>
      </c>
      <c r="AF410" t="s">
        <v>2737</v>
      </c>
      <c r="AG410" t="s">
        <v>47</v>
      </c>
      <c r="AH410" t="s">
        <v>87</v>
      </c>
      <c r="AI410" s="2">
        <v>46160.614004629628</v>
      </c>
      <c r="AJ410" t="s">
        <v>47</v>
      </c>
      <c r="AK410" t="s">
        <v>47</v>
      </c>
      <c r="AL410" s="2">
        <v>46160.614004629628</v>
      </c>
      <c r="AM410" s="2">
        <v>46160.614004629628</v>
      </c>
    </row>
    <row r="411" spans="1:39" x14ac:dyDescent="0.3">
      <c r="A411" t="s">
        <v>2740</v>
      </c>
      <c r="B411" t="s">
        <v>2741</v>
      </c>
      <c r="C411" t="s">
        <v>41</v>
      </c>
      <c r="D411" t="s">
        <v>2742</v>
      </c>
      <c r="E411" t="s">
        <v>2743</v>
      </c>
      <c r="F411" t="s">
        <v>1552</v>
      </c>
      <c r="G411" t="s">
        <v>1553</v>
      </c>
      <c r="H411" t="s">
        <v>2744</v>
      </c>
      <c r="I411" t="s">
        <v>47</v>
      </c>
      <c r="J411" t="s">
        <v>47</v>
      </c>
      <c r="K411" t="s">
        <v>47</v>
      </c>
      <c r="L411" t="s">
        <v>47</v>
      </c>
      <c r="M411" t="s">
        <v>47</v>
      </c>
      <c r="N411" s="1">
        <v>46076</v>
      </c>
      <c r="O411" s="1">
        <v>46076</v>
      </c>
      <c r="P411" t="s">
        <v>219</v>
      </c>
      <c r="Q411" t="s">
        <v>50</v>
      </c>
      <c r="R411">
        <v>2</v>
      </c>
      <c r="S411" t="b">
        <v>1</v>
      </c>
      <c r="T411" t="s">
        <v>47</v>
      </c>
      <c r="U411" t="s">
        <v>47</v>
      </c>
      <c r="V411" t="s">
        <v>47</v>
      </c>
      <c r="W411" t="s">
        <v>47</v>
      </c>
      <c r="X411" t="s">
        <v>51</v>
      </c>
      <c r="Y411" t="b">
        <v>0</v>
      </c>
      <c r="Z411" t="s">
        <v>47</v>
      </c>
      <c r="AA411" t="s">
        <v>47</v>
      </c>
      <c r="AB411">
        <v>0.55000000000000004</v>
      </c>
      <c r="AC411" t="b">
        <v>1</v>
      </c>
      <c r="AD411" t="s">
        <v>52</v>
      </c>
      <c r="AE411" t="s">
        <v>2745</v>
      </c>
      <c r="AF411" t="s">
        <v>2742</v>
      </c>
      <c r="AG411" t="s">
        <v>2746</v>
      </c>
      <c r="AH411" t="s">
        <v>55</v>
      </c>
      <c r="AI411" s="2">
        <v>46160.270833333336</v>
      </c>
      <c r="AJ411" t="s">
        <v>47</v>
      </c>
      <c r="AK411" t="s">
        <v>47</v>
      </c>
      <c r="AL411" s="2">
        <v>46160.5</v>
      </c>
      <c r="AM411" s="2">
        <v>46160.5</v>
      </c>
    </row>
    <row r="412" spans="1:39" x14ac:dyDescent="0.3">
      <c r="A412" t="s">
        <v>2747</v>
      </c>
      <c r="B412" t="s">
        <v>2748</v>
      </c>
      <c r="C412" t="s">
        <v>41</v>
      </c>
      <c r="D412" t="s">
        <v>2749</v>
      </c>
      <c r="E412" t="s">
        <v>2750</v>
      </c>
      <c r="F412" t="s">
        <v>558</v>
      </c>
      <c r="G412" t="s">
        <v>559</v>
      </c>
      <c r="H412" t="s">
        <v>560</v>
      </c>
      <c r="I412" t="s">
        <v>47</v>
      </c>
      <c r="J412" t="s">
        <v>47</v>
      </c>
      <c r="K412" t="s">
        <v>253</v>
      </c>
      <c r="L412" t="s">
        <v>47</v>
      </c>
      <c r="M412" s="1">
        <v>46076</v>
      </c>
      <c r="N412" s="1">
        <v>46076</v>
      </c>
      <c r="O412" s="1">
        <v>46076</v>
      </c>
      <c r="P412" t="s">
        <v>254</v>
      </c>
      <c r="Q412" t="s">
        <v>50</v>
      </c>
      <c r="R412">
        <v>1</v>
      </c>
      <c r="S412" t="b">
        <v>0</v>
      </c>
      <c r="T412" t="s">
        <v>47</v>
      </c>
      <c r="U412" t="s">
        <v>47</v>
      </c>
      <c r="V412" t="s">
        <v>47</v>
      </c>
      <c r="W412" t="s">
        <v>47</v>
      </c>
      <c r="X412" t="s">
        <v>51</v>
      </c>
      <c r="Y412" t="b">
        <v>0</v>
      </c>
      <c r="Z412" t="s">
        <v>47</v>
      </c>
      <c r="AA412" t="s">
        <v>47</v>
      </c>
      <c r="AB412" t="s">
        <v>47</v>
      </c>
      <c r="AC412" t="b">
        <v>1</v>
      </c>
      <c r="AD412" t="s">
        <v>52</v>
      </c>
      <c r="AE412" t="s">
        <v>2751</v>
      </c>
      <c r="AF412" t="s">
        <v>2749</v>
      </c>
      <c r="AG412" t="s">
        <v>47</v>
      </c>
      <c r="AH412" t="s">
        <v>87</v>
      </c>
      <c r="AI412" s="2">
        <v>46160.614004629628</v>
      </c>
      <c r="AJ412" t="s">
        <v>47</v>
      </c>
      <c r="AK412" t="s">
        <v>47</v>
      </c>
      <c r="AL412" s="2">
        <v>46160.614004629628</v>
      </c>
      <c r="AM412" s="2">
        <v>46160.614004629628</v>
      </c>
    </row>
    <row r="413" spans="1:39" x14ac:dyDescent="0.3">
      <c r="A413" t="s">
        <v>2752</v>
      </c>
      <c r="B413" t="s">
        <v>2753</v>
      </c>
      <c r="C413" t="s">
        <v>41</v>
      </c>
      <c r="D413" t="s">
        <v>2754</v>
      </c>
      <c r="E413" t="s">
        <v>2755</v>
      </c>
      <c r="F413" t="s">
        <v>127</v>
      </c>
      <c r="G413" t="s">
        <v>128</v>
      </c>
      <c r="H413" t="s">
        <v>129</v>
      </c>
      <c r="I413" t="s">
        <v>47</v>
      </c>
      <c r="J413" t="s">
        <v>47</v>
      </c>
      <c r="K413" t="s">
        <v>130</v>
      </c>
      <c r="L413" t="s">
        <v>47</v>
      </c>
      <c r="M413" t="s">
        <v>47</v>
      </c>
      <c r="N413" s="1">
        <v>46076</v>
      </c>
      <c r="O413" s="1">
        <v>46076</v>
      </c>
      <c r="P413" t="s">
        <v>49</v>
      </c>
      <c r="Q413" t="s">
        <v>50</v>
      </c>
      <c r="R413">
        <v>3</v>
      </c>
      <c r="S413" t="b">
        <v>1</v>
      </c>
      <c r="T413" t="s">
        <v>47</v>
      </c>
      <c r="U413" t="s">
        <v>47</v>
      </c>
      <c r="V413" t="s">
        <v>47</v>
      </c>
      <c r="W413" t="s">
        <v>47</v>
      </c>
      <c r="X413" t="s">
        <v>51</v>
      </c>
      <c r="Y413" t="b">
        <v>0</v>
      </c>
      <c r="Z413" t="s">
        <v>47</v>
      </c>
      <c r="AA413" t="s">
        <v>47</v>
      </c>
      <c r="AB413">
        <v>0.6</v>
      </c>
      <c r="AC413" t="b">
        <v>1</v>
      </c>
      <c r="AD413" t="s">
        <v>52</v>
      </c>
      <c r="AE413" t="s">
        <v>2756</v>
      </c>
      <c r="AF413" t="s">
        <v>2754</v>
      </c>
      <c r="AG413" t="s">
        <v>2757</v>
      </c>
      <c r="AH413" t="s">
        <v>55</v>
      </c>
      <c r="AI413" s="2">
        <v>46160.201388888891</v>
      </c>
      <c r="AJ413" t="s">
        <v>47</v>
      </c>
      <c r="AK413" t="s">
        <v>47</v>
      </c>
      <c r="AL413" s="2">
        <v>46160.430555555555</v>
      </c>
      <c r="AM413" s="2">
        <v>46160.430555555555</v>
      </c>
    </row>
    <row r="414" spans="1:39" x14ac:dyDescent="0.3">
      <c r="A414" t="s">
        <v>2758</v>
      </c>
      <c r="B414" t="s">
        <v>2759</v>
      </c>
      <c r="C414" t="s">
        <v>41</v>
      </c>
      <c r="D414" t="s">
        <v>2760</v>
      </c>
      <c r="E414" t="s">
        <v>2761</v>
      </c>
      <c r="F414" t="s">
        <v>127</v>
      </c>
      <c r="G414" t="s">
        <v>128</v>
      </c>
      <c r="H414" t="s">
        <v>129</v>
      </c>
      <c r="I414" t="s">
        <v>47</v>
      </c>
      <c r="J414" t="s">
        <v>47</v>
      </c>
      <c r="K414" t="s">
        <v>130</v>
      </c>
      <c r="L414" t="s">
        <v>47</v>
      </c>
      <c r="M414" t="s">
        <v>47</v>
      </c>
      <c r="N414" s="1">
        <v>46076</v>
      </c>
      <c r="O414" s="1">
        <v>46076</v>
      </c>
      <c r="P414" t="s">
        <v>49</v>
      </c>
      <c r="Q414" t="s">
        <v>50</v>
      </c>
      <c r="R414">
        <v>3</v>
      </c>
      <c r="S414" t="b">
        <v>1</v>
      </c>
      <c r="T414" t="s">
        <v>47</v>
      </c>
      <c r="U414" t="s">
        <v>47</v>
      </c>
      <c r="V414" t="s">
        <v>47</v>
      </c>
      <c r="W414" t="s">
        <v>47</v>
      </c>
      <c r="X414" t="s">
        <v>51</v>
      </c>
      <c r="Y414" t="b">
        <v>0</v>
      </c>
      <c r="Z414" t="s">
        <v>47</v>
      </c>
      <c r="AA414" t="s">
        <v>47</v>
      </c>
      <c r="AB414">
        <v>0.6</v>
      </c>
      <c r="AC414" t="b">
        <v>1</v>
      </c>
      <c r="AD414" t="s">
        <v>52</v>
      </c>
      <c r="AE414" t="s">
        <v>2762</v>
      </c>
      <c r="AF414" t="s">
        <v>2760</v>
      </c>
      <c r="AG414" t="s">
        <v>2763</v>
      </c>
      <c r="AH414" t="s">
        <v>55</v>
      </c>
      <c r="AI414" s="2">
        <v>46160.173611111109</v>
      </c>
      <c r="AJ414" t="s">
        <v>47</v>
      </c>
      <c r="AK414" t="s">
        <v>47</v>
      </c>
      <c r="AL414" s="2">
        <v>46160.402777777781</v>
      </c>
      <c r="AM414" s="2">
        <v>46160.402777777781</v>
      </c>
    </row>
    <row r="415" spans="1:39" x14ac:dyDescent="0.3">
      <c r="A415" t="s">
        <v>2764</v>
      </c>
      <c r="B415" t="s">
        <v>2765</v>
      </c>
      <c r="C415" t="s">
        <v>41</v>
      </c>
      <c r="D415" t="s">
        <v>2766</v>
      </c>
      <c r="E415" t="s">
        <v>2767</v>
      </c>
      <c r="F415" t="s">
        <v>127</v>
      </c>
      <c r="G415" t="s">
        <v>128</v>
      </c>
      <c r="H415" t="s">
        <v>129</v>
      </c>
      <c r="I415" t="s">
        <v>47</v>
      </c>
      <c r="J415" t="s">
        <v>47</v>
      </c>
      <c r="K415" t="s">
        <v>130</v>
      </c>
      <c r="L415" t="s">
        <v>47</v>
      </c>
      <c r="M415" t="s">
        <v>47</v>
      </c>
      <c r="N415" s="1">
        <v>46076</v>
      </c>
      <c r="O415" s="1">
        <v>46076</v>
      </c>
      <c r="P415" t="s">
        <v>49</v>
      </c>
      <c r="Q415" t="s">
        <v>50</v>
      </c>
      <c r="R415">
        <v>3</v>
      </c>
      <c r="S415" t="b">
        <v>1</v>
      </c>
      <c r="T415" t="s">
        <v>47</v>
      </c>
      <c r="U415" t="s">
        <v>47</v>
      </c>
      <c r="V415" t="s">
        <v>47</v>
      </c>
      <c r="W415" t="s">
        <v>47</v>
      </c>
      <c r="X415" t="s">
        <v>51</v>
      </c>
      <c r="Y415" t="b">
        <v>0</v>
      </c>
      <c r="Z415" t="s">
        <v>47</v>
      </c>
      <c r="AA415" t="s">
        <v>47</v>
      </c>
      <c r="AB415">
        <v>0.6</v>
      </c>
      <c r="AC415" t="b">
        <v>1</v>
      </c>
      <c r="AD415" t="s">
        <v>52</v>
      </c>
      <c r="AE415" t="s">
        <v>2768</v>
      </c>
      <c r="AF415" t="s">
        <v>2766</v>
      </c>
      <c r="AG415" t="s">
        <v>2769</v>
      </c>
      <c r="AH415" t="s">
        <v>55</v>
      </c>
      <c r="AI415" s="2">
        <v>46160.201388888891</v>
      </c>
      <c r="AJ415" t="s">
        <v>47</v>
      </c>
      <c r="AK415" t="s">
        <v>47</v>
      </c>
      <c r="AL415" s="2">
        <v>46160.430555555555</v>
      </c>
      <c r="AM415" s="2">
        <v>46160.430555555555</v>
      </c>
    </row>
    <row r="416" spans="1:39" x14ac:dyDescent="0.3">
      <c r="A416" t="s">
        <v>2770</v>
      </c>
      <c r="B416" t="s">
        <v>2771</v>
      </c>
      <c r="C416" t="s">
        <v>41</v>
      </c>
      <c r="D416" t="s">
        <v>2772</v>
      </c>
      <c r="E416" t="s">
        <v>2773</v>
      </c>
      <c r="F416" t="s">
        <v>83</v>
      </c>
      <c r="G416" t="s">
        <v>84</v>
      </c>
      <c r="H416" t="s">
        <v>85</v>
      </c>
      <c r="I416" t="s">
        <v>47</v>
      </c>
      <c r="J416" t="s">
        <v>47</v>
      </c>
      <c r="K416" t="s">
        <v>48</v>
      </c>
      <c r="L416" t="s">
        <v>47</v>
      </c>
      <c r="M416" s="1">
        <v>46076</v>
      </c>
      <c r="N416" s="1">
        <v>46076</v>
      </c>
      <c r="O416" s="1">
        <v>46076</v>
      </c>
      <c r="P416" t="s">
        <v>49</v>
      </c>
      <c r="Q416" t="s">
        <v>50</v>
      </c>
      <c r="R416">
        <v>2</v>
      </c>
      <c r="S416" t="b">
        <v>0</v>
      </c>
      <c r="T416" t="s">
        <v>47</v>
      </c>
      <c r="U416" t="s">
        <v>47</v>
      </c>
      <c r="V416" t="s">
        <v>47</v>
      </c>
      <c r="W416" t="s">
        <v>47</v>
      </c>
      <c r="X416" t="s">
        <v>51</v>
      </c>
      <c r="Y416" t="b">
        <v>0</v>
      </c>
      <c r="Z416" t="s">
        <v>47</v>
      </c>
      <c r="AA416" t="s">
        <v>47</v>
      </c>
      <c r="AB416" t="s">
        <v>47</v>
      </c>
      <c r="AC416" t="b">
        <v>1</v>
      </c>
      <c r="AD416" t="s">
        <v>52</v>
      </c>
      <c r="AE416" t="s">
        <v>2774</v>
      </c>
      <c r="AF416" t="s">
        <v>2772</v>
      </c>
      <c r="AG416" t="s">
        <v>47</v>
      </c>
      <c r="AH416" t="s">
        <v>87</v>
      </c>
      <c r="AI416" s="2">
        <v>46160.565381944441</v>
      </c>
      <c r="AJ416" t="s">
        <v>47</v>
      </c>
      <c r="AK416" t="s">
        <v>47</v>
      </c>
      <c r="AL416" s="2">
        <v>46160.565381944441</v>
      </c>
      <c r="AM416" s="2">
        <v>46160.565381944441</v>
      </c>
    </row>
    <row r="417" spans="1:39" x14ac:dyDescent="0.3">
      <c r="A417" t="s">
        <v>2775</v>
      </c>
      <c r="B417" t="s">
        <v>2776</v>
      </c>
      <c r="C417" t="s">
        <v>41</v>
      </c>
      <c r="D417" t="s">
        <v>2777</v>
      </c>
      <c r="E417" t="s">
        <v>2778</v>
      </c>
      <c r="F417" t="s">
        <v>107</v>
      </c>
      <c r="G417" t="s">
        <v>108</v>
      </c>
      <c r="H417" t="s">
        <v>2779</v>
      </c>
      <c r="I417" t="s">
        <v>47</v>
      </c>
      <c r="J417" t="s">
        <v>47</v>
      </c>
      <c r="K417" t="s">
        <v>48</v>
      </c>
      <c r="L417" t="s">
        <v>47</v>
      </c>
      <c r="M417" t="s">
        <v>47</v>
      </c>
      <c r="N417" s="1">
        <v>46076</v>
      </c>
      <c r="O417" s="1">
        <v>46076</v>
      </c>
      <c r="P417" t="s">
        <v>49</v>
      </c>
      <c r="Q417" t="s">
        <v>50</v>
      </c>
      <c r="R417">
        <v>2</v>
      </c>
      <c r="S417" t="b">
        <v>0</v>
      </c>
      <c r="T417" t="s">
        <v>47</v>
      </c>
      <c r="U417" t="s">
        <v>47</v>
      </c>
      <c r="V417" t="s">
        <v>47</v>
      </c>
      <c r="W417" t="s">
        <v>47</v>
      </c>
      <c r="X417" t="s">
        <v>51</v>
      </c>
      <c r="Y417" t="b">
        <v>0</v>
      </c>
      <c r="Z417" t="s">
        <v>47</v>
      </c>
      <c r="AA417" t="s">
        <v>47</v>
      </c>
      <c r="AC417" t="b">
        <v>1</v>
      </c>
      <c r="AD417" t="s">
        <v>52</v>
      </c>
      <c r="AE417" t="s">
        <v>2780</v>
      </c>
      <c r="AF417" t="s">
        <v>2777</v>
      </c>
      <c r="AG417" t="s">
        <v>2781</v>
      </c>
      <c r="AH417" t="s">
        <v>55</v>
      </c>
      <c r="AI417" s="2">
        <v>46160.25</v>
      </c>
      <c r="AJ417" t="s">
        <v>47</v>
      </c>
      <c r="AK417" t="s">
        <v>47</v>
      </c>
      <c r="AL417" s="2">
        <v>46160.479166666664</v>
      </c>
      <c r="AM417" s="2">
        <v>46160.479166666664</v>
      </c>
    </row>
    <row r="418" spans="1:39" x14ac:dyDescent="0.3">
      <c r="A418" t="s">
        <v>2782</v>
      </c>
      <c r="B418" t="s">
        <v>2783</v>
      </c>
      <c r="C418" t="s">
        <v>41</v>
      </c>
      <c r="D418" t="s">
        <v>2784</v>
      </c>
      <c r="E418" t="s">
        <v>2785</v>
      </c>
      <c r="F418" t="s">
        <v>107</v>
      </c>
      <c r="G418" t="s">
        <v>108</v>
      </c>
      <c r="H418" t="s">
        <v>109</v>
      </c>
      <c r="I418" t="s">
        <v>47</v>
      </c>
      <c r="J418" t="s">
        <v>47</v>
      </c>
      <c r="K418" t="s">
        <v>48</v>
      </c>
      <c r="L418" t="s">
        <v>47</v>
      </c>
      <c r="M418" t="s">
        <v>47</v>
      </c>
      <c r="N418" s="1">
        <v>46076</v>
      </c>
      <c r="O418" s="1">
        <v>46076</v>
      </c>
      <c r="P418" t="s">
        <v>49</v>
      </c>
      <c r="Q418" t="s">
        <v>50</v>
      </c>
      <c r="R418">
        <v>2</v>
      </c>
      <c r="S418" t="b">
        <v>0</v>
      </c>
      <c r="T418" t="s">
        <v>47</v>
      </c>
      <c r="U418" t="s">
        <v>47</v>
      </c>
      <c r="V418" t="s">
        <v>47</v>
      </c>
      <c r="W418" t="s">
        <v>47</v>
      </c>
      <c r="X418" t="s">
        <v>51</v>
      </c>
      <c r="Y418" t="b">
        <v>0</v>
      </c>
      <c r="Z418" t="s">
        <v>47</v>
      </c>
      <c r="AA418" t="s">
        <v>47</v>
      </c>
      <c r="AC418" t="b">
        <v>1</v>
      </c>
      <c r="AD418" t="s">
        <v>52</v>
      </c>
      <c r="AE418" t="s">
        <v>2786</v>
      </c>
      <c r="AF418" t="s">
        <v>2784</v>
      </c>
      <c r="AG418" t="s">
        <v>2787</v>
      </c>
      <c r="AH418" t="s">
        <v>55</v>
      </c>
      <c r="AI418" s="2">
        <v>46160.25</v>
      </c>
      <c r="AJ418" t="s">
        <v>47</v>
      </c>
      <c r="AK418" t="s">
        <v>47</v>
      </c>
      <c r="AL418" s="2">
        <v>46160.479166666664</v>
      </c>
      <c r="AM418" s="2">
        <v>46160.479166666664</v>
      </c>
    </row>
    <row r="419" spans="1:39" x14ac:dyDescent="0.3">
      <c r="A419" t="s">
        <v>2788</v>
      </c>
      <c r="B419" t="s">
        <v>2789</v>
      </c>
      <c r="C419" t="s">
        <v>41</v>
      </c>
      <c r="D419" t="s">
        <v>2790</v>
      </c>
      <c r="E419" t="s">
        <v>2791</v>
      </c>
      <c r="F419" t="s">
        <v>107</v>
      </c>
      <c r="G419" t="s">
        <v>108</v>
      </c>
      <c r="H419" t="s">
        <v>109</v>
      </c>
      <c r="I419" t="s">
        <v>47</v>
      </c>
      <c r="J419" t="s">
        <v>47</v>
      </c>
      <c r="K419" t="s">
        <v>48</v>
      </c>
      <c r="L419" t="s">
        <v>47</v>
      </c>
      <c r="M419" t="s">
        <v>47</v>
      </c>
      <c r="N419" s="1">
        <v>46076</v>
      </c>
      <c r="O419" s="1">
        <v>46076</v>
      </c>
      <c r="P419" t="s">
        <v>49</v>
      </c>
      <c r="Q419" t="s">
        <v>50</v>
      </c>
      <c r="R419">
        <v>2</v>
      </c>
      <c r="S419" t="b">
        <v>0</v>
      </c>
      <c r="T419" t="s">
        <v>47</v>
      </c>
      <c r="U419" t="s">
        <v>47</v>
      </c>
      <c r="V419" t="s">
        <v>47</v>
      </c>
      <c r="W419" t="s">
        <v>47</v>
      </c>
      <c r="X419" t="s">
        <v>51</v>
      </c>
      <c r="Y419" t="b">
        <v>0</v>
      </c>
      <c r="Z419" t="s">
        <v>47</v>
      </c>
      <c r="AA419" t="s">
        <v>47</v>
      </c>
      <c r="AC419" t="b">
        <v>1</v>
      </c>
      <c r="AD419" t="s">
        <v>52</v>
      </c>
      <c r="AE419" t="s">
        <v>2792</v>
      </c>
      <c r="AF419" t="s">
        <v>2790</v>
      </c>
      <c r="AG419" t="s">
        <v>2793</v>
      </c>
      <c r="AH419" t="s">
        <v>55</v>
      </c>
      <c r="AI419" s="2">
        <v>46160.229166666664</v>
      </c>
      <c r="AJ419" t="s">
        <v>47</v>
      </c>
      <c r="AK419" t="s">
        <v>47</v>
      </c>
      <c r="AL419" s="2">
        <v>46160.458333333336</v>
      </c>
      <c r="AM419" s="2">
        <v>46160.458333333336</v>
      </c>
    </row>
    <row r="420" spans="1:39" x14ac:dyDescent="0.3">
      <c r="A420" t="s">
        <v>2794</v>
      </c>
      <c r="B420" t="s">
        <v>2795</v>
      </c>
      <c r="C420" t="s">
        <v>41</v>
      </c>
      <c r="D420" t="s">
        <v>2796</v>
      </c>
      <c r="E420" t="s">
        <v>2797</v>
      </c>
      <c r="F420" t="s">
        <v>83</v>
      </c>
      <c r="G420" t="s">
        <v>84</v>
      </c>
      <c r="H420" t="s">
        <v>85</v>
      </c>
      <c r="I420" t="s">
        <v>47</v>
      </c>
      <c r="J420" t="s">
        <v>47</v>
      </c>
      <c r="K420" t="s">
        <v>48</v>
      </c>
      <c r="L420" t="s">
        <v>47</v>
      </c>
      <c r="M420" s="1">
        <v>46076</v>
      </c>
      <c r="N420" s="1">
        <v>46076</v>
      </c>
      <c r="O420" s="1">
        <v>46076</v>
      </c>
      <c r="P420" t="s">
        <v>49</v>
      </c>
      <c r="Q420" t="s">
        <v>50</v>
      </c>
      <c r="R420">
        <v>2</v>
      </c>
      <c r="S420" t="b">
        <v>0</v>
      </c>
      <c r="T420" t="s">
        <v>47</v>
      </c>
      <c r="U420" t="s">
        <v>47</v>
      </c>
      <c r="V420" t="s">
        <v>47</v>
      </c>
      <c r="W420" t="s">
        <v>47</v>
      </c>
      <c r="X420" t="s">
        <v>51</v>
      </c>
      <c r="Y420" t="b">
        <v>0</v>
      </c>
      <c r="Z420" t="s">
        <v>47</v>
      </c>
      <c r="AA420" t="s">
        <v>47</v>
      </c>
      <c r="AB420" t="s">
        <v>47</v>
      </c>
      <c r="AC420" t="b">
        <v>1</v>
      </c>
      <c r="AD420" t="s">
        <v>52</v>
      </c>
      <c r="AE420" t="s">
        <v>2798</v>
      </c>
      <c r="AF420" t="s">
        <v>2796</v>
      </c>
      <c r="AG420" t="s">
        <v>47</v>
      </c>
      <c r="AH420" t="s">
        <v>87</v>
      </c>
      <c r="AI420" s="2">
        <v>46160.581724537034</v>
      </c>
      <c r="AJ420" t="s">
        <v>47</v>
      </c>
      <c r="AK420" t="s">
        <v>47</v>
      </c>
      <c r="AL420" s="2">
        <v>46160.581724537034</v>
      </c>
      <c r="AM420" s="2">
        <v>46160.581724537034</v>
      </c>
    </row>
    <row r="421" spans="1:39" x14ac:dyDescent="0.3">
      <c r="A421" t="s">
        <v>2799</v>
      </c>
      <c r="B421" t="s">
        <v>2800</v>
      </c>
      <c r="C421" t="s">
        <v>41</v>
      </c>
      <c r="D421" t="s">
        <v>2801</v>
      </c>
      <c r="E421" t="s">
        <v>2802</v>
      </c>
      <c r="F421" t="s">
        <v>83</v>
      </c>
      <c r="G421" t="s">
        <v>84</v>
      </c>
      <c r="H421" t="s">
        <v>85</v>
      </c>
      <c r="I421" t="s">
        <v>47</v>
      </c>
      <c r="J421" t="s">
        <v>47</v>
      </c>
      <c r="K421" t="s">
        <v>48</v>
      </c>
      <c r="L421" t="s">
        <v>47</v>
      </c>
      <c r="M421" s="1">
        <v>46076</v>
      </c>
      <c r="N421" s="1">
        <v>46076</v>
      </c>
      <c r="O421" s="1">
        <v>46076</v>
      </c>
      <c r="P421" t="s">
        <v>49</v>
      </c>
      <c r="Q421" t="s">
        <v>50</v>
      </c>
      <c r="R421">
        <v>2</v>
      </c>
      <c r="S421" t="b">
        <v>0</v>
      </c>
      <c r="T421" t="s">
        <v>47</v>
      </c>
      <c r="U421" t="s">
        <v>47</v>
      </c>
      <c r="V421" t="s">
        <v>47</v>
      </c>
      <c r="W421" t="s">
        <v>47</v>
      </c>
      <c r="X421" t="s">
        <v>51</v>
      </c>
      <c r="Y421" t="b">
        <v>0</v>
      </c>
      <c r="Z421" t="s">
        <v>47</v>
      </c>
      <c r="AA421" t="s">
        <v>47</v>
      </c>
      <c r="AB421" t="s">
        <v>47</v>
      </c>
      <c r="AC421" t="b">
        <v>1</v>
      </c>
      <c r="AD421" t="s">
        <v>52</v>
      </c>
      <c r="AE421" t="s">
        <v>2803</v>
      </c>
      <c r="AF421" t="s">
        <v>2801</v>
      </c>
      <c r="AG421" t="s">
        <v>47</v>
      </c>
      <c r="AH421" t="s">
        <v>87</v>
      </c>
      <c r="AI421" s="2">
        <v>46160.581724537034</v>
      </c>
      <c r="AJ421" t="s">
        <v>47</v>
      </c>
      <c r="AK421" t="s">
        <v>47</v>
      </c>
      <c r="AL421" s="2">
        <v>46160.581724537034</v>
      </c>
      <c r="AM421" s="2">
        <v>46160.581724537034</v>
      </c>
    </row>
    <row r="422" spans="1:39" x14ac:dyDescent="0.3">
      <c r="A422" t="s">
        <v>2804</v>
      </c>
      <c r="B422" t="s">
        <v>2805</v>
      </c>
      <c r="C422" t="s">
        <v>41</v>
      </c>
      <c r="D422" t="s">
        <v>2806</v>
      </c>
      <c r="E422" t="s">
        <v>2807</v>
      </c>
      <c r="F422" t="s">
        <v>680</v>
      </c>
      <c r="G422" t="s">
        <v>681</v>
      </c>
      <c r="H422" t="s">
        <v>682</v>
      </c>
      <c r="I422" t="s">
        <v>47</v>
      </c>
      <c r="J422" t="s">
        <v>47</v>
      </c>
      <c r="K422" t="s">
        <v>130</v>
      </c>
      <c r="L422" t="s">
        <v>47</v>
      </c>
      <c r="M422" t="s">
        <v>47</v>
      </c>
      <c r="N422" s="1">
        <v>46076</v>
      </c>
      <c r="O422" s="1">
        <v>46076</v>
      </c>
      <c r="P422" t="s">
        <v>49</v>
      </c>
      <c r="Q422" t="s">
        <v>50</v>
      </c>
      <c r="R422">
        <v>3</v>
      </c>
      <c r="S422" t="b">
        <v>1</v>
      </c>
      <c r="T422" t="s">
        <v>47</v>
      </c>
      <c r="U422" t="s">
        <v>47</v>
      </c>
      <c r="V422" t="s">
        <v>47</v>
      </c>
      <c r="W422" t="s">
        <v>47</v>
      </c>
      <c r="X422" t="s">
        <v>51</v>
      </c>
      <c r="Y422" t="b">
        <v>0</v>
      </c>
      <c r="Z422" t="s">
        <v>47</v>
      </c>
      <c r="AA422" t="s">
        <v>47</v>
      </c>
      <c r="AB422">
        <v>0.6</v>
      </c>
      <c r="AC422" t="b">
        <v>1</v>
      </c>
      <c r="AD422" t="s">
        <v>52</v>
      </c>
      <c r="AE422" t="s">
        <v>2808</v>
      </c>
      <c r="AF422" t="s">
        <v>2806</v>
      </c>
      <c r="AG422" t="s">
        <v>2809</v>
      </c>
      <c r="AH422" t="s">
        <v>55</v>
      </c>
      <c r="AI422" s="2">
        <v>46160.270833333336</v>
      </c>
      <c r="AJ422" t="s">
        <v>47</v>
      </c>
      <c r="AK422" t="s">
        <v>47</v>
      </c>
      <c r="AL422" s="2">
        <v>46160.5</v>
      </c>
      <c r="AM422" s="2">
        <v>46160.5</v>
      </c>
    </row>
    <row r="423" spans="1:39" x14ac:dyDescent="0.3">
      <c r="A423" t="s">
        <v>2810</v>
      </c>
      <c r="B423" t="s">
        <v>2811</v>
      </c>
      <c r="C423" t="s">
        <v>41</v>
      </c>
      <c r="D423" t="s">
        <v>2812</v>
      </c>
      <c r="E423" t="s">
        <v>2813</v>
      </c>
      <c r="F423" t="s">
        <v>484</v>
      </c>
      <c r="G423" t="s">
        <v>485</v>
      </c>
      <c r="H423" t="s">
        <v>2814</v>
      </c>
      <c r="I423" t="s">
        <v>47</v>
      </c>
      <c r="J423" t="s">
        <v>47</v>
      </c>
      <c r="K423" t="s">
        <v>130</v>
      </c>
      <c r="L423" t="s">
        <v>47</v>
      </c>
      <c r="M423" t="s">
        <v>47</v>
      </c>
      <c r="N423" s="1">
        <v>46076</v>
      </c>
      <c r="O423" s="1">
        <v>46076</v>
      </c>
      <c r="P423" t="s">
        <v>49</v>
      </c>
      <c r="Q423" t="s">
        <v>50</v>
      </c>
      <c r="R423">
        <v>3</v>
      </c>
      <c r="S423" t="b">
        <v>1</v>
      </c>
      <c r="T423" t="s">
        <v>47</v>
      </c>
      <c r="U423" t="s">
        <v>47</v>
      </c>
      <c r="V423" t="s">
        <v>47</v>
      </c>
      <c r="W423" t="s">
        <v>47</v>
      </c>
      <c r="X423" t="s">
        <v>51</v>
      </c>
      <c r="Y423" t="b">
        <v>0</v>
      </c>
      <c r="Z423" t="s">
        <v>47</v>
      </c>
      <c r="AA423" t="s">
        <v>47</v>
      </c>
      <c r="AB423">
        <v>0.6</v>
      </c>
      <c r="AC423" t="b">
        <v>1</v>
      </c>
      <c r="AD423" t="s">
        <v>52</v>
      </c>
      <c r="AE423" t="s">
        <v>2815</v>
      </c>
      <c r="AF423" t="s">
        <v>2812</v>
      </c>
      <c r="AG423" t="s">
        <v>2816</v>
      </c>
      <c r="AH423" t="s">
        <v>55</v>
      </c>
      <c r="AI423" s="2">
        <v>46160.229166666664</v>
      </c>
      <c r="AJ423" t="s">
        <v>47</v>
      </c>
      <c r="AK423" t="s">
        <v>47</v>
      </c>
      <c r="AL423" s="2">
        <v>46160.458333333336</v>
      </c>
      <c r="AM423" s="2">
        <v>46160.458333333336</v>
      </c>
    </row>
    <row r="424" spans="1:39" x14ac:dyDescent="0.3">
      <c r="A424" t="s">
        <v>2817</v>
      </c>
      <c r="B424" t="s">
        <v>2818</v>
      </c>
      <c r="C424" t="s">
        <v>41</v>
      </c>
      <c r="D424" t="s">
        <v>2819</v>
      </c>
      <c r="E424" t="s">
        <v>2820</v>
      </c>
      <c r="F424" t="s">
        <v>322</v>
      </c>
      <c r="G424" t="s">
        <v>323</v>
      </c>
      <c r="H424" t="s">
        <v>779</v>
      </c>
      <c r="I424" t="s">
        <v>47</v>
      </c>
      <c r="J424" t="s">
        <v>47</v>
      </c>
      <c r="K424" t="s">
        <v>253</v>
      </c>
      <c r="L424" t="s">
        <v>47</v>
      </c>
      <c r="M424" t="s">
        <v>47</v>
      </c>
      <c r="N424" s="1">
        <v>46077</v>
      </c>
      <c r="O424" s="1">
        <v>46077</v>
      </c>
      <c r="P424" t="s">
        <v>254</v>
      </c>
      <c r="Q424" t="s">
        <v>50</v>
      </c>
      <c r="R424">
        <v>1</v>
      </c>
      <c r="S424" t="b">
        <v>0</v>
      </c>
      <c r="T424" t="s">
        <v>47</v>
      </c>
      <c r="U424" t="s">
        <v>47</v>
      </c>
      <c r="V424" t="s">
        <v>47</v>
      </c>
      <c r="W424" t="s">
        <v>47</v>
      </c>
      <c r="X424" t="s">
        <v>51</v>
      </c>
      <c r="Y424" t="b">
        <v>0</v>
      </c>
      <c r="Z424" t="s">
        <v>47</v>
      </c>
      <c r="AA424" t="s">
        <v>47</v>
      </c>
      <c r="AC424" t="b">
        <v>1</v>
      </c>
      <c r="AD424" t="s">
        <v>52</v>
      </c>
      <c r="AE424" t="s">
        <v>2821</v>
      </c>
      <c r="AF424" t="s">
        <v>2819</v>
      </c>
      <c r="AG424" t="s">
        <v>2822</v>
      </c>
      <c r="AH424" t="s">
        <v>55</v>
      </c>
      <c r="AI424" s="2">
        <v>46160.201388888891</v>
      </c>
      <c r="AJ424" t="s">
        <v>47</v>
      </c>
      <c r="AK424" t="s">
        <v>47</v>
      </c>
      <c r="AL424" s="2">
        <v>46160.430555555555</v>
      </c>
      <c r="AM424" s="2">
        <v>46160.430555555555</v>
      </c>
    </row>
    <row r="425" spans="1:39" x14ac:dyDescent="0.3">
      <c r="A425" t="s">
        <v>2823</v>
      </c>
      <c r="B425" t="s">
        <v>2824</v>
      </c>
      <c r="C425" t="s">
        <v>41</v>
      </c>
      <c r="D425" t="s">
        <v>2825</v>
      </c>
      <c r="E425" t="s">
        <v>2826</v>
      </c>
      <c r="F425" t="s">
        <v>558</v>
      </c>
      <c r="G425" t="s">
        <v>559</v>
      </c>
      <c r="H425" t="s">
        <v>560</v>
      </c>
      <c r="I425" t="s">
        <v>47</v>
      </c>
      <c r="J425" t="s">
        <v>47</v>
      </c>
      <c r="K425" t="s">
        <v>253</v>
      </c>
      <c r="L425" t="s">
        <v>47</v>
      </c>
      <c r="M425" s="1">
        <v>46076</v>
      </c>
      <c r="N425" s="1">
        <v>46076</v>
      </c>
      <c r="O425" s="1">
        <v>46076</v>
      </c>
      <c r="P425" t="s">
        <v>254</v>
      </c>
      <c r="Q425" t="s">
        <v>50</v>
      </c>
      <c r="R425">
        <v>1</v>
      </c>
      <c r="S425" t="b">
        <v>0</v>
      </c>
      <c r="T425" t="s">
        <v>47</v>
      </c>
      <c r="U425" t="s">
        <v>47</v>
      </c>
      <c r="V425" t="s">
        <v>47</v>
      </c>
      <c r="W425" t="s">
        <v>47</v>
      </c>
      <c r="X425" t="s">
        <v>51</v>
      </c>
      <c r="Y425" t="b">
        <v>0</v>
      </c>
      <c r="Z425" t="s">
        <v>47</v>
      </c>
      <c r="AA425" t="s">
        <v>47</v>
      </c>
      <c r="AB425" t="s">
        <v>47</v>
      </c>
      <c r="AC425" t="b">
        <v>1</v>
      </c>
      <c r="AD425" t="s">
        <v>52</v>
      </c>
      <c r="AE425" t="s">
        <v>2827</v>
      </c>
      <c r="AF425" t="s">
        <v>2825</v>
      </c>
      <c r="AG425" t="s">
        <v>47</v>
      </c>
      <c r="AH425" t="s">
        <v>87</v>
      </c>
      <c r="AI425" s="2">
        <v>46160.598310185182</v>
      </c>
      <c r="AJ425" t="s">
        <v>47</v>
      </c>
      <c r="AK425" t="s">
        <v>47</v>
      </c>
      <c r="AL425" s="2">
        <v>46160.598310185182</v>
      </c>
      <c r="AM425" s="2">
        <v>46160.598310185182</v>
      </c>
    </row>
    <row r="426" spans="1:39" x14ac:dyDescent="0.3">
      <c r="A426" t="s">
        <v>2828</v>
      </c>
      <c r="B426" t="s">
        <v>2829</v>
      </c>
      <c r="C426" t="s">
        <v>41</v>
      </c>
      <c r="D426" t="s">
        <v>2830</v>
      </c>
      <c r="E426" t="s">
        <v>2831</v>
      </c>
      <c r="F426" t="s">
        <v>107</v>
      </c>
      <c r="G426" t="s">
        <v>108</v>
      </c>
      <c r="H426" t="s">
        <v>2832</v>
      </c>
      <c r="I426" t="s">
        <v>47</v>
      </c>
      <c r="J426" t="s">
        <v>47</v>
      </c>
      <c r="K426" t="s">
        <v>48</v>
      </c>
      <c r="L426" t="s">
        <v>47</v>
      </c>
      <c r="M426" t="s">
        <v>47</v>
      </c>
      <c r="N426" s="1">
        <v>46076</v>
      </c>
      <c r="O426" s="1">
        <v>46076</v>
      </c>
      <c r="P426" t="s">
        <v>49</v>
      </c>
      <c r="Q426" t="s">
        <v>50</v>
      </c>
      <c r="R426">
        <v>2</v>
      </c>
      <c r="S426" t="b">
        <v>0</v>
      </c>
      <c r="T426" t="s">
        <v>47</v>
      </c>
      <c r="U426" t="s">
        <v>47</v>
      </c>
      <c r="V426" t="s">
        <v>47</v>
      </c>
      <c r="W426" t="s">
        <v>47</v>
      </c>
      <c r="X426" t="s">
        <v>51</v>
      </c>
      <c r="Y426" t="b">
        <v>0</v>
      </c>
      <c r="Z426" t="s">
        <v>47</v>
      </c>
      <c r="AA426" t="s">
        <v>47</v>
      </c>
      <c r="AC426" t="b">
        <v>1</v>
      </c>
      <c r="AD426" t="s">
        <v>52</v>
      </c>
      <c r="AE426" t="s">
        <v>2833</v>
      </c>
      <c r="AF426" t="s">
        <v>2830</v>
      </c>
      <c r="AG426" t="s">
        <v>2834</v>
      </c>
      <c r="AH426" t="s">
        <v>55</v>
      </c>
      <c r="AI426" s="2">
        <v>46160.25</v>
      </c>
      <c r="AJ426" t="s">
        <v>47</v>
      </c>
      <c r="AK426" t="s">
        <v>47</v>
      </c>
      <c r="AL426" s="2">
        <v>46160.479166666664</v>
      </c>
      <c r="AM426" s="2">
        <v>46160.479166666664</v>
      </c>
    </row>
    <row r="427" spans="1:39" x14ac:dyDescent="0.3">
      <c r="A427" t="s">
        <v>2835</v>
      </c>
      <c r="B427" t="s">
        <v>2836</v>
      </c>
      <c r="C427" t="s">
        <v>41</v>
      </c>
      <c r="D427" t="s">
        <v>2837</v>
      </c>
      <c r="E427" t="s">
        <v>2838</v>
      </c>
      <c r="F427" t="s">
        <v>83</v>
      </c>
      <c r="G427" t="s">
        <v>84</v>
      </c>
      <c r="H427" t="s">
        <v>85</v>
      </c>
      <c r="I427" t="s">
        <v>47</v>
      </c>
      <c r="J427" t="s">
        <v>47</v>
      </c>
      <c r="K427" t="s">
        <v>48</v>
      </c>
      <c r="L427" t="s">
        <v>47</v>
      </c>
      <c r="M427" s="1">
        <v>46076</v>
      </c>
      <c r="N427" s="1">
        <v>46076</v>
      </c>
      <c r="O427" s="1">
        <v>46076</v>
      </c>
      <c r="P427" t="s">
        <v>49</v>
      </c>
      <c r="Q427" t="s">
        <v>50</v>
      </c>
      <c r="R427">
        <v>2</v>
      </c>
      <c r="S427" t="b">
        <v>0</v>
      </c>
      <c r="T427" t="s">
        <v>47</v>
      </c>
      <c r="U427" t="s">
        <v>47</v>
      </c>
      <c r="V427" t="s">
        <v>47</v>
      </c>
      <c r="W427" t="s">
        <v>47</v>
      </c>
      <c r="X427" t="s">
        <v>51</v>
      </c>
      <c r="Y427" t="b">
        <v>0</v>
      </c>
      <c r="Z427" t="s">
        <v>47</v>
      </c>
      <c r="AA427" t="s">
        <v>47</v>
      </c>
      <c r="AB427" t="s">
        <v>47</v>
      </c>
      <c r="AC427" t="b">
        <v>1</v>
      </c>
      <c r="AD427" t="s">
        <v>52</v>
      </c>
      <c r="AE427" t="s">
        <v>2839</v>
      </c>
      <c r="AF427" t="s">
        <v>2837</v>
      </c>
      <c r="AG427" t="s">
        <v>47</v>
      </c>
      <c r="AH427" t="s">
        <v>87</v>
      </c>
      <c r="AI427" s="2">
        <v>46160.614004629628</v>
      </c>
      <c r="AJ427" t="s">
        <v>47</v>
      </c>
      <c r="AK427" t="s">
        <v>47</v>
      </c>
      <c r="AL427" s="2">
        <v>46160.614004629628</v>
      </c>
      <c r="AM427" s="2">
        <v>46160.614004629628</v>
      </c>
    </row>
    <row r="428" spans="1:39" x14ac:dyDescent="0.3">
      <c r="A428" t="s">
        <v>2840</v>
      </c>
      <c r="B428" t="s">
        <v>2841</v>
      </c>
      <c r="C428" t="s">
        <v>41</v>
      </c>
      <c r="D428" t="s">
        <v>2842</v>
      </c>
      <c r="E428" t="s">
        <v>2843</v>
      </c>
      <c r="F428" t="s">
        <v>2844</v>
      </c>
      <c r="G428" t="s">
        <v>2845</v>
      </c>
      <c r="H428" t="s">
        <v>2846</v>
      </c>
      <c r="I428" t="s">
        <v>47</v>
      </c>
      <c r="J428" t="s">
        <v>47</v>
      </c>
      <c r="K428" t="s">
        <v>2847</v>
      </c>
      <c r="L428" t="s">
        <v>47</v>
      </c>
      <c r="M428" t="s">
        <v>47</v>
      </c>
      <c r="N428" s="1">
        <v>46077</v>
      </c>
      <c r="O428" s="1">
        <v>46077</v>
      </c>
      <c r="P428" t="s">
        <v>183</v>
      </c>
      <c r="Q428" t="s">
        <v>237</v>
      </c>
      <c r="R428">
        <v>2</v>
      </c>
      <c r="S428" t="b">
        <v>1</v>
      </c>
      <c r="T428" t="s">
        <v>47</v>
      </c>
      <c r="U428" t="s">
        <v>47</v>
      </c>
      <c r="V428" t="s">
        <v>47</v>
      </c>
      <c r="W428" t="s">
        <v>47</v>
      </c>
      <c r="X428" t="s">
        <v>51</v>
      </c>
      <c r="Y428" t="b">
        <v>0</v>
      </c>
      <c r="Z428" t="s">
        <v>47</v>
      </c>
      <c r="AA428" t="s">
        <v>47</v>
      </c>
      <c r="AB428">
        <v>0.5</v>
      </c>
      <c r="AC428" t="b">
        <v>1</v>
      </c>
      <c r="AD428" t="s">
        <v>52</v>
      </c>
      <c r="AE428" t="s">
        <v>2848</v>
      </c>
      <c r="AF428" t="s">
        <v>2842</v>
      </c>
      <c r="AG428" t="s">
        <v>2849</v>
      </c>
      <c r="AH428" t="s">
        <v>55</v>
      </c>
      <c r="AI428" s="2">
        <v>46160.201388888891</v>
      </c>
      <c r="AJ428" t="s">
        <v>47</v>
      </c>
      <c r="AK428" t="s">
        <v>47</v>
      </c>
      <c r="AL428" s="2">
        <v>46160.430555555555</v>
      </c>
      <c r="AM428" s="2">
        <v>46160.430555555555</v>
      </c>
    </row>
    <row r="429" spans="1:39" x14ac:dyDescent="0.3">
      <c r="A429" t="s">
        <v>2850</v>
      </c>
      <c r="B429" t="s">
        <v>2851</v>
      </c>
      <c r="C429" t="s">
        <v>41</v>
      </c>
      <c r="D429" t="s">
        <v>2852</v>
      </c>
      <c r="E429" t="s">
        <v>2853</v>
      </c>
      <c r="F429" t="s">
        <v>2854</v>
      </c>
      <c r="G429" t="s">
        <v>2855</v>
      </c>
      <c r="H429" t="s">
        <v>2856</v>
      </c>
      <c r="I429" t="s">
        <v>47</v>
      </c>
      <c r="J429" t="s">
        <v>47</v>
      </c>
      <c r="K429" t="s">
        <v>2857</v>
      </c>
      <c r="L429" t="s">
        <v>47</v>
      </c>
      <c r="M429" t="s">
        <v>47</v>
      </c>
      <c r="N429" s="1">
        <v>46077</v>
      </c>
      <c r="O429" s="1">
        <v>46077</v>
      </c>
      <c r="P429" t="s">
        <v>183</v>
      </c>
      <c r="Q429" t="s">
        <v>50</v>
      </c>
      <c r="R429">
        <v>2</v>
      </c>
      <c r="S429" t="b">
        <v>0</v>
      </c>
      <c r="T429" t="s">
        <v>47</v>
      </c>
      <c r="U429" t="s">
        <v>47</v>
      </c>
      <c r="V429" t="s">
        <v>47</v>
      </c>
      <c r="W429" t="s">
        <v>47</v>
      </c>
      <c r="X429" t="s">
        <v>51</v>
      </c>
      <c r="Y429" t="b">
        <v>0</v>
      </c>
      <c r="Z429" t="s">
        <v>47</v>
      </c>
      <c r="AA429" t="s">
        <v>47</v>
      </c>
      <c r="AC429" t="b">
        <v>1</v>
      </c>
      <c r="AD429" t="s">
        <v>52</v>
      </c>
      <c r="AE429" t="s">
        <v>2858</v>
      </c>
      <c r="AF429" t="s">
        <v>2852</v>
      </c>
      <c r="AG429" t="s">
        <v>2859</v>
      </c>
      <c r="AH429" t="s">
        <v>55</v>
      </c>
      <c r="AI429" s="2">
        <v>46160.201388888891</v>
      </c>
      <c r="AJ429" t="s">
        <v>47</v>
      </c>
      <c r="AK429" t="s">
        <v>47</v>
      </c>
      <c r="AL429" s="2">
        <v>46160.430555555555</v>
      </c>
      <c r="AM429" s="2">
        <v>46160.430555555555</v>
      </c>
    </row>
    <row r="430" spans="1:39" x14ac:dyDescent="0.3">
      <c r="A430" t="s">
        <v>2860</v>
      </c>
      <c r="B430" t="s">
        <v>2861</v>
      </c>
      <c r="C430" t="s">
        <v>41</v>
      </c>
      <c r="D430" t="s">
        <v>2862</v>
      </c>
      <c r="E430" t="s">
        <v>2863</v>
      </c>
      <c r="F430" t="s">
        <v>2864</v>
      </c>
      <c r="G430" t="s">
        <v>2865</v>
      </c>
      <c r="H430" t="s">
        <v>2866</v>
      </c>
      <c r="I430" t="s">
        <v>47</v>
      </c>
      <c r="J430" t="s">
        <v>47</v>
      </c>
      <c r="K430" t="s">
        <v>47</v>
      </c>
      <c r="L430" t="s">
        <v>47</v>
      </c>
      <c r="M430" t="s">
        <v>47</v>
      </c>
      <c r="N430" s="1">
        <v>46077</v>
      </c>
      <c r="O430" s="1">
        <v>46077</v>
      </c>
      <c r="P430" t="s">
        <v>444</v>
      </c>
      <c r="Q430" t="s">
        <v>50</v>
      </c>
      <c r="R430">
        <v>2</v>
      </c>
      <c r="S430" t="b">
        <v>1</v>
      </c>
      <c r="T430" t="s">
        <v>47</v>
      </c>
      <c r="U430" t="s">
        <v>47</v>
      </c>
      <c r="V430" t="s">
        <v>47</v>
      </c>
      <c r="W430" t="s">
        <v>47</v>
      </c>
      <c r="X430" t="s">
        <v>51</v>
      </c>
      <c r="Y430" t="b">
        <v>0</v>
      </c>
      <c r="Z430" t="s">
        <v>47</v>
      </c>
      <c r="AA430" t="s">
        <v>47</v>
      </c>
      <c r="AB430">
        <v>0.55000000000000004</v>
      </c>
      <c r="AC430" t="b">
        <v>1</v>
      </c>
      <c r="AD430" t="s">
        <v>52</v>
      </c>
      <c r="AE430" t="s">
        <v>2867</v>
      </c>
      <c r="AF430" t="s">
        <v>2862</v>
      </c>
      <c r="AG430" t="s">
        <v>2868</v>
      </c>
      <c r="AH430" t="s">
        <v>55</v>
      </c>
      <c r="AI430" s="2">
        <v>46160.173611111109</v>
      </c>
      <c r="AJ430" t="s">
        <v>47</v>
      </c>
      <c r="AK430" t="s">
        <v>47</v>
      </c>
      <c r="AL430" s="2">
        <v>46160.402777777781</v>
      </c>
      <c r="AM430" s="2">
        <v>46160.402777777781</v>
      </c>
    </row>
    <row r="431" spans="1:39" x14ac:dyDescent="0.3">
      <c r="A431" t="s">
        <v>2869</v>
      </c>
      <c r="B431" t="s">
        <v>2870</v>
      </c>
      <c r="C431" t="s">
        <v>41</v>
      </c>
      <c r="D431" t="s">
        <v>2871</v>
      </c>
      <c r="E431" t="s">
        <v>2872</v>
      </c>
      <c r="F431" t="s">
        <v>83</v>
      </c>
      <c r="G431" t="s">
        <v>84</v>
      </c>
      <c r="H431" t="s">
        <v>85</v>
      </c>
      <c r="I431" t="s">
        <v>47</v>
      </c>
      <c r="J431" t="s">
        <v>47</v>
      </c>
      <c r="K431" t="s">
        <v>48</v>
      </c>
      <c r="L431" t="s">
        <v>47</v>
      </c>
      <c r="M431" s="1">
        <v>46077</v>
      </c>
      <c r="N431" s="1">
        <v>46077</v>
      </c>
      <c r="O431" s="1">
        <v>46077</v>
      </c>
      <c r="P431" t="s">
        <v>49</v>
      </c>
      <c r="Q431" t="s">
        <v>50</v>
      </c>
      <c r="R431">
        <v>2</v>
      </c>
      <c r="S431" t="b">
        <v>0</v>
      </c>
      <c r="T431" t="s">
        <v>47</v>
      </c>
      <c r="U431" t="s">
        <v>47</v>
      </c>
      <c r="V431" t="s">
        <v>47</v>
      </c>
      <c r="W431" t="s">
        <v>47</v>
      </c>
      <c r="X431" t="s">
        <v>51</v>
      </c>
      <c r="Y431" t="b">
        <v>0</v>
      </c>
      <c r="Z431" t="s">
        <v>47</v>
      </c>
      <c r="AA431" t="s">
        <v>47</v>
      </c>
      <c r="AB431" t="s">
        <v>47</v>
      </c>
      <c r="AC431" t="b">
        <v>1</v>
      </c>
      <c r="AD431" t="s">
        <v>52</v>
      </c>
      <c r="AE431" t="s">
        <v>2873</v>
      </c>
      <c r="AF431" t="s">
        <v>2871</v>
      </c>
      <c r="AG431" t="s">
        <v>47</v>
      </c>
      <c r="AH431" t="s">
        <v>87</v>
      </c>
      <c r="AI431" s="2">
        <v>46160.598310185182</v>
      </c>
      <c r="AJ431" t="s">
        <v>47</v>
      </c>
      <c r="AK431" t="s">
        <v>47</v>
      </c>
      <c r="AL431" s="2">
        <v>46160.598310185182</v>
      </c>
      <c r="AM431" s="2">
        <v>46160.598310185182</v>
      </c>
    </row>
    <row r="432" spans="1:39" x14ac:dyDescent="0.3">
      <c r="A432" t="s">
        <v>2874</v>
      </c>
      <c r="B432" t="s">
        <v>2875</v>
      </c>
      <c r="C432" t="s">
        <v>41</v>
      </c>
      <c r="D432" t="s">
        <v>2876</v>
      </c>
      <c r="E432" t="s">
        <v>2877</v>
      </c>
      <c r="F432" t="s">
        <v>107</v>
      </c>
      <c r="G432" t="s">
        <v>108</v>
      </c>
      <c r="H432" t="s">
        <v>109</v>
      </c>
      <c r="I432" t="s">
        <v>47</v>
      </c>
      <c r="J432" t="s">
        <v>47</v>
      </c>
      <c r="K432" t="s">
        <v>48</v>
      </c>
      <c r="L432" t="s">
        <v>47</v>
      </c>
      <c r="M432" t="s">
        <v>47</v>
      </c>
      <c r="N432" s="1">
        <v>46077</v>
      </c>
      <c r="O432" s="1">
        <v>46077</v>
      </c>
      <c r="P432" t="s">
        <v>49</v>
      </c>
      <c r="Q432" t="s">
        <v>50</v>
      </c>
      <c r="R432">
        <v>2</v>
      </c>
      <c r="S432" t="b">
        <v>0</v>
      </c>
      <c r="T432" t="s">
        <v>47</v>
      </c>
      <c r="U432" t="s">
        <v>47</v>
      </c>
      <c r="V432" t="s">
        <v>47</v>
      </c>
      <c r="W432" t="s">
        <v>47</v>
      </c>
      <c r="X432" t="s">
        <v>51</v>
      </c>
      <c r="Y432" t="b">
        <v>0</v>
      </c>
      <c r="Z432" t="s">
        <v>47</v>
      </c>
      <c r="AA432" t="s">
        <v>47</v>
      </c>
      <c r="AC432" t="b">
        <v>1</v>
      </c>
      <c r="AD432" t="s">
        <v>52</v>
      </c>
      <c r="AE432" t="s">
        <v>2878</v>
      </c>
      <c r="AF432" t="s">
        <v>2876</v>
      </c>
      <c r="AG432" t="s">
        <v>2879</v>
      </c>
      <c r="AH432" t="s">
        <v>55</v>
      </c>
      <c r="AI432" s="2">
        <v>46160.270833333336</v>
      </c>
      <c r="AJ432" t="s">
        <v>47</v>
      </c>
      <c r="AK432" t="s">
        <v>47</v>
      </c>
      <c r="AL432" s="2">
        <v>46160.5</v>
      </c>
      <c r="AM432" s="2">
        <v>46160.5</v>
      </c>
    </row>
    <row r="433" spans="1:39" x14ac:dyDescent="0.3">
      <c r="A433" t="s">
        <v>2880</v>
      </c>
      <c r="B433" t="s">
        <v>2881</v>
      </c>
      <c r="C433" t="s">
        <v>41</v>
      </c>
      <c r="D433" t="s">
        <v>2882</v>
      </c>
      <c r="E433" t="s">
        <v>2883</v>
      </c>
      <c r="F433" t="s">
        <v>172</v>
      </c>
      <c r="G433" t="s">
        <v>173</v>
      </c>
      <c r="H433" t="s">
        <v>2884</v>
      </c>
      <c r="I433" t="s">
        <v>47</v>
      </c>
      <c r="J433" t="s">
        <v>47</v>
      </c>
      <c r="K433" t="s">
        <v>130</v>
      </c>
      <c r="L433" t="s">
        <v>47</v>
      </c>
      <c r="M433" s="1">
        <v>46077</v>
      </c>
      <c r="N433" s="1">
        <v>46077</v>
      </c>
      <c r="O433" s="1">
        <v>46077</v>
      </c>
      <c r="P433" t="s">
        <v>49</v>
      </c>
      <c r="Q433" t="s">
        <v>50</v>
      </c>
      <c r="R433">
        <v>3</v>
      </c>
      <c r="S433" t="b">
        <v>1</v>
      </c>
      <c r="T433" t="s">
        <v>47</v>
      </c>
      <c r="U433" t="s">
        <v>47</v>
      </c>
      <c r="V433" t="s">
        <v>47</v>
      </c>
      <c r="W433" t="s">
        <v>47</v>
      </c>
      <c r="X433" t="s">
        <v>51</v>
      </c>
      <c r="Y433" t="b">
        <v>0</v>
      </c>
      <c r="Z433" t="s">
        <v>47</v>
      </c>
      <c r="AA433" t="s">
        <v>47</v>
      </c>
      <c r="AB433" t="s">
        <v>47</v>
      </c>
      <c r="AC433" t="b">
        <v>1</v>
      </c>
      <c r="AD433" t="s">
        <v>52</v>
      </c>
      <c r="AE433" t="s">
        <v>2885</v>
      </c>
      <c r="AF433" t="s">
        <v>2882</v>
      </c>
      <c r="AG433" t="s">
        <v>47</v>
      </c>
      <c r="AH433" t="s">
        <v>87</v>
      </c>
      <c r="AI433" s="2">
        <v>46160.598310185182</v>
      </c>
      <c r="AJ433" t="s">
        <v>47</v>
      </c>
      <c r="AK433" t="s">
        <v>47</v>
      </c>
      <c r="AL433" s="2">
        <v>46160.598310185182</v>
      </c>
      <c r="AM433" s="2">
        <v>46160.598310185182</v>
      </c>
    </row>
    <row r="434" spans="1:39" x14ac:dyDescent="0.3">
      <c r="A434" t="s">
        <v>2886</v>
      </c>
      <c r="B434" t="s">
        <v>2887</v>
      </c>
      <c r="C434" t="s">
        <v>41</v>
      </c>
      <c r="D434" t="s">
        <v>2888</v>
      </c>
      <c r="E434" t="s">
        <v>2889</v>
      </c>
      <c r="F434" t="s">
        <v>83</v>
      </c>
      <c r="G434" t="s">
        <v>84</v>
      </c>
      <c r="H434" t="s">
        <v>85</v>
      </c>
      <c r="I434" t="s">
        <v>47</v>
      </c>
      <c r="J434" t="s">
        <v>47</v>
      </c>
      <c r="K434" t="s">
        <v>48</v>
      </c>
      <c r="L434" t="s">
        <v>47</v>
      </c>
      <c r="M434" s="1">
        <v>46077</v>
      </c>
      <c r="N434" s="1">
        <v>46077</v>
      </c>
      <c r="O434" s="1">
        <v>46077</v>
      </c>
      <c r="P434" t="s">
        <v>49</v>
      </c>
      <c r="Q434" t="s">
        <v>50</v>
      </c>
      <c r="R434">
        <v>2</v>
      </c>
      <c r="S434" t="b">
        <v>0</v>
      </c>
      <c r="T434" t="s">
        <v>47</v>
      </c>
      <c r="U434" t="s">
        <v>47</v>
      </c>
      <c r="V434" t="s">
        <v>47</v>
      </c>
      <c r="W434" t="s">
        <v>47</v>
      </c>
      <c r="X434" t="s">
        <v>51</v>
      </c>
      <c r="Y434" t="b">
        <v>0</v>
      </c>
      <c r="Z434" t="s">
        <v>47</v>
      </c>
      <c r="AA434" t="s">
        <v>47</v>
      </c>
      <c r="AB434" t="s">
        <v>47</v>
      </c>
      <c r="AC434" t="b">
        <v>1</v>
      </c>
      <c r="AD434" t="s">
        <v>52</v>
      </c>
      <c r="AE434" t="s">
        <v>2890</v>
      </c>
      <c r="AF434" t="s">
        <v>2888</v>
      </c>
      <c r="AG434" t="s">
        <v>47</v>
      </c>
      <c r="AH434" t="s">
        <v>87</v>
      </c>
      <c r="AI434" s="2">
        <v>46160.581724537034</v>
      </c>
      <c r="AJ434" t="s">
        <v>47</v>
      </c>
      <c r="AK434" t="s">
        <v>47</v>
      </c>
      <c r="AL434" s="2">
        <v>46160.581724537034</v>
      </c>
      <c r="AM434" s="2">
        <v>46160.581724537034</v>
      </c>
    </row>
    <row r="435" spans="1:39" x14ac:dyDescent="0.3">
      <c r="A435" t="s">
        <v>2891</v>
      </c>
      <c r="B435" t="s">
        <v>2892</v>
      </c>
      <c r="C435" t="s">
        <v>41</v>
      </c>
      <c r="D435" t="s">
        <v>2893</v>
      </c>
      <c r="E435" t="s">
        <v>2894</v>
      </c>
      <c r="F435" t="s">
        <v>107</v>
      </c>
      <c r="G435" t="s">
        <v>108</v>
      </c>
      <c r="H435" t="s">
        <v>2895</v>
      </c>
      <c r="I435" t="s">
        <v>47</v>
      </c>
      <c r="J435" t="s">
        <v>47</v>
      </c>
      <c r="K435" t="s">
        <v>48</v>
      </c>
      <c r="L435" t="s">
        <v>47</v>
      </c>
      <c r="M435" t="s">
        <v>47</v>
      </c>
      <c r="N435" s="1">
        <v>46077</v>
      </c>
      <c r="O435" s="1">
        <v>46077</v>
      </c>
      <c r="P435" t="s">
        <v>49</v>
      </c>
      <c r="Q435" t="s">
        <v>50</v>
      </c>
      <c r="R435">
        <v>2</v>
      </c>
      <c r="S435" t="b">
        <v>0</v>
      </c>
      <c r="T435" t="s">
        <v>47</v>
      </c>
      <c r="U435" t="s">
        <v>47</v>
      </c>
      <c r="V435" t="s">
        <v>47</v>
      </c>
      <c r="W435" t="s">
        <v>47</v>
      </c>
      <c r="X435" t="s">
        <v>51</v>
      </c>
      <c r="Y435" t="b">
        <v>0</v>
      </c>
      <c r="Z435" t="s">
        <v>47</v>
      </c>
      <c r="AA435" t="s">
        <v>47</v>
      </c>
      <c r="AC435" t="b">
        <v>1</v>
      </c>
      <c r="AD435" t="s">
        <v>52</v>
      </c>
      <c r="AE435" t="s">
        <v>2896</v>
      </c>
      <c r="AF435" t="s">
        <v>2893</v>
      </c>
      <c r="AG435" t="s">
        <v>2897</v>
      </c>
      <c r="AH435" t="s">
        <v>55</v>
      </c>
      <c r="AI435" s="2">
        <v>46160.270833333336</v>
      </c>
      <c r="AJ435" t="s">
        <v>47</v>
      </c>
      <c r="AK435" t="s">
        <v>47</v>
      </c>
      <c r="AL435" s="2">
        <v>46160.5</v>
      </c>
      <c r="AM435" s="2">
        <v>46160.5</v>
      </c>
    </row>
    <row r="436" spans="1:39" x14ac:dyDescent="0.3">
      <c r="A436" t="s">
        <v>2898</v>
      </c>
      <c r="B436" t="s">
        <v>2899</v>
      </c>
      <c r="C436" t="s">
        <v>41</v>
      </c>
      <c r="D436" t="s">
        <v>2900</v>
      </c>
      <c r="E436" t="s">
        <v>2901</v>
      </c>
      <c r="F436" t="s">
        <v>83</v>
      </c>
      <c r="G436" t="s">
        <v>84</v>
      </c>
      <c r="H436" t="s">
        <v>85</v>
      </c>
      <c r="I436" t="s">
        <v>47</v>
      </c>
      <c r="J436" t="s">
        <v>47</v>
      </c>
      <c r="K436" t="s">
        <v>48</v>
      </c>
      <c r="L436" t="s">
        <v>47</v>
      </c>
      <c r="M436" s="1">
        <v>46077</v>
      </c>
      <c r="N436" s="1">
        <v>46077</v>
      </c>
      <c r="O436" s="1">
        <v>46077</v>
      </c>
      <c r="P436" t="s">
        <v>49</v>
      </c>
      <c r="Q436" t="s">
        <v>50</v>
      </c>
      <c r="R436">
        <v>2</v>
      </c>
      <c r="S436" t="b">
        <v>0</v>
      </c>
      <c r="T436" t="s">
        <v>47</v>
      </c>
      <c r="U436" t="s">
        <v>47</v>
      </c>
      <c r="V436" t="s">
        <v>47</v>
      </c>
      <c r="W436" t="s">
        <v>47</v>
      </c>
      <c r="X436" t="s">
        <v>51</v>
      </c>
      <c r="Y436" t="b">
        <v>0</v>
      </c>
      <c r="Z436" t="s">
        <v>47</v>
      </c>
      <c r="AA436" t="s">
        <v>47</v>
      </c>
      <c r="AB436" t="s">
        <v>47</v>
      </c>
      <c r="AC436" t="b">
        <v>1</v>
      </c>
      <c r="AD436" t="s">
        <v>52</v>
      </c>
      <c r="AE436" t="s">
        <v>2902</v>
      </c>
      <c r="AF436" t="s">
        <v>2900</v>
      </c>
      <c r="AG436" t="s">
        <v>47</v>
      </c>
      <c r="AH436" t="s">
        <v>87</v>
      </c>
      <c r="AI436" s="2">
        <v>46160.614004629628</v>
      </c>
      <c r="AJ436" t="s">
        <v>47</v>
      </c>
      <c r="AK436" t="s">
        <v>47</v>
      </c>
      <c r="AL436" s="2">
        <v>46160.614004629628</v>
      </c>
      <c r="AM436" s="2">
        <v>46160.614004629628</v>
      </c>
    </row>
    <row r="437" spans="1:39" x14ac:dyDescent="0.3">
      <c r="A437" t="s">
        <v>2903</v>
      </c>
      <c r="B437" t="s">
        <v>2904</v>
      </c>
      <c r="C437" t="s">
        <v>41</v>
      </c>
      <c r="D437" t="s">
        <v>2905</v>
      </c>
      <c r="E437" t="s">
        <v>2906</v>
      </c>
      <c r="F437" t="s">
        <v>322</v>
      </c>
      <c r="G437" t="s">
        <v>323</v>
      </c>
      <c r="H437" t="s">
        <v>379</v>
      </c>
      <c r="I437" t="s">
        <v>47</v>
      </c>
      <c r="J437" t="s">
        <v>47</v>
      </c>
      <c r="K437" t="s">
        <v>253</v>
      </c>
      <c r="L437" t="s">
        <v>47</v>
      </c>
      <c r="M437" t="s">
        <v>47</v>
      </c>
      <c r="N437" s="1">
        <v>46079</v>
      </c>
      <c r="O437" s="1">
        <v>46079</v>
      </c>
      <c r="P437" t="s">
        <v>254</v>
      </c>
      <c r="Q437" t="s">
        <v>50</v>
      </c>
      <c r="R437">
        <v>1</v>
      </c>
      <c r="S437" t="b">
        <v>0</v>
      </c>
      <c r="T437" t="s">
        <v>47</v>
      </c>
      <c r="U437" t="s">
        <v>47</v>
      </c>
      <c r="V437" t="s">
        <v>47</v>
      </c>
      <c r="W437" t="s">
        <v>47</v>
      </c>
      <c r="X437" t="s">
        <v>51</v>
      </c>
      <c r="Y437" t="b">
        <v>0</v>
      </c>
      <c r="Z437" t="s">
        <v>47</v>
      </c>
      <c r="AA437" t="s">
        <v>47</v>
      </c>
      <c r="AC437" t="b">
        <v>1</v>
      </c>
      <c r="AD437" t="s">
        <v>52</v>
      </c>
      <c r="AE437" t="s">
        <v>2907</v>
      </c>
      <c r="AF437" t="s">
        <v>2905</v>
      </c>
      <c r="AG437" t="s">
        <v>2908</v>
      </c>
      <c r="AH437" t="s">
        <v>55</v>
      </c>
      <c r="AI437" s="2">
        <v>46160.173611111109</v>
      </c>
      <c r="AJ437" t="s">
        <v>47</v>
      </c>
      <c r="AK437" t="s">
        <v>47</v>
      </c>
      <c r="AL437" s="2">
        <v>46160.402777777781</v>
      </c>
      <c r="AM437" s="2">
        <v>46160.402777777781</v>
      </c>
    </row>
    <row r="438" spans="1:39" x14ac:dyDescent="0.3">
      <c r="A438" t="s">
        <v>2909</v>
      </c>
      <c r="B438" t="s">
        <v>2910</v>
      </c>
      <c r="C438" t="s">
        <v>41</v>
      </c>
      <c r="D438" t="s">
        <v>2911</v>
      </c>
      <c r="E438" t="s">
        <v>2912</v>
      </c>
      <c r="F438" t="s">
        <v>322</v>
      </c>
      <c r="G438" t="s">
        <v>323</v>
      </c>
      <c r="H438" t="s">
        <v>379</v>
      </c>
      <c r="I438" t="s">
        <v>47</v>
      </c>
      <c r="J438" t="s">
        <v>47</v>
      </c>
      <c r="K438" t="s">
        <v>253</v>
      </c>
      <c r="L438" t="s">
        <v>47</v>
      </c>
      <c r="M438" t="s">
        <v>47</v>
      </c>
      <c r="N438" s="1">
        <v>46079</v>
      </c>
      <c r="O438" s="1">
        <v>46079</v>
      </c>
      <c r="P438" t="s">
        <v>254</v>
      </c>
      <c r="Q438" t="s">
        <v>50</v>
      </c>
      <c r="R438">
        <v>1</v>
      </c>
      <c r="S438" t="b">
        <v>0</v>
      </c>
      <c r="T438" t="s">
        <v>47</v>
      </c>
      <c r="U438" t="s">
        <v>47</v>
      </c>
      <c r="V438" t="s">
        <v>47</v>
      </c>
      <c r="W438" t="s">
        <v>47</v>
      </c>
      <c r="X438" t="s">
        <v>51</v>
      </c>
      <c r="Y438" t="b">
        <v>0</v>
      </c>
      <c r="Z438" t="s">
        <v>47</v>
      </c>
      <c r="AA438" t="s">
        <v>47</v>
      </c>
      <c r="AC438" t="b">
        <v>1</v>
      </c>
      <c r="AD438" t="s">
        <v>52</v>
      </c>
      <c r="AE438" t="s">
        <v>2913</v>
      </c>
      <c r="AF438" t="s">
        <v>2911</v>
      </c>
      <c r="AG438" t="s">
        <v>2914</v>
      </c>
      <c r="AH438" t="s">
        <v>55</v>
      </c>
      <c r="AI438" s="2">
        <v>46160.173611111109</v>
      </c>
      <c r="AJ438" t="s">
        <v>47</v>
      </c>
      <c r="AK438" t="s">
        <v>47</v>
      </c>
      <c r="AL438" s="2">
        <v>46160.402777777781</v>
      </c>
      <c r="AM438" s="2">
        <v>46160.402777777781</v>
      </c>
    </row>
    <row r="439" spans="1:39" x14ac:dyDescent="0.3">
      <c r="A439" t="s">
        <v>2915</v>
      </c>
      <c r="B439" t="s">
        <v>2916</v>
      </c>
      <c r="C439" t="s">
        <v>41</v>
      </c>
      <c r="D439" t="s">
        <v>2917</v>
      </c>
      <c r="E439" t="s">
        <v>2918</v>
      </c>
      <c r="F439" t="s">
        <v>322</v>
      </c>
      <c r="G439" t="s">
        <v>323</v>
      </c>
      <c r="H439" t="s">
        <v>779</v>
      </c>
      <c r="I439" t="s">
        <v>47</v>
      </c>
      <c r="J439" t="s">
        <v>47</v>
      </c>
      <c r="K439" t="s">
        <v>253</v>
      </c>
      <c r="L439" t="s">
        <v>47</v>
      </c>
      <c r="M439" t="s">
        <v>47</v>
      </c>
      <c r="N439" s="1">
        <v>46079</v>
      </c>
      <c r="O439" s="1">
        <v>46079</v>
      </c>
      <c r="P439" t="s">
        <v>254</v>
      </c>
      <c r="Q439" t="s">
        <v>50</v>
      </c>
      <c r="R439">
        <v>1</v>
      </c>
      <c r="S439" t="b">
        <v>0</v>
      </c>
      <c r="T439" t="s">
        <v>47</v>
      </c>
      <c r="U439" t="s">
        <v>47</v>
      </c>
      <c r="V439" t="s">
        <v>47</v>
      </c>
      <c r="W439" t="s">
        <v>47</v>
      </c>
      <c r="X439" t="s">
        <v>51</v>
      </c>
      <c r="Y439" t="b">
        <v>0</v>
      </c>
      <c r="Z439" t="s">
        <v>47</v>
      </c>
      <c r="AA439" t="s">
        <v>47</v>
      </c>
      <c r="AC439" t="b">
        <v>1</v>
      </c>
      <c r="AD439" t="s">
        <v>52</v>
      </c>
      <c r="AE439" t="s">
        <v>2919</v>
      </c>
      <c r="AF439" t="s">
        <v>2917</v>
      </c>
      <c r="AG439" t="s">
        <v>2920</v>
      </c>
      <c r="AH439" t="s">
        <v>55</v>
      </c>
      <c r="AI439" s="2">
        <v>46160.201388888891</v>
      </c>
      <c r="AJ439" t="s">
        <v>47</v>
      </c>
      <c r="AK439" t="s">
        <v>47</v>
      </c>
      <c r="AL439" s="2">
        <v>46160.430555555555</v>
      </c>
      <c r="AM439" s="2">
        <v>46160.430555555555</v>
      </c>
    </row>
    <row r="440" spans="1:39" x14ac:dyDescent="0.3">
      <c r="A440" t="s">
        <v>2921</v>
      </c>
      <c r="B440" t="s">
        <v>2922</v>
      </c>
      <c r="C440" t="s">
        <v>41</v>
      </c>
      <c r="D440" t="s">
        <v>2923</v>
      </c>
      <c r="E440" t="s">
        <v>2924</v>
      </c>
      <c r="F440" t="s">
        <v>322</v>
      </c>
      <c r="G440" t="s">
        <v>323</v>
      </c>
      <c r="H440" t="s">
        <v>379</v>
      </c>
      <c r="I440" t="s">
        <v>47</v>
      </c>
      <c r="J440" t="s">
        <v>47</v>
      </c>
      <c r="K440" t="s">
        <v>253</v>
      </c>
      <c r="L440" t="s">
        <v>47</v>
      </c>
      <c r="M440" t="s">
        <v>47</v>
      </c>
      <c r="N440" s="1">
        <v>46079</v>
      </c>
      <c r="O440" s="1">
        <v>46079</v>
      </c>
      <c r="P440" t="s">
        <v>254</v>
      </c>
      <c r="Q440" t="s">
        <v>50</v>
      </c>
      <c r="R440">
        <v>1</v>
      </c>
      <c r="S440" t="b">
        <v>0</v>
      </c>
      <c r="T440" t="s">
        <v>47</v>
      </c>
      <c r="U440" t="s">
        <v>47</v>
      </c>
      <c r="V440" t="s">
        <v>47</v>
      </c>
      <c r="W440" t="s">
        <v>47</v>
      </c>
      <c r="X440" t="s">
        <v>51</v>
      </c>
      <c r="Y440" t="b">
        <v>0</v>
      </c>
      <c r="Z440" t="s">
        <v>47</v>
      </c>
      <c r="AA440" t="s">
        <v>47</v>
      </c>
      <c r="AC440" t="b">
        <v>1</v>
      </c>
      <c r="AD440" t="s">
        <v>52</v>
      </c>
      <c r="AE440" t="s">
        <v>2925</v>
      </c>
      <c r="AF440" t="s">
        <v>2923</v>
      </c>
      <c r="AG440" t="s">
        <v>2926</v>
      </c>
      <c r="AH440" t="s">
        <v>55</v>
      </c>
      <c r="AI440" s="2">
        <v>46160.173611111109</v>
      </c>
      <c r="AJ440" t="s">
        <v>47</v>
      </c>
      <c r="AK440" t="s">
        <v>47</v>
      </c>
      <c r="AL440" s="2">
        <v>46160.402777777781</v>
      </c>
      <c r="AM440" s="2">
        <v>46160.402777777781</v>
      </c>
    </row>
    <row r="441" spans="1:39" x14ac:dyDescent="0.3">
      <c r="A441" t="s">
        <v>2927</v>
      </c>
      <c r="B441" t="s">
        <v>2928</v>
      </c>
      <c r="C441" t="s">
        <v>41</v>
      </c>
      <c r="D441" t="s">
        <v>2929</v>
      </c>
      <c r="E441" t="s">
        <v>2930</v>
      </c>
      <c r="F441" t="s">
        <v>2931</v>
      </c>
      <c r="G441" t="s">
        <v>2932</v>
      </c>
      <c r="H441" t="s">
        <v>2933</v>
      </c>
      <c r="I441" t="s">
        <v>47</v>
      </c>
      <c r="J441" t="s">
        <v>47</v>
      </c>
      <c r="K441" t="s">
        <v>1660</v>
      </c>
      <c r="L441" t="s">
        <v>47</v>
      </c>
      <c r="M441" t="s">
        <v>47</v>
      </c>
      <c r="N441" s="1">
        <v>46078</v>
      </c>
      <c r="O441" s="1">
        <v>46078</v>
      </c>
      <c r="P441" t="s">
        <v>1661</v>
      </c>
      <c r="Q441" t="s">
        <v>371</v>
      </c>
      <c r="R441">
        <v>3</v>
      </c>
      <c r="S441" t="b">
        <v>1</v>
      </c>
      <c r="T441" t="s">
        <v>47</v>
      </c>
      <c r="U441" t="s">
        <v>47</v>
      </c>
      <c r="V441" t="s">
        <v>47</v>
      </c>
      <c r="W441" t="s">
        <v>47</v>
      </c>
      <c r="X441" t="s">
        <v>51</v>
      </c>
      <c r="Y441" t="b">
        <v>0</v>
      </c>
      <c r="Z441" t="s">
        <v>47</v>
      </c>
      <c r="AA441" t="s">
        <v>47</v>
      </c>
      <c r="AB441">
        <v>0.6</v>
      </c>
      <c r="AC441" t="b">
        <v>1</v>
      </c>
      <c r="AD441" t="s">
        <v>52</v>
      </c>
      <c r="AE441" t="s">
        <v>2934</v>
      </c>
      <c r="AF441" t="s">
        <v>2929</v>
      </c>
      <c r="AG441" t="s">
        <v>2935</v>
      </c>
      <c r="AH441" t="s">
        <v>55</v>
      </c>
      <c r="AI441" s="2">
        <v>46160.229166666664</v>
      </c>
      <c r="AJ441" t="s">
        <v>47</v>
      </c>
      <c r="AK441" t="s">
        <v>47</v>
      </c>
      <c r="AL441" s="2">
        <v>46160.458333333336</v>
      </c>
      <c r="AM441" s="2">
        <v>46160.458333333336</v>
      </c>
    </row>
    <row r="442" spans="1:39" x14ac:dyDescent="0.3">
      <c r="A442" t="s">
        <v>2936</v>
      </c>
      <c r="B442" t="s">
        <v>2937</v>
      </c>
      <c r="C442" t="s">
        <v>41</v>
      </c>
      <c r="D442" t="s">
        <v>2938</v>
      </c>
      <c r="E442" t="s">
        <v>2939</v>
      </c>
      <c r="F442" t="s">
        <v>2940</v>
      </c>
      <c r="G442" t="s">
        <v>2941</v>
      </c>
      <c r="H442" t="s">
        <v>2942</v>
      </c>
      <c r="I442" t="s">
        <v>47</v>
      </c>
      <c r="J442" t="s">
        <v>47</v>
      </c>
      <c r="K442" t="s">
        <v>1677</v>
      </c>
      <c r="L442" t="s">
        <v>47</v>
      </c>
      <c r="M442" s="1">
        <v>46078</v>
      </c>
      <c r="N442" s="1">
        <v>46078</v>
      </c>
      <c r="O442" s="1">
        <v>46078</v>
      </c>
      <c r="P442" t="s">
        <v>1678</v>
      </c>
      <c r="Q442" t="s">
        <v>50</v>
      </c>
      <c r="R442">
        <v>1</v>
      </c>
      <c r="S442" t="b">
        <v>0</v>
      </c>
      <c r="T442" t="s">
        <v>47</v>
      </c>
      <c r="U442" t="s">
        <v>47</v>
      </c>
      <c r="V442" t="s">
        <v>47</v>
      </c>
      <c r="W442" t="s">
        <v>47</v>
      </c>
      <c r="X442" t="s">
        <v>51</v>
      </c>
      <c r="Y442" t="b">
        <v>0</v>
      </c>
      <c r="Z442" t="s">
        <v>47</v>
      </c>
      <c r="AA442" t="s">
        <v>47</v>
      </c>
      <c r="AB442" t="s">
        <v>47</v>
      </c>
      <c r="AC442" t="b">
        <v>1</v>
      </c>
      <c r="AD442" t="s">
        <v>52</v>
      </c>
      <c r="AE442" t="s">
        <v>2943</v>
      </c>
      <c r="AF442" t="s">
        <v>2938</v>
      </c>
      <c r="AG442" t="s">
        <v>47</v>
      </c>
      <c r="AH442" t="s">
        <v>87</v>
      </c>
      <c r="AI442" s="2">
        <v>46160.565381944441</v>
      </c>
      <c r="AJ442" t="s">
        <v>47</v>
      </c>
      <c r="AK442" t="s">
        <v>47</v>
      </c>
      <c r="AL442" s="2">
        <v>46160.565381944441</v>
      </c>
      <c r="AM442" s="2">
        <v>46160.565381944441</v>
      </c>
    </row>
    <row r="443" spans="1:39" x14ac:dyDescent="0.3">
      <c r="A443" t="s">
        <v>2944</v>
      </c>
      <c r="B443" t="s">
        <v>2945</v>
      </c>
      <c r="C443" t="s">
        <v>41</v>
      </c>
      <c r="D443" t="s">
        <v>2946</v>
      </c>
      <c r="E443" t="s">
        <v>2947</v>
      </c>
      <c r="F443" t="s">
        <v>107</v>
      </c>
      <c r="G443" t="s">
        <v>108</v>
      </c>
      <c r="H443" t="s">
        <v>109</v>
      </c>
      <c r="I443" t="s">
        <v>47</v>
      </c>
      <c r="J443" t="s">
        <v>47</v>
      </c>
      <c r="K443" t="s">
        <v>48</v>
      </c>
      <c r="L443" t="s">
        <v>47</v>
      </c>
      <c r="M443" t="s">
        <v>47</v>
      </c>
      <c r="N443" s="1">
        <v>46079</v>
      </c>
      <c r="O443" s="1">
        <v>46079</v>
      </c>
      <c r="P443" t="s">
        <v>49</v>
      </c>
      <c r="Q443" t="s">
        <v>50</v>
      </c>
      <c r="R443">
        <v>2</v>
      </c>
      <c r="S443" t="b">
        <v>0</v>
      </c>
      <c r="T443" t="s">
        <v>47</v>
      </c>
      <c r="U443" t="s">
        <v>47</v>
      </c>
      <c r="V443" t="s">
        <v>47</v>
      </c>
      <c r="W443" t="s">
        <v>47</v>
      </c>
      <c r="X443" t="s">
        <v>51</v>
      </c>
      <c r="Y443" t="b">
        <v>0</v>
      </c>
      <c r="Z443" t="s">
        <v>47</v>
      </c>
      <c r="AA443" t="s">
        <v>47</v>
      </c>
      <c r="AC443" t="b">
        <v>1</v>
      </c>
      <c r="AD443" t="s">
        <v>52</v>
      </c>
      <c r="AE443" t="s">
        <v>2948</v>
      </c>
      <c r="AF443" t="s">
        <v>2946</v>
      </c>
      <c r="AG443" t="s">
        <v>2949</v>
      </c>
      <c r="AH443" t="s">
        <v>55</v>
      </c>
      <c r="AI443" s="2">
        <v>46160.229166666664</v>
      </c>
      <c r="AJ443" t="s">
        <v>47</v>
      </c>
      <c r="AK443" t="s">
        <v>47</v>
      </c>
      <c r="AL443" s="2">
        <v>46160.458333333336</v>
      </c>
      <c r="AM443" s="2">
        <v>46160.458333333336</v>
      </c>
    </row>
    <row r="444" spans="1:39" x14ac:dyDescent="0.3">
      <c r="A444" t="s">
        <v>2950</v>
      </c>
      <c r="B444" t="s">
        <v>2951</v>
      </c>
      <c r="C444" t="s">
        <v>41</v>
      </c>
      <c r="D444" t="s">
        <v>2952</v>
      </c>
      <c r="E444" t="s">
        <v>2953</v>
      </c>
      <c r="F444" t="s">
        <v>107</v>
      </c>
      <c r="G444" t="s">
        <v>108</v>
      </c>
      <c r="H444" t="s">
        <v>109</v>
      </c>
      <c r="I444" t="s">
        <v>47</v>
      </c>
      <c r="J444" t="s">
        <v>47</v>
      </c>
      <c r="K444" t="s">
        <v>48</v>
      </c>
      <c r="L444" t="s">
        <v>47</v>
      </c>
      <c r="M444" t="s">
        <v>47</v>
      </c>
      <c r="N444" s="1">
        <v>46079</v>
      </c>
      <c r="O444" s="1">
        <v>46079</v>
      </c>
      <c r="P444" t="s">
        <v>49</v>
      </c>
      <c r="Q444" t="s">
        <v>50</v>
      </c>
      <c r="R444">
        <v>2</v>
      </c>
      <c r="S444" t="b">
        <v>0</v>
      </c>
      <c r="T444" t="s">
        <v>47</v>
      </c>
      <c r="U444" t="s">
        <v>47</v>
      </c>
      <c r="V444" t="s">
        <v>47</v>
      </c>
      <c r="W444" t="s">
        <v>47</v>
      </c>
      <c r="X444" t="s">
        <v>51</v>
      </c>
      <c r="Y444" t="b">
        <v>0</v>
      </c>
      <c r="Z444" t="s">
        <v>47</v>
      </c>
      <c r="AA444" t="s">
        <v>47</v>
      </c>
      <c r="AC444" t="b">
        <v>1</v>
      </c>
      <c r="AD444" t="s">
        <v>52</v>
      </c>
      <c r="AE444" t="s">
        <v>2954</v>
      </c>
      <c r="AF444" t="s">
        <v>2952</v>
      </c>
      <c r="AG444" t="s">
        <v>2955</v>
      </c>
      <c r="AH444" t="s">
        <v>55</v>
      </c>
      <c r="AI444" s="2">
        <v>46160.25</v>
      </c>
      <c r="AJ444" t="s">
        <v>47</v>
      </c>
      <c r="AK444" t="s">
        <v>47</v>
      </c>
      <c r="AL444" s="2">
        <v>46160.479166666664</v>
      </c>
      <c r="AM444" s="2">
        <v>46160.479166666664</v>
      </c>
    </row>
    <row r="445" spans="1:39" x14ac:dyDescent="0.3">
      <c r="A445" t="s">
        <v>2956</v>
      </c>
      <c r="B445" t="s">
        <v>2957</v>
      </c>
      <c r="C445" t="s">
        <v>41</v>
      </c>
      <c r="D445" t="s">
        <v>2958</v>
      </c>
      <c r="E445" t="s">
        <v>2959</v>
      </c>
      <c r="F445" t="s">
        <v>1406</v>
      </c>
      <c r="G445" t="s">
        <v>441</v>
      </c>
      <c r="H445" t="s">
        <v>1407</v>
      </c>
      <c r="I445" t="s">
        <v>47</v>
      </c>
      <c r="J445" t="s">
        <v>47</v>
      </c>
      <c r="K445" t="s">
        <v>1408</v>
      </c>
      <c r="L445" t="s">
        <v>47</v>
      </c>
      <c r="M445" t="s">
        <v>47</v>
      </c>
      <c r="N445" s="1">
        <v>46079</v>
      </c>
      <c r="O445" s="1">
        <v>46079</v>
      </c>
      <c r="P445" t="s">
        <v>444</v>
      </c>
      <c r="Q445" t="s">
        <v>50</v>
      </c>
      <c r="R445">
        <v>2</v>
      </c>
      <c r="S445" t="b">
        <v>1</v>
      </c>
      <c r="T445" t="s">
        <v>47</v>
      </c>
      <c r="U445" t="s">
        <v>47</v>
      </c>
      <c r="V445" t="s">
        <v>47</v>
      </c>
      <c r="W445" t="s">
        <v>47</v>
      </c>
      <c r="X445" t="s">
        <v>51</v>
      </c>
      <c r="Y445" t="b">
        <v>0</v>
      </c>
      <c r="Z445" t="s">
        <v>47</v>
      </c>
      <c r="AA445" t="s">
        <v>47</v>
      </c>
      <c r="AB445">
        <v>0.7</v>
      </c>
      <c r="AC445" t="b">
        <v>1</v>
      </c>
      <c r="AD445" t="s">
        <v>52</v>
      </c>
      <c r="AE445" t="s">
        <v>2960</v>
      </c>
      <c r="AF445" t="s">
        <v>2958</v>
      </c>
      <c r="AG445" t="s">
        <v>2961</v>
      </c>
      <c r="AH445" t="s">
        <v>55</v>
      </c>
      <c r="AI445" s="2">
        <v>46160.173611111109</v>
      </c>
      <c r="AJ445" t="s">
        <v>47</v>
      </c>
      <c r="AK445" t="s">
        <v>47</v>
      </c>
      <c r="AL445" s="2">
        <v>46160.402777777781</v>
      </c>
      <c r="AM445" s="2">
        <v>46160.402777777781</v>
      </c>
    </row>
    <row r="446" spans="1:39" x14ac:dyDescent="0.3">
      <c r="A446" t="s">
        <v>2962</v>
      </c>
      <c r="B446" t="s">
        <v>2963</v>
      </c>
      <c r="C446" t="s">
        <v>41</v>
      </c>
      <c r="D446" t="s">
        <v>2964</v>
      </c>
      <c r="E446" t="s">
        <v>2965</v>
      </c>
      <c r="F446" t="s">
        <v>2966</v>
      </c>
      <c r="G446" t="s">
        <v>2967</v>
      </c>
      <c r="H446" t="s">
        <v>2968</v>
      </c>
      <c r="I446" t="s">
        <v>47</v>
      </c>
      <c r="J446" t="s">
        <v>47</v>
      </c>
      <c r="K446" t="s">
        <v>47</v>
      </c>
      <c r="L446" t="s">
        <v>47</v>
      </c>
      <c r="M446" t="s">
        <v>47</v>
      </c>
      <c r="N446" s="1">
        <v>46079</v>
      </c>
      <c r="O446" s="1">
        <v>46079</v>
      </c>
      <c r="P446" t="s">
        <v>183</v>
      </c>
      <c r="Q446" t="s">
        <v>50</v>
      </c>
      <c r="R446">
        <v>2</v>
      </c>
      <c r="S446" t="b">
        <v>0</v>
      </c>
      <c r="T446" t="s">
        <v>47</v>
      </c>
      <c r="U446" t="s">
        <v>47</v>
      </c>
      <c r="V446" t="s">
        <v>47</v>
      </c>
      <c r="W446" t="s">
        <v>47</v>
      </c>
      <c r="X446" t="s">
        <v>51</v>
      </c>
      <c r="Y446" t="b">
        <v>0</v>
      </c>
      <c r="Z446" t="s">
        <v>47</v>
      </c>
      <c r="AA446" t="s">
        <v>47</v>
      </c>
      <c r="AC446" t="b">
        <v>1</v>
      </c>
      <c r="AD446" t="s">
        <v>52</v>
      </c>
      <c r="AE446" t="s">
        <v>2969</v>
      </c>
      <c r="AF446" t="s">
        <v>2964</v>
      </c>
      <c r="AG446" t="s">
        <v>2970</v>
      </c>
      <c r="AH446" t="s">
        <v>55</v>
      </c>
      <c r="AI446" s="2">
        <v>46160.201388888891</v>
      </c>
      <c r="AJ446" t="s">
        <v>47</v>
      </c>
      <c r="AK446" t="s">
        <v>47</v>
      </c>
      <c r="AL446" s="2">
        <v>46160.430555555555</v>
      </c>
      <c r="AM446" s="2">
        <v>46160.430555555555</v>
      </c>
    </row>
    <row r="447" spans="1:39" x14ac:dyDescent="0.3">
      <c r="A447" t="s">
        <v>2971</v>
      </c>
      <c r="B447" t="s">
        <v>2972</v>
      </c>
      <c r="C447" t="s">
        <v>41</v>
      </c>
      <c r="D447" t="s">
        <v>2973</v>
      </c>
      <c r="E447" t="s">
        <v>2974</v>
      </c>
      <c r="F447" t="s">
        <v>180</v>
      </c>
      <c r="G447" t="s">
        <v>181</v>
      </c>
      <c r="H447" t="s">
        <v>182</v>
      </c>
      <c r="I447" t="s">
        <v>47</v>
      </c>
      <c r="J447" t="s">
        <v>47</v>
      </c>
      <c r="K447" t="s">
        <v>47</v>
      </c>
      <c r="L447" t="s">
        <v>47</v>
      </c>
      <c r="M447" t="s">
        <v>47</v>
      </c>
      <c r="N447" s="1">
        <v>46079</v>
      </c>
      <c r="O447" s="1">
        <v>46079</v>
      </c>
      <c r="P447" t="s">
        <v>183</v>
      </c>
      <c r="Q447" t="s">
        <v>184</v>
      </c>
      <c r="R447">
        <v>1</v>
      </c>
      <c r="S447" t="b">
        <v>0</v>
      </c>
      <c r="T447" t="s">
        <v>47</v>
      </c>
      <c r="U447" t="s">
        <v>47</v>
      </c>
      <c r="V447" t="s">
        <v>47</v>
      </c>
      <c r="W447" t="s">
        <v>47</v>
      </c>
      <c r="X447" t="s">
        <v>51</v>
      </c>
      <c r="Y447" t="b">
        <v>0</v>
      </c>
      <c r="Z447" t="s">
        <v>47</v>
      </c>
      <c r="AA447" t="s">
        <v>47</v>
      </c>
      <c r="AC447" t="b">
        <v>1</v>
      </c>
      <c r="AD447" t="s">
        <v>52</v>
      </c>
      <c r="AE447" t="s">
        <v>2975</v>
      </c>
      <c r="AF447" t="s">
        <v>2973</v>
      </c>
      <c r="AG447" t="s">
        <v>2976</v>
      </c>
      <c r="AH447" t="s">
        <v>55</v>
      </c>
      <c r="AI447" s="2">
        <v>46160.229166666664</v>
      </c>
      <c r="AJ447" t="s">
        <v>47</v>
      </c>
      <c r="AK447" t="s">
        <v>47</v>
      </c>
      <c r="AL447" s="2">
        <v>46160.458333333336</v>
      </c>
      <c r="AM447" s="2">
        <v>46160.458333333336</v>
      </c>
    </row>
    <row r="448" spans="1:39" x14ac:dyDescent="0.3">
      <c r="A448" t="s">
        <v>2977</v>
      </c>
      <c r="B448" t="s">
        <v>2978</v>
      </c>
      <c r="C448" t="s">
        <v>41</v>
      </c>
      <c r="D448" t="s">
        <v>2979</v>
      </c>
      <c r="E448" t="s">
        <v>2980</v>
      </c>
      <c r="F448" t="s">
        <v>2981</v>
      </c>
      <c r="G448" t="s">
        <v>1590</v>
      </c>
      <c r="H448" t="s">
        <v>2982</v>
      </c>
      <c r="I448" t="s">
        <v>47</v>
      </c>
      <c r="J448" t="s">
        <v>47</v>
      </c>
      <c r="K448" t="s">
        <v>47</v>
      </c>
      <c r="L448" t="s">
        <v>47</v>
      </c>
      <c r="M448" t="s">
        <v>47</v>
      </c>
      <c r="N448" s="1">
        <v>46080</v>
      </c>
      <c r="O448" s="1">
        <v>46080</v>
      </c>
      <c r="P448" t="s">
        <v>353</v>
      </c>
      <c r="Q448" t="s">
        <v>50</v>
      </c>
      <c r="R448">
        <v>3</v>
      </c>
      <c r="S448" t="b">
        <v>0</v>
      </c>
      <c r="T448" t="s">
        <v>47</v>
      </c>
      <c r="U448" t="s">
        <v>47</v>
      </c>
      <c r="V448" t="s">
        <v>47</v>
      </c>
      <c r="W448" t="s">
        <v>47</v>
      </c>
      <c r="X448" t="s">
        <v>51</v>
      </c>
      <c r="Y448" t="b">
        <v>0</v>
      </c>
      <c r="Z448" t="s">
        <v>47</v>
      </c>
      <c r="AA448" t="s">
        <v>47</v>
      </c>
      <c r="AC448" t="b">
        <v>1</v>
      </c>
      <c r="AD448" t="s">
        <v>52</v>
      </c>
      <c r="AE448" t="s">
        <v>2983</v>
      </c>
      <c r="AF448" t="s">
        <v>2979</v>
      </c>
      <c r="AG448" t="s">
        <v>2984</v>
      </c>
      <c r="AH448" t="s">
        <v>55</v>
      </c>
      <c r="AI448" s="2">
        <v>46160.229166666664</v>
      </c>
      <c r="AJ448" t="s">
        <v>47</v>
      </c>
      <c r="AK448" t="s">
        <v>47</v>
      </c>
      <c r="AL448" s="2">
        <v>46160.458333333336</v>
      </c>
      <c r="AM448" s="2">
        <v>46160.458333333336</v>
      </c>
    </row>
    <row r="449" spans="1:39" x14ac:dyDescent="0.3">
      <c r="A449" t="s">
        <v>2985</v>
      </c>
      <c r="B449" t="s">
        <v>2986</v>
      </c>
      <c r="C449" t="s">
        <v>41</v>
      </c>
      <c r="D449" t="s">
        <v>2987</v>
      </c>
      <c r="E449" t="s">
        <v>2988</v>
      </c>
      <c r="F449" t="s">
        <v>322</v>
      </c>
      <c r="G449" t="s">
        <v>323</v>
      </c>
      <c r="H449" t="s">
        <v>379</v>
      </c>
      <c r="I449" t="s">
        <v>47</v>
      </c>
      <c r="J449" t="s">
        <v>47</v>
      </c>
      <c r="K449" t="s">
        <v>253</v>
      </c>
      <c r="L449" t="s">
        <v>47</v>
      </c>
      <c r="M449" t="s">
        <v>47</v>
      </c>
      <c r="N449" s="1">
        <v>46079</v>
      </c>
      <c r="O449" s="1">
        <v>46079</v>
      </c>
      <c r="P449" t="s">
        <v>254</v>
      </c>
      <c r="Q449" t="s">
        <v>50</v>
      </c>
      <c r="R449">
        <v>1</v>
      </c>
      <c r="S449" t="b">
        <v>0</v>
      </c>
      <c r="T449" t="s">
        <v>47</v>
      </c>
      <c r="U449" t="s">
        <v>47</v>
      </c>
      <c r="V449" t="s">
        <v>47</v>
      </c>
      <c r="W449" t="s">
        <v>47</v>
      </c>
      <c r="X449" t="s">
        <v>51</v>
      </c>
      <c r="Y449" t="b">
        <v>0</v>
      </c>
      <c r="Z449" t="s">
        <v>47</v>
      </c>
      <c r="AA449" t="s">
        <v>47</v>
      </c>
      <c r="AC449" t="b">
        <v>1</v>
      </c>
      <c r="AD449" t="s">
        <v>52</v>
      </c>
      <c r="AE449" t="s">
        <v>2989</v>
      </c>
      <c r="AF449" t="s">
        <v>2987</v>
      </c>
      <c r="AG449" t="s">
        <v>2990</v>
      </c>
      <c r="AH449" t="s">
        <v>55</v>
      </c>
      <c r="AI449" s="2">
        <v>46160.173611111109</v>
      </c>
      <c r="AJ449" t="s">
        <v>47</v>
      </c>
      <c r="AK449" t="s">
        <v>47</v>
      </c>
      <c r="AL449" s="2">
        <v>46160.402777777781</v>
      </c>
      <c r="AM449" s="2">
        <v>46160.402777777781</v>
      </c>
    </row>
    <row r="450" spans="1:39" x14ac:dyDescent="0.3">
      <c r="A450" t="s">
        <v>2991</v>
      </c>
      <c r="B450" t="s">
        <v>2992</v>
      </c>
      <c r="C450" t="s">
        <v>41</v>
      </c>
      <c r="D450" t="s">
        <v>2993</v>
      </c>
      <c r="E450" t="s">
        <v>2994</v>
      </c>
      <c r="F450" t="s">
        <v>2995</v>
      </c>
      <c r="G450" t="s">
        <v>2996</v>
      </c>
      <c r="H450" t="s">
        <v>2997</v>
      </c>
      <c r="I450" t="s">
        <v>47</v>
      </c>
      <c r="J450" t="s">
        <v>47</v>
      </c>
      <c r="K450" t="s">
        <v>2998</v>
      </c>
      <c r="L450" t="s">
        <v>47</v>
      </c>
      <c r="M450" t="s">
        <v>47</v>
      </c>
      <c r="N450" s="1">
        <v>46080</v>
      </c>
      <c r="O450" s="1">
        <v>46080</v>
      </c>
      <c r="P450" t="s">
        <v>183</v>
      </c>
      <c r="Q450" t="s">
        <v>50</v>
      </c>
      <c r="R450">
        <v>2</v>
      </c>
      <c r="S450" t="b">
        <v>0</v>
      </c>
      <c r="T450" t="s">
        <v>47</v>
      </c>
      <c r="U450" t="s">
        <v>47</v>
      </c>
      <c r="V450" t="s">
        <v>47</v>
      </c>
      <c r="W450" t="s">
        <v>47</v>
      </c>
      <c r="X450" t="s">
        <v>51</v>
      </c>
      <c r="Y450" t="b">
        <v>0</v>
      </c>
      <c r="Z450" t="s">
        <v>47</v>
      </c>
      <c r="AA450" t="s">
        <v>47</v>
      </c>
      <c r="AC450" t="b">
        <v>1</v>
      </c>
      <c r="AD450" t="s">
        <v>52</v>
      </c>
      <c r="AE450" t="s">
        <v>2999</v>
      </c>
      <c r="AF450" t="s">
        <v>2993</v>
      </c>
      <c r="AG450" t="s">
        <v>3000</v>
      </c>
      <c r="AH450" t="s">
        <v>55</v>
      </c>
      <c r="AI450" s="2">
        <v>46160.229166666664</v>
      </c>
      <c r="AJ450" t="s">
        <v>47</v>
      </c>
      <c r="AK450" t="s">
        <v>47</v>
      </c>
      <c r="AL450" s="2">
        <v>46160.458333333336</v>
      </c>
      <c r="AM450" s="2">
        <v>46160.458333333336</v>
      </c>
    </row>
    <row r="451" spans="1:39" x14ac:dyDescent="0.3">
      <c r="A451" t="s">
        <v>3001</v>
      </c>
      <c r="B451" t="s">
        <v>3002</v>
      </c>
      <c r="C451" t="s">
        <v>41</v>
      </c>
      <c r="D451" t="s">
        <v>3003</v>
      </c>
      <c r="E451" t="s">
        <v>3004</v>
      </c>
      <c r="F451" t="s">
        <v>3005</v>
      </c>
      <c r="G451" t="s">
        <v>3006</v>
      </c>
      <c r="H451" t="s">
        <v>3007</v>
      </c>
      <c r="I451" t="s">
        <v>47</v>
      </c>
      <c r="J451" t="s">
        <v>47</v>
      </c>
      <c r="K451" t="s">
        <v>3008</v>
      </c>
      <c r="L451" t="s">
        <v>47</v>
      </c>
      <c r="M451" s="1">
        <v>46080</v>
      </c>
      <c r="N451" s="1">
        <v>46080</v>
      </c>
      <c r="O451" s="1">
        <v>46080</v>
      </c>
      <c r="P451" t="s">
        <v>315</v>
      </c>
      <c r="Q451" t="s">
        <v>76</v>
      </c>
      <c r="R451">
        <v>4</v>
      </c>
      <c r="S451" t="b">
        <v>1</v>
      </c>
      <c r="T451" t="s">
        <v>47</v>
      </c>
      <c r="U451" t="s">
        <v>47</v>
      </c>
      <c r="V451" t="s">
        <v>47</v>
      </c>
      <c r="W451" t="s">
        <v>47</v>
      </c>
      <c r="X451" t="s">
        <v>51</v>
      </c>
      <c r="Y451" t="b">
        <v>0</v>
      </c>
      <c r="Z451" t="s">
        <v>47</v>
      </c>
      <c r="AA451" t="s">
        <v>47</v>
      </c>
      <c r="AB451" t="s">
        <v>47</v>
      </c>
      <c r="AC451" t="b">
        <v>1</v>
      </c>
      <c r="AD451" t="s">
        <v>52</v>
      </c>
      <c r="AE451" t="s">
        <v>3009</v>
      </c>
      <c r="AF451" t="s">
        <v>3003</v>
      </c>
      <c r="AG451" t="s">
        <v>47</v>
      </c>
      <c r="AH451" t="s">
        <v>87</v>
      </c>
      <c r="AI451" s="2">
        <v>46160.614004629628</v>
      </c>
      <c r="AJ451" t="s">
        <v>47</v>
      </c>
      <c r="AK451" t="s">
        <v>47</v>
      </c>
      <c r="AL451" s="2">
        <v>46160.614004629628</v>
      </c>
      <c r="AM451" s="2">
        <v>46160.614004629628</v>
      </c>
    </row>
    <row r="452" spans="1:39" x14ac:dyDescent="0.3">
      <c r="A452" t="s">
        <v>3010</v>
      </c>
      <c r="B452" t="s">
        <v>3011</v>
      </c>
      <c r="C452" t="s">
        <v>41</v>
      </c>
      <c r="D452" t="s">
        <v>3012</v>
      </c>
      <c r="E452" t="s">
        <v>3013</v>
      </c>
      <c r="F452" t="s">
        <v>3014</v>
      </c>
      <c r="G452" t="s">
        <v>1785</v>
      </c>
      <c r="H452" t="s">
        <v>3015</v>
      </c>
      <c r="I452" t="s">
        <v>47</v>
      </c>
      <c r="J452" t="s">
        <v>47</v>
      </c>
      <c r="K452" t="s">
        <v>369</v>
      </c>
      <c r="L452" t="s">
        <v>47</v>
      </c>
      <c r="M452" t="s">
        <v>47</v>
      </c>
      <c r="N452" s="1">
        <v>46079</v>
      </c>
      <c r="O452" s="1">
        <v>46079</v>
      </c>
      <c r="P452" t="s">
        <v>370</v>
      </c>
      <c r="Q452" t="s">
        <v>371</v>
      </c>
      <c r="R452">
        <v>4</v>
      </c>
      <c r="S452" t="b">
        <v>1</v>
      </c>
      <c r="T452" t="s">
        <v>47</v>
      </c>
      <c r="U452" t="s">
        <v>1787</v>
      </c>
      <c r="V452" t="s">
        <v>47</v>
      </c>
      <c r="W452" t="s">
        <v>47</v>
      </c>
      <c r="X452" t="s">
        <v>51</v>
      </c>
      <c r="Y452" t="b">
        <v>0</v>
      </c>
      <c r="Z452" t="s">
        <v>47</v>
      </c>
      <c r="AA452" t="s">
        <v>47</v>
      </c>
      <c r="AB452">
        <v>0.95</v>
      </c>
      <c r="AC452" t="b">
        <v>1</v>
      </c>
      <c r="AD452" t="s">
        <v>52</v>
      </c>
      <c r="AE452" t="s">
        <v>3016</v>
      </c>
      <c r="AF452" t="s">
        <v>3012</v>
      </c>
      <c r="AG452" t="s">
        <v>3017</v>
      </c>
      <c r="AH452" t="s">
        <v>55</v>
      </c>
      <c r="AI452" s="2">
        <v>46160.173611111109</v>
      </c>
      <c r="AJ452" t="s">
        <v>47</v>
      </c>
      <c r="AK452" t="s">
        <v>47</v>
      </c>
      <c r="AL452" s="2">
        <v>46160.402777777781</v>
      </c>
      <c r="AM452" s="2">
        <v>46160.402777777781</v>
      </c>
    </row>
    <row r="453" spans="1:39" x14ac:dyDescent="0.3">
      <c r="A453" t="s">
        <v>3018</v>
      </c>
      <c r="B453" t="s">
        <v>3019</v>
      </c>
      <c r="C453" t="s">
        <v>41</v>
      </c>
      <c r="D453" t="s">
        <v>3020</v>
      </c>
      <c r="E453" t="s">
        <v>3021</v>
      </c>
      <c r="F453" t="s">
        <v>180</v>
      </c>
      <c r="G453" t="s">
        <v>181</v>
      </c>
      <c r="H453" t="s">
        <v>3022</v>
      </c>
      <c r="I453" t="s">
        <v>47</v>
      </c>
      <c r="J453" t="s">
        <v>47</v>
      </c>
      <c r="K453" t="s">
        <v>47</v>
      </c>
      <c r="L453" t="s">
        <v>47</v>
      </c>
      <c r="M453" t="s">
        <v>47</v>
      </c>
      <c r="N453" s="1">
        <v>46079</v>
      </c>
      <c r="O453" s="1">
        <v>46079</v>
      </c>
      <c r="P453" t="s">
        <v>183</v>
      </c>
      <c r="Q453" t="s">
        <v>184</v>
      </c>
      <c r="R453">
        <v>1</v>
      </c>
      <c r="S453" t="b">
        <v>0</v>
      </c>
      <c r="T453" t="s">
        <v>47</v>
      </c>
      <c r="U453" t="s">
        <v>47</v>
      </c>
      <c r="V453" t="s">
        <v>47</v>
      </c>
      <c r="W453" t="s">
        <v>47</v>
      </c>
      <c r="X453" t="s">
        <v>51</v>
      </c>
      <c r="Y453" t="b">
        <v>0</v>
      </c>
      <c r="Z453" t="s">
        <v>47</v>
      </c>
      <c r="AA453" t="s">
        <v>47</v>
      </c>
      <c r="AC453" t="b">
        <v>1</v>
      </c>
      <c r="AD453" t="s">
        <v>52</v>
      </c>
      <c r="AE453" t="s">
        <v>3023</v>
      </c>
      <c r="AF453" t="s">
        <v>3020</v>
      </c>
      <c r="AG453" t="s">
        <v>3024</v>
      </c>
      <c r="AH453" t="s">
        <v>55</v>
      </c>
      <c r="AI453" s="2">
        <v>46160.173611111109</v>
      </c>
      <c r="AJ453" t="s">
        <v>47</v>
      </c>
      <c r="AK453" t="s">
        <v>47</v>
      </c>
      <c r="AL453" s="2">
        <v>46160.402777777781</v>
      </c>
      <c r="AM453" s="2">
        <v>46160.402777777781</v>
      </c>
    </row>
    <row r="454" spans="1:39" x14ac:dyDescent="0.3">
      <c r="A454" t="s">
        <v>3025</v>
      </c>
      <c r="B454" t="s">
        <v>3026</v>
      </c>
      <c r="C454" t="s">
        <v>41</v>
      </c>
      <c r="D454" t="s">
        <v>3027</v>
      </c>
      <c r="E454" t="s">
        <v>3028</v>
      </c>
      <c r="F454" t="s">
        <v>3029</v>
      </c>
      <c r="G454" t="s">
        <v>3030</v>
      </c>
      <c r="H454" t="s">
        <v>3031</v>
      </c>
      <c r="I454" t="s">
        <v>47</v>
      </c>
      <c r="J454" t="s">
        <v>47</v>
      </c>
      <c r="K454" t="s">
        <v>47</v>
      </c>
      <c r="L454" t="s">
        <v>47</v>
      </c>
      <c r="M454" t="s">
        <v>47</v>
      </c>
      <c r="N454" s="1">
        <v>46079</v>
      </c>
      <c r="O454" s="1">
        <v>46079</v>
      </c>
      <c r="P454" t="s">
        <v>183</v>
      </c>
      <c r="Q454" t="s">
        <v>50</v>
      </c>
      <c r="R454">
        <v>2</v>
      </c>
      <c r="S454" t="b">
        <v>0</v>
      </c>
      <c r="T454" t="s">
        <v>47</v>
      </c>
      <c r="U454" t="s">
        <v>47</v>
      </c>
      <c r="V454" t="s">
        <v>47</v>
      </c>
      <c r="W454" t="s">
        <v>47</v>
      </c>
      <c r="X454" t="s">
        <v>51</v>
      </c>
      <c r="Y454" t="b">
        <v>0</v>
      </c>
      <c r="Z454" t="s">
        <v>47</v>
      </c>
      <c r="AA454" t="s">
        <v>47</v>
      </c>
      <c r="AC454" t="b">
        <v>1</v>
      </c>
      <c r="AD454" t="s">
        <v>52</v>
      </c>
      <c r="AE454" t="s">
        <v>3032</v>
      </c>
      <c r="AF454" t="s">
        <v>3027</v>
      </c>
      <c r="AG454" t="s">
        <v>3033</v>
      </c>
      <c r="AH454" t="s">
        <v>55</v>
      </c>
      <c r="AI454" s="2">
        <v>46160.229166666664</v>
      </c>
      <c r="AJ454" t="s">
        <v>47</v>
      </c>
      <c r="AK454" t="s">
        <v>47</v>
      </c>
      <c r="AL454" s="2">
        <v>46160.458333333336</v>
      </c>
      <c r="AM454" s="2">
        <v>46160.458333333336</v>
      </c>
    </row>
    <row r="455" spans="1:39" x14ac:dyDescent="0.3">
      <c r="A455" s="14" t="s">
        <v>3503</v>
      </c>
      <c r="B455" s="14" t="s">
        <v>3504</v>
      </c>
      <c r="C455" s="14" t="s">
        <v>41</v>
      </c>
      <c r="D455" s="14" t="s">
        <v>3505</v>
      </c>
      <c r="E455" s="14" t="s">
        <v>3506</v>
      </c>
      <c r="F455" s="14" t="s">
        <v>47</v>
      </c>
      <c r="G455" s="14" t="s">
        <v>47</v>
      </c>
      <c r="H455" s="14" t="s">
        <v>3507</v>
      </c>
      <c r="I455" s="14" t="s">
        <v>47</v>
      </c>
      <c r="J455" s="14" t="s">
        <v>47</v>
      </c>
      <c r="K455" s="14" t="s">
        <v>3508</v>
      </c>
      <c r="L455" s="14" t="s">
        <v>47</v>
      </c>
      <c r="M455" s="1">
        <v>46083</v>
      </c>
      <c r="N455" s="1">
        <v>46083</v>
      </c>
      <c r="O455" s="1">
        <v>46083</v>
      </c>
      <c r="P455" s="14" t="s">
        <v>465</v>
      </c>
      <c r="Q455" s="14" t="s">
        <v>371</v>
      </c>
      <c r="R455">
        <v>4</v>
      </c>
      <c r="S455" t="b">
        <v>1</v>
      </c>
      <c r="T455" s="14" t="s">
        <v>47</v>
      </c>
      <c r="U455" s="14" t="s">
        <v>47</v>
      </c>
      <c r="V455" s="14" t="s">
        <v>47</v>
      </c>
      <c r="W455" s="14" t="s">
        <v>47</v>
      </c>
      <c r="X455" s="14" t="s">
        <v>51</v>
      </c>
      <c r="Y455" t="b">
        <v>0</v>
      </c>
      <c r="Z455" s="14" t="s">
        <v>47</v>
      </c>
      <c r="AA455" s="14" t="s">
        <v>47</v>
      </c>
      <c r="AB455" s="14" t="s">
        <v>47</v>
      </c>
      <c r="AC455" t="b">
        <v>1</v>
      </c>
      <c r="AD455" s="14" t="s">
        <v>52</v>
      </c>
      <c r="AE455" s="14" t="s">
        <v>3509</v>
      </c>
      <c r="AF455" s="14" t="s">
        <v>3505</v>
      </c>
      <c r="AG455" s="14" t="s">
        <v>47</v>
      </c>
      <c r="AH455" s="14" t="s">
        <v>87</v>
      </c>
      <c r="AI455" s="2">
        <v>46160.757951388892</v>
      </c>
      <c r="AJ455" s="14" t="s">
        <v>47</v>
      </c>
      <c r="AK455" s="14" t="s">
        <v>47</v>
      </c>
      <c r="AL455" s="2">
        <v>46160.757951388892</v>
      </c>
      <c r="AM455" s="2">
        <v>46160.757951388892</v>
      </c>
    </row>
    <row r="456" spans="1:39" x14ac:dyDescent="0.3">
      <c r="A456" s="14" t="s">
        <v>3072</v>
      </c>
      <c r="B456" s="14" t="s">
        <v>3073</v>
      </c>
      <c r="C456" s="14" t="s">
        <v>41</v>
      </c>
      <c r="D456" s="14" t="s">
        <v>3074</v>
      </c>
      <c r="E456" s="14" t="s">
        <v>3075</v>
      </c>
      <c r="F456" s="14" t="s">
        <v>3076</v>
      </c>
      <c r="G456" s="14" t="s">
        <v>3077</v>
      </c>
      <c r="H456" s="14" t="s">
        <v>3078</v>
      </c>
      <c r="I456" s="14" t="s">
        <v>47</v>
      </c>
      <c r="J456" s="14" t="s">
        <v>47</v>
      </c>
      <c r="K456" s="14" t="s">
        <v>3079</v>
      </c>
      <c r="L456" s="14" t="s">
        <v>47</v>
      </c>
      <c r="M456" s="1">
        <v>46084</v>
      </c>
      <c r="N456" s="1">
        <v>46084</v>
      </c>
      <c r="O456" s="1">
        <v>46084</v>
      </c>
      <c r="P456" s="14" t="s">
        <v>64</v>
      </c>
      <c r="Q456" s="14" t="s">
        <v>50</v>
      </c>
      <c r="R456">
        <v>2</v>
      </c>
      <c r="S456" t="b">
        <v>0</v>
      </c>
      <c r="T456" s="14" t="s">
        <v>47</v>
      </c>
      <c r="U456" s="14" t="s">
        <v>47</v>
      </c>
      <c r="V456" s="14" t="s">
        <v>47</v>
      </c>
      <c r="W456" s="14" t="s">
        <v>47</v>
      </c>
      <c r="X456" s="14" t="s">
        <v>51</v>
      </c>
      <c r="Y456" t="b">
        <v>0</v>
      </c>
      <c r="Z456" s="14" t="s">
        <v>47</v>
      </c>
      <c r="AA456" s="14" t="s">
        <v>47</v>
      </c>
      <c r="AB456" s="14" t="s">
        <v>47</v>
      </c>
      <c r="AC456" t="b">
        <v>1</v>
      </c>
      <c r="AD456" s="14" t="s">
        <v>52</v>
      </c>
      <c r="AE456" s="14" t="s">
        <v>3080</v>
      </c>
      <c r="AF456" s="14" t="s">
        <v>3074</v>
      </c>
      <c r="AG456" s="14" t="s">
        <v>47</v>
      </c>
      <c r="AH456" s="14" t="s">
        <v>87</v>
      </c>
      <c r="AI456" s="2">
        <v>46160.752071759256</v>
      </c>
      <c r="AJ456" s="14" t="s">
        <v>47</v>
      </c>
      <c r="AK456" s="14" t="s">
        <v>47</v>
      </c>
      <c r="AL456" s="2">
        <v>46160.752071759256</v>
      </c>
      <c r="AM456" s="2">
        <v>46160.752071759256</v>
      </c>
    </row>
    <row r="457" spans="1:39" x14ac:dyDescent="0.3">
      <c r="A457" t="s">
        <v>3699</v>
      </c>
      <c r="B457" t="s">
        <v>3700</v>
      </c>
      <c r="C457" t="s">
        <v>41</v>
      </c>
      <c r="D457" t="s">
        <v>3701</v>
      </c>
      <c r="E457" t="s">
        <v>3702</v>
      </c>
      <c r="F457" t="s">
        <v>47</v>
      </c>
      <c r="G457" t="s">
        <v>47</v>
      </c>
      <c r="H457" t="s">
        <v>3703</v>
      </c>
      <c r="I457" t="s">
        <v>47</v>
      </c>
      <c r="J457" t="s">
        <v>47</v>
      </c>
      <c r="K457" t="s">
        <v>3704</v>
      </c>
      <c r="L457" t="s">
        <v>47</v>
      </c>
      <c r="M457" s="1">
        <v>46084</v>
      </c>
      <c r="N457" s="1">
        <v>46084</v>
      </c>
      <c r="O457" s="1">
        <v>46084</v>
      </c>
      <c r="P457" t="s">
        <v>1771</v>
      </c>
      <c r="Q457" t="s">
        <v>371</v>
      </c>
      <c r="R457">
        <v>4</v>
      </c>
      <c r="S457" t="b">
        <v>1</v>
      </c>
      <c r="T457" t="s">
        <v>47</v>
      </c>
      <c r="U457" t="s">
        <v>47</v>
      </c>
      <c r="V457" t="s">
        <v>47</v>
      </c>
      <c r="W457" t="s">
        <v>47</v>
      </c>
      <c r="X457" t="s">
        <v>51</v>
      </c>
      <c r="Y457" t="b">
        <v>0</v>
      </c>
      <c r="Z457" t="s">
        <v>47</v>
      </c>
      <c r="AA457" t="s">
        <v>47</v>
      </c>
      <c r="AB457" t="s">
        <v>47</v>
      </c>
      <c r="AC457" t="b">
        <v>1</v>
      </c>
      <c r="AD457" t="s">
        <v>52</v>
      </c>
      <c r="AE457" t="s">
        <v>3705</v>
      </c>
      <c r="AF457" t="s">
        <v>3701</v>
      </c>
      <c r="AG457" t="s">
        <v>3611</v>
      </c>
      <c r="AH457" t="s">
        <v>87</v>
      </c>
      <c r="AI457" s="2">
        <v>46160.775231481479</v>
      </c>
      <c r="AJ457" t="s">
        <v>47</v>
      </c>
      <c r="AK457" t="s">
        <v>47</v>
      </c>
      <c r="AL457" s="2">
        <v>46160.775231481479</v>
      </c>
      <c r="AM457" s="2">
        <v>46160.775231481479</v>
      </c>
    </row>
    <row r="458" spans="1:39" x14ac:dyDescent="0.3">
      <c r="A458" s="14" t="s">
        <v>3260</v>
      </c>
      <c r="B458" s="14" t="s">
        <v>3261</v>
      </c>
      <c r="C458" s="14" t="s">
        <v>41</v>
      </c>
      <c r="D458" s="14" t="s">
        <v>3262</v>
      </c>
      <c r="E458" s="14" t="s">
        <v>3263</v>
      </c>
      <c r="F458" s="14" t="s">
        <v>3099</v>
      </c>
      <c r="G458" s="14" t="s">
        <v>3100</v>
      </c>
      <c r="H458" s="14" t="s">
        <v>3101</v>
      </c>
      <c r="I458" s="14" t="s">
        <v>47</v>
      </c>
      <c r="J458" s="14" t="s">
        <v>47</v>
      </c>
      <c r="K458" s="14" t="s">
        <v>47</v>
      </c>
      <c r="L458" s="14" t="s">
        <v>47</v>
      </c>
      <c r="M458" s="1">
        <v>46084</v>
      </c>
      <c r="N458" s="1">
        <v>46084</v>
      </c>
      <c r="O458" s="1">
        <v>46084</v>
      </c>
      <c r="P458" s="14" t="s">
        <v>183</v>
      </c>
      <c r="Q458" s="14" t="s">
        <v>184</v>
      </c>
      <c r="R458">
        <v>2</v>
      </c>
      <c r="S458" t="b">
        <v>0</v>
      </c>
      <c r="T458" s="14" t="s">
        <v>47</v>
      </c>
      <c r="U458" s="14" t="s">
        <v>47</v>
      </c>
      <c r="V458" s="14" t="s">
        <v>47</v>
      </c>
      <c r="W458" s="14" t="s">
        <v>47</v>
      </c>
      <c r="X458" s="14" t="s">
        <v>51</v>
      </c>
      <c r="Y458" t="b">
        <v>0</v>
      </c>
      <c r="Z458" s="14" t="s">
        <v>47</v>
      </c>
      <c r="AA458" s="14" t="s">
        <v>47</v>
      </c>
      <c r="AB458" s="14" t="s">
        <v>47</v>
      </c>
      <c r="AC458" t="b">
        <v>1</v>
      </c>
      <c r="AD458" s="14" t="s">
        <v>52</v>
      </c>
      <c r="AE458" s="14" t="s">
        <v>3264</v>
      </c>
      <c r="AF458" s="14" t="s">
        <v>3262</v>
      </c>
      <c r="AG458" s="14" t="s">
        <v>47</v>
      </c>
      <c r="AH458" s="14" t="s">
        <v>87</v>
      </c>
      <c r="AI458" s="2">
        <v>46160.752071759256</v>
      </c>
      <c r="AJ458" s="14" t="s">
        <v>47</v>
      </c>
      <c r="AK458" s="14" t="s">
        <v>47</v>
      </c>
      <c r="AL458" s="2">
        <v>46160.752071759256</v>
      </c>
      <c r="AM458" s="2">
        <v>46160.752071759256</v>
      </c>
    </row>
    <row r="459" spans="1:39" x14ac:dyDescent="0.3">
      <c r="A459" s="14" t="s">
        <v>3081</v>
      </c>
      <c r="B459" s="14" t="s">
        <v>3082</v>
      </c>
      <c r="C459" s="14" t="s">
        <v>41</v>
      </c>
      <c r="D459" s="14" t="s">
        <v>3083</v>
      </c>
      <c r="E459" s="14" t="s">
        <v>3084</v>
      </c>
      <c r="F459" s="14" t="s">
        <v>3085</v>
      </c>
      <c r="G459" s="14" t="s">
        <v>3086</v>
      </c>
      <c r="H459" s="14" t="s">
        <v>3087</v>
      </c>
      <c r="I459" s="14" t="s">
        <v>47</v>
      </c>
      <c r="J459" s="14" t="s">
        <v>47</v>
      </c>
      <c r="K459" s="14" t="s">
        <v>3088</v>
      </c>
      <c r="L459" s="14" t="s">
        <v>47</v>
      </c>
      <c r="M459" s="1">
        <v>46084</v>
      </c>
      <c r="N459" s="1">
        <v>46084</v>
      </c>
      <c r="O459" s="1">
        <v>46084</v>
      </c>
      <c r="P459" s="14" t="s">
        <v>1771</v>
      </c>
      <c r="Q459" s="14" t="s">
        <v>371</v>
      </c>
      <c r="R459">
        <v>5</v>
      </c>
      <c r="S459" t="b">
        <v>1</v>
      </c>
      <c r="T459" s="14" t="s">
        <v>47</v>
      </c>
      <c r="U459" s="14" t="s">
        <v>47</v>
      </c>
      <c r="V459" s="14" t="s">
        <v>47</v>
      </c>
      <c r="W459" s="14" t="s">
        <v>47</v>
      </c>
      <c r="X459" s="14" t="s">
        <v>51</v>
      </c>
      <c r="Y459" t="b">
        <v>0</v>
      </c>
      <c r="Z459" s="14" t="s">
        <v>47</v>
      </c>
      <c r="AA459" s="14" t="s">
        <v>47</v>
      </c>
      <c r="AB459" s="14" t="s">
        <v>47</v>
      </c>
      <c r="AC459" t="b">
        <v>1</v>
      </c>
      <c r="AD459" s="14" t="s">
        <v>52</v>
      </c>
      <c r="AE459" s="14" t="s">
        <v>3089</v>
      </c>
      <c r="AF459" s="14" t="s">
        <v>3083</v>
      </c>
      <c r="AG459" s="14" t="s">
        <v>47</v>
      </c>
      <c r="AH459" s="14" t="s">
        <v>87</v>
      </c>
      <c r="AI459" s="2">
        <v>46160.752071759256</v>
      </c>
      <c r="AJ459" s="14" t="s">
        <v>47</v>
      </c>
      <c r="AK459" s="14" t="s">
        <v>47</v>
      </c>
      <c r="AL459" s="2">
        <v>46160.752071759256</v>
      </c>
      <c r="AM459" s="2">
        <v>46160.752071759256</v>
      </c>
    </row>
    <row r="460" spans="1:39" x14ac:dyDescent="0.3">
      <c r="A460" s="14" t="s">
        <v>3090</v>
      </c>
      <c r="B460" s="14" t="s">
        <v>3091</v>
      </c>
      <c r="C460" s="14" t="s">
        <v>41</v>
      </c>
      <c r="D460" s="14" t="s">
        <v>3092</v>
      </c>
      <c r="E460" s="14" t="s">
        <v>3093</v>
      </c>
      <c r="F460" s="14" t="s">
        <v>3076</v>
      </c>
      <c r="G460" s="14" t="s">
        <v>3077</v>
      </c>
      <c r="H460" s="14" t="s">
        <v>3078</v>
      </c>
      <c r="I460" s="14" t="s">
        <v>47</v>
      </c>
      <c r="J460" s="14" t="s">
        <v>47</v>
      </c>
      <c r="K460" s="14" t="s">
        <v>3079</v>
      </c>
      <c r="L460" s="14" t="s">
        <v>47</v>
      </c>
      <c r="M460" s="1">
        <v>46084</v>
      </c>
      <c r="N460" s="1">
        <v>46084</v>
      </c>
      <c r="O460" s="1">
        <v>46084</v>
      </c>
      <c r="P460" s="14" t="s">
        <v>64</v>
      </c>
      <c r="Q460" s="14" t="s">
        <v>50</v>
      </c>
      <c r="R460">
        <v>2</v>
      </c>
      <c r="S460" t="b">
        <v>0</v>
      </c>
      <c r="T460" s="14" t="s">
        <v>47</v>
      </c>
      <c r="U460" s="14" t="s">
        <v>47</v>
      </c>
      <c r="V460" s="14" t="s">
        <v>47</v>
      </c>
      <c r="W460" s="14" t="s">
        <v>47</v>
      </c>
      <c r="X460" s="14" t="s">
        <v>51</v>
      </c>
      <c r="Y460" t="b">
        <v>0</v>
      </c>
      <c r="Z460" s="14" t="s">
        <v>47</v>
      </c>
      <c r="AA460" s="14" t="s">
        <v>47</v>
      </c>
      <c r="AB460" s="14" t="s">
        <v>47</v>
      </c>
      <c r="AC460" t="b">
        <v>1</v>
      </c>
      <c r="AD460" s="14" t="s">
        <v>52</v>
      </c>
      <c r="AE460" s="14" t="s">
        <v>3094</v>
      </c>
      <c r="AF460" s="14" t="s">
        <v>3092</v>
      </c>
      <c r="AG460" s="14" t="s">
        <v>47</v>
      </c>
      <c r="AH460" s="14" t="s">
        <v>87</v>
      </c>
      <c r="AI460" s="2">
        <v>46160.752071759256</v>
      </c>
      <c r="AJ460" s="14" t="s">
        <v>47</v>
      </c>
      <c r="AK460" s="14" t="s">
        <v>47</v>
      </c>
      <c r="AL460" s="2">
        <v>46160.752071759256</v>
      </c>
      <c r="AM460" s="2">
        <v>46160.752071759256</v>
      </c>
    </row>
    <row r="461" spans="1:39" x14ac:dyDescent="0.3">
      <c r="A461" s="14" t="s">
        <v>3095</v>
      </c>
      <c r="B461" s="14" t="s">
        <v>3096</v>
      </c>
      <c r="C461" s="14" t="s">
        <v>41</v>
      </c>
      <c r="D461" s="14" t="s">
        <v>3097</v>
      </c>
      <c r="E461" s="14" t="s">
        <v>3098</v>
      </c>
      <c r="F461" s="14" t="s">
        <v>3099</v>
      </c>
      <c r="G461" s="14" t="s">
        <v>3100</v>
      </c>
      <c r="H461" s="14" t="s">
        <v>3101</v>
      </c>
      <c r="I461" s="14" t="s">
        <v>47</v>
      </c>
      <c r="J461" s="14" t="s">
        <v>47</v>
      </c>
      <c r="K461" s="14" t="s">
        <v>47</v>
      </c>
      <c r="L461" s="14" t="s">
        <v>47</v>
      </c>
      <c r="M461" s="1">
        <v>46084</v>
      </c>
      <c r="N461" s="1">
        <v>46084</v>
      </c>
      <c r="O461" s="1">
        <v>46084</v>
      </c>
      <c r="P461" s="14" t="s">
        <v>183</v>
      </c>
      <c r="Q461" s="14" t="s">
        <v>184</v>
      </c>
      <c r="R461">
        <v>2</v>
      </c>
      <c r="S461" t="b">
        <v>0</v>
      </c>
      <c r="T461" s="14" t="s">
        <v>47</v>
      </c>
      <c r="U461" s="14" t="s">
        <v>47</v>
      </c>
      <c r="V461" s="14" t="s">
        <v>47</v>
      </c>
      <c r="W461" s="14" t="s">
        <v>47</v>
      </c>
      <c r="X461" s="14" t="s">
        <v>51</v>
      </c>
      <c r="Y461" t="b">
        <v>0</v>
      </c>
      <c r="Z461" s="14" t="s">
        <v>47</v>
      </c>
      <c r="AA461" s="14" t="s">
        <v>47</v>
      </c>
      <c r="AB461" s="14" t="s">
        <v>47</v>
      </c>
      <c r="AC461" t="b">
        <v>1</v>
      </c>
      <c r="AD461" s="14" t="s">
        <v>52</v>
      </c>
      <c r="AE461" s="14" t="s">
        <v>3102</v>
      </c>
      <c r="AF461" s="14" t="s">
        <v>3097</v>
      </c>
      <c r="AG461" s="14" t="s">
        <v>47</v>
      </c>
      <c r="AH461" s="14" t="s">
        <v>87</v>
      </c>
      <c r="AI461" s="2">
        <v>46160.752071759256</v>
      </c>
      <c r="AJ461" s="14" t="s">
        <v>47</v>
      </c>
      <c r="AK461" s="14" t="s">
        <v>47</v>
      </c>
      <c r="AL461" s="2">
        <v>46160.752071759256</v>
      </c>
      <c r="AM461" s="2">
        <v>46160.752071759256</v>
      </c>
    </row>
    <row r="462" spans="1:39" x14ac:dyDescent="0.3">
      <c r="A462" t="s">
        <v>3809</v>
      </c>
      <c r="B462" t="s">
        <v>3810</v>
      </c>
      <c r="C462" t="s">
        <v>41</v>
      </c>
      <c r="D462" t="s">
        <v>3811</v>
      </c>
      <c r="E462" t="s">
        <v>3812</v>
      </c>
      <c r="F462" t="s">
        <v>47</v>
      </c>
      <c r="G462" t="s">
        <v>47</v>
      </c>
      <c r="H462" t="s">
        <v>85</v>
      </c>
      <c r="I462" t="s">
        <v>47</v>
      </c>
      <c r="J462" t="s">
        <v>47</v>
      </c>
      <c r="K462" t="s">
        <v>48</v>
      </c>
      <c r="L462" t="s">
        <v>47</v>
      </c>
      <c r="M462" s="1">
        <v>46084</v>
      </c>
      <c r="N462" s="1">
        <v>46084</v>
      </c>
      <c r="O462" s="1">
        <v>46084</v>
      </c>
      <c r="P462" t="s">
        <v>49</v>
      </c>
      <c r="Q462" t="s">
        <v>50</v>
      </c>
      <c r="R462">
        <v>2</v>
      </c>
      <c r="S462" t="b">
        <v>0</v>
      </c>
      <c r="T462" t="s">
        <v>47</v>
      </c>
      <c r="U462" t="s">
        <v>47</v>
      </c>
      <c r="V462" t="s">
        <v>47</v>
      </c>
      <c r="W462" t="s">
        <v>47</v>
      </c>
      <c r="X462" t="s">
        <v>51</v>
      </c>
      <c r="Y462" t="b">
        <v>0</v>
      </c>
      <c r="Z462" t="s">
        <v>47</v>
      </c>
      <c r="AA462" t="s">
        <v>47</v>
      </c>
      <c r="AB462" t="s">
        <v>47</v>
      </c>
      <c r="AC462" t="b">
        <v>1</v>
      </c>
      <c r="AD462" t="s">
        <v>52</v>
      </c>
      <c r="AE462" t="s">
        <v>3813</v>
      </c>
      <c r="AF462" t="s">
        <v>3811</v>
      </c>
      <c r="AG462" t="s">
        <v>3611</v>
      </c>
      <c r="AH462" t="s">
        <v>87</v>
      </c>
      <c r="AI462" s="2">
        <v>46160.775243055556</v>
      </c>
      <c r="AJ462" t="s">
        <v>47</v>
      </c>
      <c r="AK462" t="s">
        <v>47</v>
      </c>
      <c r="AL462" s="2">
        <v>46160.775243055556</v>
      </c>
      <c r="AM462" s="2">
        <v>46160.775243055556</v>
      </c>
    </row>
    <row r="463" spans="1:39" x14ac:dyDescent="0.3">
      <c r="A463" s="14" t="s">
        <v>3265</v>
      </c>
      <c r="B463" s="14" t="s">
        <v>3266</v>
      </c>
      <c r="C463" s="14" t="s">
        <v>41</v>
      </c>
      <c r="D463" s="14" t="s">
        <v>3267</v>
      </c>
      <c r="E463" s="14" t="s">
        <v>3268</v>
      </c>
      <c r="F463" s="14" t="s">
        <v>83</v>
      </c>
      <c r="G463" s="14" t="s">
        <v>84</v>
      </c>
      <c r="H463" s="14" t="s">
        <v>85</v>
      </c>
      <c r="I463" s="14" t="s">
        <v>47</v>
      </c>
      <c r="J463" s="14" t="s">
        <v>47</v>
      </c>
      <c r="K463" s="14" t="s">
        <v>48</v>
      </c>
      <c r="L463" s="14" t="s">
        <v>47</v>
      </c>
      <c r="M463" s="1">
        <v>46084</v>
      </c>
      <c r="N463" s="1">
        <v>46084</v>
      </c>
      <c r="O463" s="1">
        <v>46084</v>
      </c>
      <c r="P463" s="14" t="s">
        <v>49</v>
      </c>
      <c r="Q463" s="14" t="s">
        <v>50</v>
      </c>
      <c r="R463">
        <v>2</v>
      </c>
      <c r="S463" t="b">
        <v>0</v>
      </c>
      <c r="T463" s="14" t="s">
        <v>47</v>
      </c>
      <c r="U463" s="14" t="s">
        <v>47</v>
      </c>
      <c r="V463" s="14" t="s">
        <v>47</v>
      </c>
      <c r="W463" s="14" t="s">
        <v>47</v>
      </c>
      <c r="X463" s="14" t="s">
        <v>51</v>
      </c>
      <c r="Y463" t="b">
        <v>0</v>
      </c>
      <c r="Z463" s="14" t="s">
        <v>47</v>
      </c>
      <c r="AA463" s="14" t="s">
        <v>47</v>
      </c>
      <c r="AB463" s="14" t="s">
        <v>47</v>
      </c>
      <c r="AC463" t="b">
        <v>1</v>
      </c>
      <c r="AD463" s="14" t="s">
        <v>52</v>
      </c>
      <c r="AE463" s="14" t="s">
        <v>3269</v>
      </c>
      <c r="AF463" s="14" t="s">
        <v>3267</v>
      </c>
      <c r="AG463" s="14" t="s">
        <v>47</v>
      </c>
      <c r="AH463" s="14" t="s">
        <v>87</v>
      </c>
      <c r="AI463" s="2">
        <v>46160.752071759256</v>
      </c>
      <c r="AJ463" s="14" t="s">
        <v>47</v>
      </c>
      <c r="AK463" s="14" t="s">
        <v>47</v>
      </c>
      <c r="AL463" s="2">
        <v>46160.752071759256</v>
      </c>
      <c r="AM463" s="2">
        <v>46160.752071759256</v>
      </c>
    </row>
    <row r="464" spans="1:39" x14ac:dyDescent="0.3">
      <c r="A464" s="14" t="s">
        <v>3270</v>
      </c>
      <c r="B464" s="14" t="s">
        <v>3271</v>
      </c>
      <c r="C464" s="14" t="s">
        <v>41</v>
      </c>
      <c r="D464" s="14" t="s">
        <v>3272</v>
      </c>
      <c r="E464" s="14" t="s">
        <v>3273</v>
      </c>
      <c r="F464" s="14" t="s">
        <v>83</v>
      </c>
      <c r="G464" s="14" t="s">
        <v>84</v>
      </c>
      <c r="H464" s="14" t="s">
        <v>85</v>
      </c>
      <c r="I464" s="14" t="s">
        <v>47</v>
      </c>
      <c r="J464" s="14" t="s">
        <v>47</v>
      </c>
      <c r="K464" s="14" t="s">
        <v>48</v>
      </c>
      <c r="L464" s="14" t="s">
        <v>47</v>
      </c>
      <c r="M464" s="1">
        <v>46084</v>
      </c>
      <c r="N464" s="1">
        <v>46084</v>
      </c>
      <c r="O464" s="1">
        <v>46084</v>
      </c>
      <c r="P464" s="14" t="s">
        <v>49</v>
      </c>
      <c r="Q464" s="14" t="s">
        <v>50</v>
      </c>
      <c r="R464">
        <v>2</v>
      </c>
      <c r="S464" t="b">
        <v>0</v>
      </c>
      <c r="T464" s="14" t="s">
        <v>47</v>
      </c>
      <c r="U464" s="14" t="s">
        <v>47</v>
      </c>
      <c r="V464" s="14" t="s">
        <v>47</v>
      </c>
      <c r="W464" s="14" t="s">
        <v>47</v>
      </c>
      <c r="X464" s="14" t="s">
        <v>51</v>
      </c>
      <c r="Y464" t="b">
        <v>0</v>
      </c>
      <c r="Z464" s="14" t="s">
        <v>47</v>
      </c>
      <c r="AA464" s="14" t="s">
        <v>47</v>
      </c>
      <c r="AB464" s="14" t="s">
        <v>47</v>
      </c>
      <c r="AC464" t="b">
        <v>1</v>
      </c>
      <c r="AD464" s="14" t="s">
        <v>52</v>
      </c>
      <c r="AE464" s="14" t="s">
        <v>3269</v>
      </c>
      <c r="AF464" s="14" t="s">
        <v>3272</v>
      </c>
      <c r="AG464" s="14" t="s">
        <v>47</v>
      </c>
      <c r="AH464" s="14" t="s">
        <v>87</v>
      </c>
      <c r="AI464" s="2">
        <v>46160.752071759256</v>
      </c>
      <c r="AJ464" s="14" t="s">
        <v>47</v>
      </c>
      <c r="AK464" s="14" t="s">
        <v>47</v>
      </c>
      <c r="AL464" s="2">
        <v>46160.752071759256</v>
      </c>
      <c r="AM464" s="2">
        <v>46160.752071759256</v>
      </c>
    </row>
    <row r="465" spans="1:39" x14ac:dyDescent="0.3">
      <c r="A465" t="s">
        <v>3776</v>
      </c>
      <c r="B465" t="s">
        <v>3777</v>
      </c>
      <c r="C465" t="s">
        <v>41</v>
      </c>
      <c r="D465" t="s">
        <v>3778</v>
      </c>
      <c r="E465" t="s">
        <v>3779</v>
      </c>
      <c r="F465" t="s">
        <v>47</v>
      </c>
      <c r="G465" t="s">
        <v>47</v>
      </c>
      <c r="H465" t="s">
        <v>85</v>
      </c>
      <c r="I465" t="s">
        <v>47</v>
      </c>
      <c r="J465" t="s">
        <v>47</v>
      </c>
      <c r="K465" t="s">
        <v>48</v>
      </c>
      <c r="L465" t="s">
        <v>47</v>
      </c>
      <c r="M465" s="1">
        <v>46084</v>
      </c>
      <c r="N465" s="1">
        <v>46084</v>
      </c>
      <c r="O465" s="1">
        <v>46084</v>
      </c>
      <c r="P465" t="s">
        <v>49</v>
      </c>
      <c r="Q465" t="s">
        <v>50</v>
      </c>
      <c r="R465">
        <v>2</v>
      </c>
      <c r="S465" t="b">
        <v>0</v>
      </c>
      <c r="T465" t="s">
        <v>47</v>
      </c>
      <c r="U465" t="s">
        <v>47</v>
      </c>
      <c r="V465" t="s">
        <v>47</v>
      </c>
      <c r="W465" t="s">
        <v>47</v>
      </c>
      <c r="X465" t="s">
        <v>51</v>
      </c>
      <c r="Y465" t="b">
        <v>0</v>
      </c>
      <c r="Z465" t="s">
        <v>47</v>
      </c>
      <c r="AA465" t="s">
        <v>47</v>
      </c>
      <c r="AB465" t="s">
        <v>47</v>
      </c>
      <c r="AC465" t="b">
        <v>1</v>
      </c>
      <c r="AD465" t="s">
        <v>52</v>
      </c>
      <c r="AE465" t="s">
        <v>3780</v>
      </c>
      <c r="AF465" t="s">
        <v>3778</v>
      </c>
      <c r="AG465" t="s">
        <v>3611</v>
      </c>
      <c r="AH465" t="s">
        <v>87</v>
      </c>
      <c r="AI465" s="2">
        <v>46160.775243055556</v>
      </c>
      <c r="AJ465" t="s">
        <v>47</v>
      </c>
      <c r="AK465" t="s">
        <v>47</v>
      </c>
      <c r="AL465" s="2">
        <v>46160.775243055556</v>
      </c>
      <c r="AM465" s="2">
        <v>46160.775243055556</v>
      </c>
    </row>
    <row r="466" spans="1:39" x14ac:dyDescent="0.3">
      <c r="A466" s="14" t="s">
        <v>3103</v>
      </c>
      <c r="B466" s="14" t="s">
        <v>3104</v>
      </c>
      <c r="C466" s="14" t="s">
        <v>41</v>
      </c>
      <c r="D466" s="14" t="s">
        <v>3105</v>
      </c>
      <c r="E466" s="14" t="s">
        <v>3106</v>
      </c>
      <c r="F466" s="14" t="s">
        <v>3107</v>
      </c>
      <c r="G466" s="14" t="s">
        <v>3108</v>
      </c>
      <c r="H466" s="14" t="s">
        <v>3109</v>
      </c>
      <c r="I466" s="14" t="s">
        <v>47</v>
      </c>
      <c r="J466" s="14" t="s">
        <v>47</v>
      </c>
      <c r="K466" s="14" t="s">
        <v>3110</v>
      </c>
      <c r="L466" s="14" t="s">
        <v>47</v>
      </c>
      <c r="M466" s="1">
        <v>46085</v>
      </c>
      <c r="N466" s="1">
        <v>46085</v>
      </c>
      <c r="O466" s="1">
        <v>46085</v>
      </c>
      <c r="P466" s="14" t="s">
        <v>183</v>
      </c>
      <c r="Q466" s="14" t="s">
        <v>50</v>
      </c>
      <c r="R466">
        <v>1</v>
      </c>
      <c r="S466" t="b">
        <v>0</v>
      </c>
      <c r="T466" s="14" t="s">
        <v>47</v>
      </c>
      <c r="U466" s="14" t="s">
        <v>47</v>
      </c>
      <c r="V466" s="14" t="s">
        <v>47</v>
      </c>
      <c r="W466" s="14" t="s">
        <v>47</v>
      </c>
      <c r="X466" s="14" t="s">
        <v>51</v>
      </c>
      <c r="Y466" t="b">
        <v>0</v>
      </c>
      <c r="Z466" s="14" t="s">
        <v>47</v>
      </c>
      <c r="AA466" s="14" t="s">
        <v>47</v>
      </c>
      <c r="AB466" s="14" t="s">
        <v>47</v>
      </c>
      <c r="AC466" t="b">
        <v>1</v>
      </c>
      <c r="AD466" s="14" t="s">
        <v>52</v>
      </c>
      <c r="AE466" s="14" t="s">
        <v>3111</v>
      </c>
      <c r="AF466" s="14" t="s">
        <v>3105</v>
      </c>
      <c r="AG466" s="14" t="s">
        <v>47</v>
      </c>
      <c r="AH466" s="14" t="s">
        <v>87</v>
      </c>
      <c r="AI466" s="2">
        <v>46160.752071759256</v>
      </c>
      <c r="AJ466" s="14" t="s">
        <v>47</v>
      </c>
      <c r="AK466" s="14" t="s">
        <v>47</v>
      </c>
      <c r="AL466" s="2">
        <v>46160.752071759256</v>
      </c>
      <c r="AM466" s="2">
        <v>46160.752071759256</v>
      </c>
    </row>
    <row r="467" spans="1:39" x14ac:dyDescent="0.3">
      <c r="A467" t="s">
        <v>3606</v>
      </c>
      <c r="B467" t="s">
        <v>3607</v>
      </c>
      <c r="C467" t="s">
        <v>41</v>
      </c>
      <c r="D467" t="s">
        <v>3608</v>
      </c>
      <c r="E467" t="s">
        <v>3609</v>
      </c>
      <c r="F467" t="s">
        <v>47</v>
      </c>
      <c r="G467" t="s">
        <v>47</v>
      </c>
      <c r="H467" t="s">
        <v>85</v>
      </c>
      <c r="I467" t="s">
        <v>47</v>
      </c>
      <c r="J467" t="s">
        <v>47</v>
      </c>
      <c r="K467" t="s">
        <v>48</v>
      </c>
      <c r="L467" t="s">
        <v>47</v>
      </c>
      <c r="M467" s="1">
        <v>46085</v>
      </c>
      <c r="N467" s="1">
        <v>46085</v>
      </c>
      <c r="O467" s="1">
        <v>46085</v>
      </c>
      <c r="P467" t="s">
        <v>49</v>
      </c>
      <c r="Q467" t="s">
        <v>50</v>
      </c>
      <c r="R467">
        <v>2</v>
      </c>
      <c r="S467" t="b">
        <v>0</v>
      </c>
      <c r="T467" t="s">
        <v>47</v>
      </c>
      <c r="U467" t="s">
        <v>47</v>
      </c>
      <c r="V467" t="s">
        <v>47</v>
      </c>
      <c r="W467" t="s">
        <v>47</v>
      </c>
      <c r="X467" t="s">
        <v>51</v>
      </c>
      <c r="Y467" t="b">
        <v>0</v>
      </c>
      <c r="Z467" t="s">
        <v>47</v>
      </c>
      <c r="AA467" t="s">
        <v>47</v>
      </c>
      <c r="AB467" t="s">
        <v>47</v>
      </c>
      <c r="AC467" t="b">
        <v>1</v>
      </c>
      <c r="AD467" t="s">
        <v>52</v>
      </c>
      <c r="AE467" t="s">
        <v>3610</v>
      </c>
      <c r="AF467" t="s">
        <v>3608</v>
      </c>
      <c r="AG467" t="s">
        <v>3611</v>
      </c>
      <c r="AH467" t="s">
        <v>87</v>
      </c>
      <c r="AI467" s="2">
        <v>46160.775231481479</v>
      </c>
      <c r="AJ467" t="s">
        <v>47</v>
      </c>
      <c r="AK467" t="s">
        <v>47</v>
      </c>
      <c r="AL467" s="2">
        <v>46160.775231481479</v>
      </c>
      <c r="AM467" s="2">
        <v>46160.775231481479</v>
      </c>
    </row>
    <row r="468" spans="1:39" x14ac:dyDescent="0.3">
      <c r="A468" s="14" t="s">
        <v>3112</v>
      </c>
      <c r="B468" s="14" t="s">
        <v>3113</v>
      </c>
      <c r="C468" s="14" t="s">
        <v>41</v>
      </c>
      <c r="D468" s="14" t="s">
        <v>3114</v>
      </c>
      <c r="E468" s="14" t="s">
        <v>3115</v>
      </c>
      <c r="F468" s="14" t="s">
        <v>172</v>
      </c>
      <c r="G468" s="14" t="s">
        <v>173</v>
      </c>
      <c r="H468" s="14" t="s">
        <v>174</v>
      </c>
      <c r="I468" s="14" t="s">
        <v>47</v>
      </c>
      <c r="J468" s="14" t="s">
        <v>47</v>
      </c>
      <c r="K468" s="14" t="s">
        <v>130</v>
      </c>
      <c r="L468" s="14" t="s">
        <v>47</v>
      </c>
      <c r="M468" s="1">
        <v>45870</v>
      </c>
      <c r="N468" s="1">
        <v>45870</v>
      </c>
      <c r="O468" s="1">
        <v>45870</v>
      </c>
      <c r="P468" s="14" t="s">
        <v>49</v>
      </c>
      <c r="Q468" s="14" t="s">
        <v>50</v>
      </c>
      <c r="R468">
        <v>3</v>
      </c>
      <c r="S468" t="b">
        <v>1</v>
      </c>
      <c r="T468" s="14" t="s">
        <v>47</v>
      </c>
      <c r="U468" s="14" t="s">
        <v>47</v>
      </c>
      <c r="V468" s="14" t="s">
        <v>47</v>
      </c>
      <c r="W468" s="14" t="s">
        <v>47</v>
      </c>
      <c r="X468" s="14" t="s">
        <v>51</v>
      </c>
      <c r="Y468" t="b">
        <v>0</v>
      </c>
      <c r="Z468" s="14" t="s">
        <v>47</v>
      </c>
      <c r="AA468" s="14" t="s">
        <v>47</v>
      </c>
      <c r="AB468" s="14" t="s">
        <v>47</v>
      </c>
      <c r="AC468" t="b">
        <v>1</v>
      </c>
      <c r="AD468" s="14" t="s">
        <v>52</v>
      </c>
      <c r="AE468" s="14" t="s">
        <v>3116</v>
      </c>
      <c r="AF468" s="14" t="s">
        <v>3114</v>
      </c>
      <c r="AG468" s="14" t="s">
        <v>47</v>
      </c>
      <c r="AH468" s="14" t="s">
        <v>87</v>
      </c>
      <c r="AI468" s="2">
        <v>46160.752071759256</v>
      </c>
      <c r="AJ468" s="14" t="s">
        <v>47</v>
      </c>
      <c r="AK468" s="14" t="s">
        <v>47</v>
      </c>
      <c r="AL468" s="2">
        <v>46160.752071759256</v>
      </c>
      <c r="AM468" s="2">
        <v>46160.752071759256</v>
      </c>
    </row>
    <row r="469" spans="1:39" x14ac:dyDescent="0.3">
      <c r="A469" t="s">
        <v>3839</v>
      </c>
      <c r="B469" t="s">
        <v>3840</v>
      </c>
      <c r="C469" t="s">
        <v>41</v>
      </c>
      <c r="D469" t="s">
        <v>3841</v>
      </c>
      <c r="E469" t="s">
        <v>3842</v>
      </c>
      <c r="F469" t="s">
        <v>47</v>
      </c>
      <c r="G469" t="s">
        <v>47</v>
      </c>
      <c r="H469" t="s">
        <v>85</v>
      </c>
      <c r="I469" t="s">
        <v>47</v>
      </c>
      <c r="J469" t="s">
        <v>47</v>
      </c>
      <c r="K469" t="s">
        <v>48</v>
      </c>
      <c r="L469" t="s">
        <v>47</v>
      </c>
      <c r="M469" s="1">
        <v>46085</v>
      </c>
      <c r="N469" s="1">
        <v>46085</v>
      </c>
      <c r="O469" s="1">
        <v>46085</v>
      </c>
      <c r="P469" t="s">
        <v>49</v>
      </c>
      <c r="Q469" t="s">
        <v>50</v>
      </c>
      <c r="R469">
        <v>2</v>
      </c>
      <c r="S469" t="b">
        <v>0</v>
      </c>
      <c r="T469" t="s">
        <v>47</v>
      </c>
      <c r="U469" t="s">
        <v>47</v>
      </c>
      <c r="V469" t="s">
        <v>47</v>
      </c>
      <c r="W469" t="s">
        <v>47</v>
      </c>
      <c r="X469" t="s">
        <v>51</v>
      </c>
      <c r="Y469" t="b">
        <v>0</v>
      </c>
      <c r="Z469" t="s">
        <v>47</v>
      </c>
      <c r="AA469" t="s">
        <v>47</v>
      </c>
      <c r="AB469" t="s">
        <v>47</v>
      </c>
      <c r="AC469" t="b">
        <v>1</v>
      </c>
      <c r="AD469" t="s">
        <v>52</v>
      </c>
      <c r="AE469" t="s">
        <v>3843</v>
      </c>
      <c r="AF469" t="s">
        <v>3841</v>
      </c>
      <c r="AG469" t="s">
        <v>3611</v>
      </c>
      <c r="AH469" t="s">
        <v>87</v>
      </c>
      <c r="AI469" s="2">
        <v>46160.775243055556</v>
      </c>
      <c r="AJ469" t="s">
        <v>47</v>
      </c>
      <c r="AK469" t="s">
        <v>47</v>
      </c>
      <c r="AL469" s="2">
        <v>46160.775243055556</v>
      </c>
      <c r="AM469" s="2">
        <v>46160.775243055556</v>
      </c>
    </row>
    <row r="470" spans="1:39" x14ac:dyDescent="0.3">
      <c r="A470" s="14" t="s">
        <v>3117</v>
      </c>
      <c r="B470" s="14" t="s">
        <v>3118</v>
      </c>
      <c r="C470" s="14" t="s">
        <v>41</v>
      </c>
      <c r="D470" s="14" t="s">
        <v>3119</v>
      </c>
      <c r="E470" s="14" t="s">
        <v>3120</v>
      </c>
      <c r="F470" s="14" t="s">
        <v>3099</v>
      </c>
      <c r="G470" s="14" t="s">
        <v>3100</v>
      </c>
      <c r="H470" s="14" t="s">
        <v>3101</v>
      </c>
      <c r="I470" s="14" t="s">
        <v>47</v>
      </c>
      <c r="J470" s="14" t="s">
        <v>47</v>
      </c>
      <c r="K470" s="14" t="s">
        <v>47</v>
      </c>
      <c r="L470" s="14" t="s">
        <v>47</v>
      </c>
      <c r="M470" s="1">
        <v>46085</v>
      </c>
      <c r="N470" s="1">
        <v>46085</v>
      </c>
      <c r="O470" s="1">
        <v>46085</v>
      </c>
      <c r="P470" s="14" t="s">
        <v>183</v>
      </c>
      <c r="Q470" s="14" t="s">
        <v>184</v>
      </c>
      <c r="R470">
        <v>2</v>
      </c>
      <c r="S470" t="b">
        <v>0</v>
      </c>
      <c r="T470" s="14" t="s">
        <v>47</v>
      </c>
      <c r="U470" s="14" t="s">
        <v>47</v>
      </c>
      <c r="V470" s="14" t="s">
        <v>47</v>
      </c>
      <c r="W470" s="14" t="s">
        <v>47</v>
      </c>
      <c r="X470" s="14" t="s">
        <v>51</v>
      </c>
      <c r="Y470" t="b">
        <v>0</v>
      </c>
      <c r="Z470" s="14" t="s">
        <v>47</v>
      </c>
      <c r="AA470" s="14" t="s">
        <v>47</v>
      </c>
      <c r="AB470" s="14" t="s">
        <v>47</v>
      </c>
      <c r="AC470" t="b">
        <v>1</v>
      </c>
      <c r="AD470" s="14" t="s">
        <v>52</v>
      </c>
      <c r="AE470" s="14" t="s">
        <v>3121</v>
      </c>
      <c r="AF470" s="14" t="s">
        <v>3119</v>
      </c>
      <c r="AG470" s="14" t="s">
        <v>47</v>
      </c>
      <c r="AH470" s="14" t="s">
        <v>87</v>
      </c>
      <c r="AI470" s="2">
        <v>46160.752071759256</v>
      </c>
      <c r="AJ470" s="14" t="s">
        <v>47</v>
      </c>
      <c r="AK470" s="14" t="s">
        <v>47</v>
      </c>
      <c r="AL470" s="2">
        <v>46160.752071759256</v>
      </c>
      <c r="AM470" s="2">
        <v>46160.752071759256</v>
      </c>
    </row>
    <row r="471" spans="1:39" x14ac:dyDescent="0.3">
      <c r="A471" s="14" t="s">
        <v>3274</v>
      </c>
      <c r="B471" s="14" t="s">
        <v>3275</v>
      </c>
      <c r="C471" s="14" t="s">
        <v>41</v>
      </c>
      <c r="D471" s="14" t="s">
        <v>3276</v>
      </c>
      <c r="E471" s="14" t="s">
        <v>3277</v>
      </c>
      <c r="F471" s="14" t="s">
        <v>3099</v>
      </c>
      <c r="G471" s="14" t="s">
        <v>3100</v>
      </c>
      <c r="H471" s="14" t="s">
        <v>3101</v>
      </c>
      <c r="I471" s="14" t="s">
        <v>47</v>
      </c>
      <c r="J471" s="14" t="s">
        <v>47</v>
      </c>
      <c r="K471" s="14" t="s">
        <v>47</v>
      </c>
      <c r="L471" s="14" t="s">
        <v>47</v>
      </c>
      <c r="M471" s="1">
        <v>46085</v>
      </c>
      <c r="N471" s="1">
        <v>46085</v>
      </c>
      <c r="O471" s="1">
        <v>46085</v>
      </c>
      <c r="P471" s="14" t="s">
        <v>183</v>
      </c>
      <c r="Q471" s="14" t="s">
        <v>184</v>
      </c>
      <c r="R471">
        <v>2</v>
      </c>
      <c r="S471" t="b">
        <v>0</v>
      </c>
      <c r="T471" s="14" t="s">
        <v>47</v>
      </c>
      <c r="U471" s="14" t="s">
        <v>47</v>
      </c>
      <c r="V471" s="14" t="s">
        <v>47</v>
      </c>
      <c r="W471" s="14" t="s">
        <v>47</v>
      </c>
      <c r="X471" s="14" t="s">
        <v>51</v>
      </c>
      <c r="Y471" t="b">
        <v>0</v>
      </c>
      <c r="Z471" s="14" t="s">
        <v>47</v>
      </c>
      <c r="AA471" s="14" t="s">
        <v>47</v>
      </c>
      <c r="AB471" s="14" t="s">
        <v>47</v>
      </c>
      <c r="AC471" t="b">
        <v>1</v>
      </c>
      <c r="AD471" s="14" t="s">
        <v>52</v>
      </c>
      <c r="AE471" s="14" t="s">
        <v>3278</v>
      </c>
      <c r="AF471" s="14" t="s">
        <v>3276</v>
      </c>
      <c r="AG471" s="14" t="s">
        <v>47</v>
      </c>
      <c r="AH471" s="14" t="s">
        <v>87</v>
      </c>
      <c r="AI471" s="2">
        <v>46160.752071759256</v>
      </c>
      <c r="AJ471" s="14" t="s">
        <v>47</v>
      </c>
      <c r="AK471" s="14" t="s">
        <v>47</v>
      </c>
      <c r="AL471" s="2">
        <v>46160.752071759256</v>
      </c>
      <c r="AM471" s="2">
        <v>46160.752071759256</v>
      </c>
    </row>
    <row r="472" spans="1:39" x14ac:dyDescent="0.3">
      <c r="A472" t="s">
        <v>3781</v>
      </c>
      <c r="B472" t="s">
        <v>3782</v>
      </c>
      <c r="C472" t="s">
        <v>41</v>
      </c>
      <c r="D472" t="s">
        <v>3783</v>
      </c>
      <c r="E472" t="s">
        <v>3784</v>
      </c>
      <c r="F472" t="s">
        <v>47</v>
      </c>
      <c r="G472" t="s">
        <v>47</v>
      </c>
      <c r="H472" t="s">
        <v>2059</v>
      </c>
      <c r="I472" t="s">
        <v>47</v>
      </c>
      <c r="J472" t="s">
        <v>47</v>
      </c>
      <c r="K472" t="s">
        <v>47</v>
      </c>
      <c r="L472" t="s">
        <v>47</v>
      </c>
      <c r="M472" s="1">
        <v>46085</v>
      </c>
      <c r="N472" s="1">
        <v>46085</v>
      </c>
      <c r="O472" s="1">
        <v>46085</v>
      </c>
      <c r="P472" t="s">
        <v>1678</v>
      </c>
      <c r="Q472" t="s">
        <v>50</v>
      </c>
      <c r="R472">
        <v>1</v>
      </c>
      <c r="S472" t="b">
        <v>0</v>
      </c>
      <c r="T472" t="s">
        <v>47</v>
      </c>
      <c r="U472" t="s">
        <v>47</v>
      </c>
      <c r="V472" t="s">
        <v>47</v>
      </c>
      <c r="W472" t="s">
        <v>47</v>
      </c>
      <c r="X472" t="s">
        <v>51</v>
      </c>
      <c r="Y472" t="b">
        <v>0</v>
      </c>
      <c r="Z472" t="s">
        <v>47</v>
      </c>
      <c r="AA472" t="s">
        <v>47</v>
      </c>
      <c r="AB472" t="s">
        <v>47</v>
      </c>
      <c r="AC472" t="b">
        <v>1</v>
      </c>
      <c r="AD472" t="s">
        <v>52</v>
      </c>
      <c r="AE472" t="s">
        <v>3785</v>
      </c>
      <c r="AF472" t="s">
        <v>3783</v>
      </c>
      <c r="AG472" t="s">
        <v>3611</v>
      </c>
      <c r="AH472" t="s">
        <v>87</v>
      </c>
      <c r="AI472" s="2">
        <v>46160.775243055556</v>
      </c>
      <c r="AJ472" t="s">
        <v>47</v>
      </c>
      <c r="AK472" t="s">
        <v>47</v>
      </c>
      <c r="AL472" s="2">
        <v>46160.775243055556</v>
      </c>
      <c r="AM472" s="2">
        <v>46160.775243055556</v>
      </c>
    </row>
    <row r="473" spans="1:39" x14ac:dyDescent="0.3">
      <c r="A473" s="14" t="s">
        <v>3122</v>
      </c>
      <c r="B473" s="14" t="s">
        <v>3123</v>
      </c>
      <c r="C473" s="14" t="s">
        <v>41</v>
      </c>
      <c r="D473" s="14" t="s">
        <v>3124</v>
      </c>
      <c r="E473" s="14" t="s">
        <v>3125</v>
      </c>
      <c r="F473" s="14" t="s">
        <v>3076</v>
      </c>
      <c r="G473" s="14" t="s">
        <v>3077</v>
      </c>
      <c r="H473" s="14" t="s">
        <v>3078</v>
      </c>
      <c r="I473" s="14" t="s">
        <v>47</v>
      </c>
      <c r="J473" s="14" t="s">
        <v>47</v>
      </c>
      <c r="K473" s="14" t="s">
        <v>3079</v>
      </c>
      <c r="L473" s="14" t="s">
        <v>47</v>
      </c>
      <c r="M473" s="1">
        <v>46086</v>
      </c>
      <c r="N473" s="1">
        <v>46086</v>
      </c>
      <c r="O473" s="1">
        <v>46086</v>
      </c>
      <c r="P473" s="14" t="s">
        <v>64</v>
      </c>
      <c r="Q473" s="14" t="s">
        <v>50</v>
      </c>
      <c r="R473">
        <v>2</v>
      </c>
      <c r="S473" t="b">
        <v>0</v>
      </c>
      <c r="T473" s="14" t="s">
        <v>47</v>
      </c>
      <c r="U473" s="14" t="s">
        <v>47</v>
      </c>
      <c r="V473" s="14" t="s">
        <v>47</v>
      </c>
      <c r="W473" s="14" t="s">
        <v>47</v>
      </c>
      <c r="X473" s="14" t="s">
        <v>51</v>
      </c>
      <c r="Y473" t="b">
        <v>0</v>
      </c>
      <c r="Z473" s="14" t="s">
        <v>47</v>
      </c>
      <c r="AA473" s="14" t="s">
        <v>47</v>
      </c>
      <c r="AB473" s="14" t="s">
        <v>47</v>
      </c>
      <c r="AC473" t="b">
        <v>1</v>
      </c>
      <c r="AD473" s="14" t="s">
        <v>52</v>
      </c>
      <c r="AE473" s="14" t="s">
        <v>3126</v>
      </c>
      <c r="AF473" s="14" t="s">
        <v>3124</v>
      </c>
      <c r="AG473" s="14" t="s">
        <v>47</v>
      </c>
      <c r="AH473" s="14" t="s">
        <v>87</v>
      </c>
      <c r="AI473" s="2">
        <v>46160.752071759256</v>
      </c>
      <c r="AJ473" s="14" t="s">
        <v>47</v>
      </c>
      <c r="AK473" s="14" t="s">
        <v>47</v>
      </c>
      <c r="AL473" s="2">
        <v>46160.752071759256</v>
      </c>
      <c r="AM473" s="2">
        <v>46160.752071759256</v>
      </c>
    </row>
    <row r="474" spans="1:39" x14ac:dyDescent="0.3">
      <c r="A474" t="s">
        <v>3612</v>
      </c>
      <c r="B474" t="s">
        <v>3613</v>
      </c>
      <c r="C474" t="s">
        <v>41</v>
      </c>
      <c r="D474" t="s">
        <v>3614</v>
      </c>
      <c r="E474" t="s">
        <v>3615</v>
      </c>
      <c r="F474" t="s">
        <v>47</v>
      </c>
      <c r="G474" t="s">
        <v>47</v>
      </c>
      <c r="H474" t="s">
        <v>85</v>
      </c>
      <c r="I474" t="s">
        <v>47</v>
      </c>
      <c r="J474" t="s">
        <v>47</v>
      </c>
      <c r="K474" t="s">
        <v>48</v>
      </c>
      <c r="L474" t="s">
        <v>47</v>
      </c>
      <c r="M474" s="1">
        <v>46086</v>
      </c>
      <c r="N474" s="1">
        <v>46086</v>
      </c>
      <c r="O474" s="1">
        <v>46086</v>
      </c>
      <c r="P474" t="s">
        <v>49</v>
      </c>
      <c r="Q474" t="s">
        <v>50</v>
      </c>
      <c r="R474">
        <v>2</v>
      </c>
      <c r="S474" t="b">
        <v>0</v>
      </c>
      <c r="T474" t="s">
        <v>47</v>
      </c>
      <c r="U474" t="s">
        <v>47</v>
      </c>
      <c r="V474" t="s">
        <v>47</v>
      </c>
      <c r="W474" t="s">
        <v>47</v>
      </c>
      <c r="X474" t="s">
        <v>51</v>
      </c>
      <c r="Y474" t="b">
        <v>0</v>
      </c>
      <c r="Z474" t="s">
        <v>47</v>
      </c>
      <c r="AA474" t="s">
        <v>47</v>
      </c>
      <c r="AB474" t="s">
        <v>47</v>
      </c>
      <c r="AC474" t="b">
        <v>1</v>
      </c>
      <c r="AD474" t="s">
        <v>52</v>
      </c>
      <c r="AE474" t="s">
        <v>3616</v>
      </c>
      <c r="AF474" t="s">
        <v>3614</v>
      </c>
      <c r="AG474" t="s">
        <v>3611</v>
      </c>
      <c r="AH474" t="s">
        <v>87</v>
      </c>
      <c r="AI474" s="2">
        <v>46160.775231481479</v>
      </c>
      <c r="AJ474" t="s">
        <v>47</v>
      </c>
      <c r="AK474" t="s">
        <v>47</v>
      </c>
      <c r="AL474" s="2">
        <v>46160.775231481479</v>
      </c>
      <c r="AM474" s="2">
        <v>46160.775231481479</v>
      </c>
    </row>
    <row r="475" spans="1:39" x14ac:dyDescent="0.3">
      <c r="A475" s="14" t="s">
        <v>3510</v>
      </c>
      <c r="B475" s="14" t="s">
        <v>3511</v>
      </c>
      <c r="C475" s="14" t="s">
        <v>41</v>
      </c>
      <c r="D475" s="14" t="s">
        <v>3512</v>
      </c>
      <c r="E475" s="14" t="s">
        <v>3513</v>
      </c>
      <c r="F475" s="14" t="s">
        <v>83</v>
      </c>
      <c r="G475" s="14" t="s">
        <v>84</v>
      </c>
      <c r="H475" s="14" t="s">
        <v>85</v>
      </c>
      <c r="I475" s="14" t="s">
        <v>47</v>
      </c>
      <c r="J475" s="14" t="s">
        <v>47</v>
      </c>
      <c r="K475" s="14" t="s">
        <v>48</v>
      </c>
      <c r="L475" s="14" t="s">
        <v>47</v>
      </c>
      <c r="M475" s="1">
        <v>46086</v>
      </c>
      <c r="N475" s="1">
        <v>46086</v>
      </c>
      <c r="O475" s="1">
        <v>46086</v>
      </c>
      <c r="P475" s="14" t="s">
        <v>49</v>
      </c>
      <c r="Q475" s="14" t="s">
        <v>50</v>
      </c>
      <c r="R475">
        <v>2</v>
      </c>
      <c r="S475" t="b">
        <v>0</v>
      </c>
      <c r="T475" s="14" t="s">
        <v>47</v>
      </c>
      <c r="U475" s="14" t="s">
        <v>47</v>
      </c>
      <c r="V475" s="14" t="s">
        <v>47</v>
      </c>
      <c r="W475" s="14" t="s">
        <v>47</v>
      </c>
      <c r="X475" s="14" t="s">
        <v>51</v>
      </c>
      <c r="Y475" t="b">
        <v>0</v>
      </c>
      <c r="Z475" s="14" t="s">
        <v>47</v>
      </c>
      <c r="AA475" s="14" t="s">
        <v>47</v>
      </c>
      <c r="AB475" s="14" t="s">
        <v>47</v>
      </c>
      <c r="AC475" t="b">
        <v>1</v>
      </c>
      <c r="AD475" s="14" t="s">
        <v>52</v>
      </c>
      <c r="AE475" s="14" t="s">
        <v>3514</v>
      </c>
      <c r="AF475" s="14" t="s">
        <v>3512</v>
      </c>
      <c r="AG475" s="14" t="s">
        <v>47</v>
      </c>
      <c r="AH475" s="14" t="s">
        <v>87</v>
      </c>
      <c r="AI475" s="2">
        <v>46160.757951388892</v>
      </c>
      <c r="AJ475" s="14" t="s">
        <v>47</v>
      </c>
      <c r="AK475" s="14" t="s">
        <v>47</v>
      </c>
      <c r="AL475" s="2">
        <v>46160.757951388892</v>
      </c>
      <c r="AM475" s="2">
        <v>46160.757951388892</v>
      </c>
    </row>
    <row r="476" spans="1:39" x14ac:dyDescent="0.3">
      <c r="A476" s="14" t="s">
        <v>3515</v>
      </c>
      <c r="B476" s="14" t="s">
        <v>3516</v>
      </c>
      <c r="C476" s="14" t="s">
        <v>41</v>
      </c>
      <c r="D476" s="14" t="s">
        <v>3517</v>
      </c>
      <c r="E476" s="14" t="s">
        <v>3518</v>
      </c>
      <c r="F476" s="14" t="s">
        <v>83</v>
      </c>
      <c r="G476" s="14" t="s">
        <v>84</v>
      </c>
      <c r="H476" s="14" t="s">
        <v>85</v>
      </c>
      <c r="I476" s="14" t="s">
        <v>47</v>
      </c>
      <c r="J476" s="14" t="s">
        <v>47</v>
      </c>
      <c r="K476" s="14" t="s">
        <v>48</v>
      </c>
      <c r="L476" s="14" t="s">
        <v>47</v>
      </c>
      <c r="M476" s="1">
        <v>46086</v>
      </c>
      <c r="N476" s="1">
        <v>46086</v>
      </c>
      <c r="O476" s="1">
        <v>46086</v>
      </c>
      <c r="P476" s="14" t="s">
        <v>49</v>
      </c>
      <c r="Q476" s="14" t="s">
        <v>50</v>
      </c>
      <c r="R476">
        <v>2</v>
      </c>
      <c r="S476" t="b">
        <v>0</v>
      </c>
      <c r="T476" s="14" t="s">
        <v>47</v>
      </c>
      <c r="U476" s="14" t="s">
        <v>47</v>
      </c>
      <c r="V476" s="14" t="s">
        <v>47</v>
      </c>
      <c r="W476" s="14" t="s">
        <v>47</v>
      </c>
      <c r="X476" s="14" t="s">
        <v>51</v>
      </c>
      <c r="Y476" t="b">
        <v>0</v>
      </c>
      <c r="Z476" s="14" t="s">
        <v>47</v>
      </c>
      <c r="AA476" s="14" t="s">
        <v>47</v>
      </c>
      <c r="AB476" s="14" t="s">
        <v>47</v>
      </c>
      <c r="AC476" t="b">
        <v>1</v>
      </c>
      <c r="AD476" s="14" t="s">
        <v>52</v>
      </c>
      <c r="AE476" s="14" t="s">
        <v>3519</v>
      </c>
      <c r="AF476" s="14" t="s">
        <v>3517</v>
      </c>
      <c r="AG476" s="14" t="s">
        <v>47</v>
      </c>
      <c r="AH476" s="14" t="s">
        <v>87</v>
      </c>
      <c r="AI476" s="2">
        <v>46160.757951388892</v>
      </c>
      <c r="AJ476" s="14" t="s">
        <v>47</v>
      </c>
      <c r="AK476" s="14" t="s">
        <v>47</v>
      </c>
      <c r="AL476" s="2">
        <v>46160.757951388892</v>
      </c>
      <c r="AM476" s="2">
        <v>46160.757951388892</v>
      </c>
    </row>
    <row r="477" spans="1:39" x14ac:dyDescent="0.3">
      <c r="A477" s="14" t="s">
        <v>3279</v>
      </c>
      <c r="B477" s="14" t="s">
        <v>3280</v>
      </c>
      <c r="C477" s="14" t="s">
        <v>41</v>
      </c>
      <c r="D477" s="14" t="s">
        <v>3281</v>
      </c>
      <c r="E477" s="14" t="s">
        <v>3282</v>
      </c>
      <c r="F477" s="14" t="s">
        <v>83</v>
      </c>
      <c r="G477" s="14" t="s">
        <v>84</v>
      </c>
      <c r="H477" s="14" t="s">
        <v>85</v>
      </c>
      <c r="I477" s="14" t="s">
        <v>47</v>
      </c>
      <c r="J477" s="14" t="s">
        <v>47</v>
      </c>
      <c r="K477" s="14" t="s">
        <v>48</v>
      </c>
      <c r="L477" s="14" t="s">
        <v>47</v>
      </c>
      <c r="M477" s="1">
        <v>41207</v>
      </c>
      <c r="N477" s="1">
        <v>41207</v>
      </c>
      <c r="O477" s="1">
        <v>41207</v>
      </c>
      <c r="P477" s="14" t="s">
        <v>49</v>
      </c>
      <c r="Q477" s="14" t="s">
        <v>50</v>
      </c>
      <c r="R477">
        <v>2</v>
      </c>
      <c r="S477" t="b">
        <v>0</v>
      </c>
      <c r="T477" s="14" t="s">
        <v>47</v>
      </c>
      <c r="U477" s="14" t="s">
        <v>47</v>
      </c>
      <c r="V477" s="14" t="s">
        <v>47</v>
      </c>
      <c r="W477" s="14" t="s">
        <v>47</v>
      </c>
      <c r="X477" s="14" t="s">
        <v>51</v>
      </c>
      <c r="Y477" t="b">
        <v>0</v>
      </c>
      <c r="Z477" s="14" t="s">
        <v>47</v>
      </c>
      <c r="AA477" s="14" t="s">
        <v>47</v>
      </c>
      <c r="AB477" s="14" t="s">
        <v>47</v>
      </c>
      <c r="AC477" t="b">
        <v>1</v>
      </c>
      <c r="AD477" s="14" t="s">
        <v>52</v>
      </c>
      <c r="AE477" s="14" t="s">
        <v>3283</v>
      </c>
      <c r="AF477" s="14" t="s">
        <v>3281</v>
      </c>
      <c r="AG477" s="14" t="s">
        <v>47</v>
      </c>
      <c r="AH477" s="14" t="s">
        <v>87</v>
      </c>
      <c r="AI477" s="2">
        <v>46160.752071759256</v>
      </c>
      <c r="AJ477" s="14" t="s">
        <v>47</v>
      </c>
      <c r="AK477" s="14" t="s">
        <v>47</v>
      </c>
      <c r="AL477" s="2">
        <v>46160.752071759256</v>
      </c>
      <c r="AM477" s="2">
        <v>46160.752071759256</v>
      </c>
    </row>
    <row r="478" spans="1:39" x14ac:dyDescent="0.3">
      <c r="A478" s="14" t="s">
        <v>3284</v>
      </c>
      <c r="B478" s="14" t="s">
        <v>3285</v>
      </c>
      <c r="C478" s="14" t="s">
        <v>41</v>
      </c>
      <c r="D478" s="14" t="s">
        <v>3286</v>
      </c>
      <c r="E478" s="14" t="s">
        <v>3287</v>
      </c>
      <c r="F478" s="14" t="s">
        <v>83</v>
      </c>
      <c r="G478" s="14" t="s">
        <v>84</v>
      </c>
      <c r="H478" s="14" t="s">
        <v>85</v>
      </c>
      <c r="I478" s="14" t="s">
        <v>47</v>
      </c>
      <c r="J478" s="14" t="s">
        <v>47</v>
      </c>
      <c r="K478" s="14" t="s">
        <v>48</v>
      </c>
      <c r="L478" s="14" t="s">
        <v>47</v>
      </c>
      <c r="M478" s="1">
        <v>46086</v>
      </c>
      <c r="N478" s="1">
        <v>46086</v>
      </c>
      <c r="O478" s="1">
        <v>46086</v>
      </c>
      <c r="P478" s="14" t="s">
        <v>49</v>
      </c>
      <c r="Q478" s="14" t="s">
        <v>50</v>
      </c>
      <c r="R478">
        <v>2</v>
      </c>
      <c r="S478" t="b">
        <v>0</v>
      </c>
      <c r="T478" s="14" t="s">
        <v>47</v>
      </c>
      <c r="U478" s="14" t="s">
        <v>47</v>
      </c>
      <c r="V478" s="14" t="s">
        <v>47</v>
      </c>
      <c r="W478" s="14" t="s">
        <v>47</v>
      </c>
      <c r="X478" s="14" t="s">
        <v>51</v>
      </c>
      <c r="Y478" t="b">
        <v>0</v>
      </c>
      <c r="Z478" s="14" t="s">
        <v>47</v>
      </c>
      <c r="AA478" s="14" t="s">
        <v>47</v>
      </c>
      <c r="AB478" s="14" t="s">
        <v>47</v>
      </c>
      <c r="AC478" t="b">
        <v>1</v>
      </c>
      <c r="AD478" s="14" t="s">
        <v>52</v>
      </c>
      <c r="AE478" s="14" t="s">
        <v>3288</v>
      </c>
      <c r="AF478" s="14" t="s">
        <v>3286</v>
      </c>
      <c r="AG478" s="14" t="s">
        <v>47</v>
      </c>
      <c r="AH478" s="14" t="s">
        <v>87</v>
      </c>
      <c r="AI478" s="2">
        <v>46160.752071759256</v>
      </c>
      <c r="AJ478" s="14" t="s">
        <v>47</v>
      </c>
      <c r="AK478" s="14" t="s">
        <v>47</v>
      </c>
      <c r="AL478" s="2">
        <v>46160.752071759256</v>
      </c>
      <c r="AM478" s="2">
        <v>46160.752071759256</v>
      </c>
    </row>
    <row r="479" spans="1:39" x14ac:dyDescent="0.3">
      <c r="A479" s="14" t="s">
        <v>3289</v>
      </c>
      <c r="B479" s="14" t="s">
        <v>3290</v>
      </c>
      <c r="C479" s="14" t="s">
        <v>41</v>
      </c>
      <c r="D479" s="14" t="s">
        <v>3291</v>
      </c>
      <c r="E479" s="14" t="s">
        <v>3292</v>
      </c>
      <c r="F479" s="14" t="s">
        <v>83</v>
      </c>
      <c r="G479" s="14" t="s">
        <v>84</v>
      </c>
      <c r="H479" s="14" t="s">
        <v>85</v>
      </c>
      <c r="I479" s="14" t="s">
        <v>47</v>
      </c>
      <c r="J479" s="14" t="s">
        <v>47</v>
      </c>
      <c r="K479" s="14" t="s">
        <v>48</v>
      </c>
      <c r="L479" s="14" t="s">
        <v>47</v>
      </c>
      <c r="M479" s="1">
        <v>46086</v>
      </c>
      <c r="N479" s="1">
        <v>46086</v>
      </c>
      <c r="O479" s="1">
        <v>46086</v>
      </c>
      <c r="P479" s="14" t="s">
        <v>49</v>
      </c>
      <c r="Q479" s="14" t="s">
        <v>50</v>
      </c>
      <c r="R479">
        <v>2</v>
      </c>
      <c r="S479" t="b">
        <v>0</v>
      </c>
      <c r="T479" s="14" t="s">
        <v>47</v>
      </c>
      <c r="U479" s="14" t="s">
        <v>47</v>
      </c>
      <c r="V479" s="14" t="s">
        <v>47</v>
      </c>
      <c r="W479" s="14" t="s">
        <v>47</v>
      </c>
      <c r="X479" s="14" t="s">
        <v>51</v>
      </c>
      <c r="Y479" t="b">
        <v>0</v>
      </c>
      <c r="Z479" s="14" t="s">
        <v>47</v>
      </c>
      <c r="AA479" s="14" t="s">
        <v>47</v>
      </c>
      <c r="AB479" s="14" t="s">
        <v>47</v>
      </c>
      <c r="AC479" t="b">
        <v>1</v>
      </c>
      <c r="AD479" s="14" t="s">
        <v>52</v>
      </c>
      <c r="AE479" s="14" t="s">
        <v>3293</v>
      </c>
      <c r="AF479" s="14" t="s">
        <v>3291</v>
      </c>
      <c r="AG479" s="14" t="s">
        <v>47</v>
      </c>
      <c r="AH479" s="14" t="s">
        <v>87</v>
      </c>
      <c r="AI479" s="2">
        <v>46160.752071759256</v>
      </c>
      <c r="AJ479" s="14" t="s">
        <v>47</v>
      </c>
      <c r="AK479" s="14" t="s">
        <v>47</v>
      </c>
      <c r="AL479" s="2">
        <v>46160.752071759256</v>
      </c>
      <c r="AM479" s="2">
        <v>46160.752071759256</v>
      </c>
    </row>
    <row r="480" spans="1:39" x14ac:dyDescent="0.3">
      <c r="A480" t="s">
        <v>3844</v>
      </c>
      <c r="B480" t="s">
        <v>3845</v>
      </c>
      <c r="C480" t="s">
        <v>41</v>
      </c>
      <c r="D480" t="s">
        <v>3846</v>
      </c>
      <c r="E480" t="s">
        <v>3847</v>
      </c>
      <c r="F480" t="s">
        <v>47</v>
      </c>
      <c r="G480" t="s">
        <v>47</v>
      </c>
      <c r="H480" t="s">
        <v>85</v>
      </c>
      <c r="I480" t="s">
        <v>47</v>
      </c>
      <c r="J480" t="s">
        <v>47</v>
      </c>
      <c r="K480" t="s">
        <v>48</v>
      </c>
      <c r="L480" t="s">
        <v>47</v>
      </c>
      <c r="M480" s="1">
        <v>46086</v>
      </c>
      <c r="N480" s="1">
        <v>46086</v>
      </c>
      <c r="O480" s="1">
        <v>46086</v>
      </c>
      <c r="P480" t="s">
        <v>49</v>
      </c>
      <c r="Q480" t="s">
        <v>50</v>
      </c>
      <c r="R480">
        <v>2</v>
      </c>
      <c r="S480" t="b">
        <v>0</v>
      </c>
      <c r="T480" t="s">
        <v>47</v>
      </c>
      <c r="U480" t="s">
        <v>47</v>
      </c>
      <c r="V480" t="s">
        <v>47</v>
      </c>
      <c r="W480" t="s">
        <v>47</v>
      </c>
      <c r="X480" t="s">
        <v>51</v>
      </c>
      <c r="Y480" t="b">
        <v>0</v>
      </c>
      <c r="Z480" t="s">
        <v>47</v>
      </c>
      <c r="AA480" t="s">
        <v>47</v>
      </c>
      <c r="AB480" t="s">
        <v>47</v>
      </c>
      <c r="AC480" t="b">
        <v>1</v>
      </c>
      <c r="AD480" t="s">
        <v>52</v>
      </c>
      <c r="AE480" t="s">
        <v>3848</v>
      </c>
      <c r="AF480" t="s">
        <v>3846</v>
      </c>
      <c r="AG480" t="s">
        <v>3611</v>
      </c>
      <c r="AH480" t="s">
        <v>87</v>
      </c>
      <c r="AI480" s="2">
        <v>46160.775243055556</v>
      </c>
      <c r="AJ480" t="s">
        <v>47</v>
      </c>
      <c r="AK480" t="s">
        <v>47</v>
      </c>
      <c r="AL480" s="2">
        <v>46160.775243055556</v>
      </c>
      <c r="AM480" s="2">
        <v>46160.775243055556</v>
      </c>
    </row>
    <row r="481" spans="1:39" x14ac:dyDescent="0.3">
      <c r="A481" t="s">
        <v>3731</v>
      </c>
      <c r="B481" t="s">
        <v>3732</v>
      </c>
      <c r="C481" t="s">
        <v>41</v>
      </c>
      <c r="D481" t="s">
        <v>3733</v>
      </c>
      <c r="E481" t="s">
        <v>3734</v>
      </c>
      <c r="F481" t="s">
        <v>47</v>
      </c>
      <c r="G481" t="s">
        <v>47</v>
      </c>
      <c r="H481" t="s">
        <v>85</v>
      </c>
      <c r="I481" t="s">
        <v>47</v>
      </c>
      <c r="J481" t="s">
        <v>47</v>
      </c>
      <c r="K481" t="s">
        <v>48</v>
      </c>
      <c r="L481" t="s">
        <v>47</v>
      </c>
      <c r="M481" s="1">
        <v>46086</v>
      </c>
      <c r="N481" s="1">
        <v>46086</v>
      </c>
      <c r="O481" s="1">
        <v>46086</v>
      </c>
      <c r="P481" t="s">
        <v>49</v>
      </c>
      <c r="Q481" t="s">
        <v>50</v>
      </c>
      <c r="R481">
        <v>2</v>
      </c>
      <c r="S481" t="b">
        <v>0</v>
      </c>
      <c r="T481" t="s">
        <v>47</v>
      </c>
      <c r="U481" t="s">
        <v>47</v>
      </c>
      <c r="V481" t="s">
        <v>47</v>
      </c>
      <c r="W481" t="s">
        <v>47</v>
      </c>
      <c r="X481" t="s">
        <v>51</v>
      </c>
      <c r="Y481" t="b">
        <v>0</v>
      </c>
      <c r="Z481" t="s">
        <v>47</v>
      </c>
      <c r="AA481" t="s">
        <v>47</v>
      </c>
      <c r="AB481" t="s">
        <v>47</v>
      </c>
      <c r="AC481" t="b">
        <v>1</v>
      </c>
      <c r="AD481" t="s">
        <v>52</v>
      </c>
      <c r="AE481" t="s">
        <v>3735</v>
      </c>
      <c r="AF481" t="s">
        <v>3733</v>
      </c>
      <c r="AG481" t="s">
        <v>3611</v>
      </c>
      <c r="AH481" t="s">
        <v>87</v>
      </c>
      <c r="AI481" s="2">
        <v>46160.775231481479</v>
      </c>
      <c r="AJ481" t="s">
        <v>47</v>
      </c>
      <c r="AK481" t="s">
        <v>47</v>
      </c>
      <c r="AL481" s="2">
        <v>46160.775231481479</v>
      </c>
      <c r="AM481" s="2">
        <v>46160.775231481479</v>
      </c>
    </row>
    <row r="482" spans="1:39" x14ac:dyDescent="0.3">
      <c r="A482" t="s">
        <v>3647</v>
      </c>
      <c r="B482" t="s">
        <v>3648</v>
      </c>
      <c r="C482" t="s">
        <v>41</v>
      </c>
      <c r="D482" t="s">
        <v>3649</v>
      </c>
      <c r="E482" t="s">
        <v>3650</v>
      </c>
      <c r="F482" t="s">
        <v>47</v>
      </c>
      <c r="G482" t="s">
        <v>47</v>
      </c>
      <c r="H482" t="s">
        <v>85</v>
      </c>
      <c r="I482" t="s">
        <v>47</v>
      </c>
      <c r="J482" t="s">
        <v>47</v>
      </c>
      <c r="K482" t="s">
        <v>48</v>
      </c>
      <c r="L482" t="s">
        <v>47</v>
      </c>
      <c r="M482" s="1">
        <v>46086</v>
      </c>
      <c r="N482" s="1">
        <v>46086</v>
      </c>
      <c r="O482" s="1">
        <v>46086</v>
      </c>
      <c r="P482" t="s">
        <v>49</v>
      </c>
      <c r="Q482" t="s">
        <v>50</v>
      </c>
      <c r="R482">
        <v>2</v>
      </c>
      <c r="S482" t="b">
        <v>0</v>
      </c>
      <c r="T482" t="s">
        <v>47</v>
      </c>
      <c r="U482" t="s">
        <v>47</v>
      </c>
      <c r="V482" t="s">
        <v>47</v>
      </c>
      <c r="W482" t="s">
        <v>47</v>
      </c>
      <c r="X482" t="s">
        <v>51</v>
      </c>
      <c r="Y482" t="b">
        <v>0</v>
      </c>
      <c r="Z482" t="s">
        <v>47</v>
      </c>
      <c r="AA482" t="s">
        <v>47</v>
      </c>
      <c r="AB482" t="s">
        <v>47</v>
      </c>
      <c r="AC482" t="b">
        <v>1</v>
      </c>
      <c r="AD482" t="s">
        <v>52</v>
      </c>
      <c r="AE482" t="s">
        <v>3651</v>
      </c>
      <c r="AF482" t="s">
        <v>3649</v>
      </c>
      <c r="AG482" t="s">
        <v>3611</v>
      </c>
      <c r="AH482" t="s">
        <v>87</v>
      </c>
      <c r="AI482" s="2">
        <v>46160.775231481479</v>
      </c>
      <c r="AJ482" t="s">
        <v>47</v>
      </c>
      <c r="AK482" t="s">
        <v>47</v>
      </c>
      <c r="AL482" s="2">
        <v>46160.775231481479</v>
      </c>
      <c r="AM482" s="2">
        <v>46160.775231481479</v>
      </c>
    </row>
    <row r="483" spans="1:39" x14ac:dyDescent="0.3">
      <c r="A483" t="s">
        <v>3861</v>
      </c>
      <c r="B483" t="s">
        <v>3862</v>
      </c>
      <c r="C483" t="s">
        <v>41</v>
      </c>
      <c r="D483" t="s">
        <v>3863</v>
      </c>
      <c r="E483" t="s">
        <v>3864</v>
      </c>
      <c r="F483" t="s">
        <v>47</v>
      </c>
      <c r="G483" t="s">
        <v>47</v>
      </c>
      <c r="H483" t="s">
        <v>85</v>
      </c>
      <c r="I483" t="s">
        <v>47</v>
      </c>
      <c r="J483" t="s">
        <v>47</v>
      </c>
      <c r="K483" t="s">
        <v>48</v>
      </c>
      <c r="L483" t="s">
        <v>47</v>
      </c>
      <c r="M483" s="1">
        <v>46086</v>
      </c>
      <c r="N483" s="1">
        <v>46086</v>
      </c>
      <c r="O483" s="1">
        <v>46086</v>
      </c>
      <c r="P483" t="s">
        <v>49</v>
      </c>
      <c r="Q483" t="s">
        <v>50</v>
      </c>
      <c r="R483">
        <v>2</v>
      </c>
      <c r="S483" t="b">
        <v>0</v>
      </c>
      <c r="T483" t="s">
        <v>47</v>
      </c>
      <c r="U483" t="s">
        <v>47</v>
      </c>
      <c r="V483" t="s">
        <v>47</v>
      </c>
      <c r="W483" t="s">
        <v>47</v>
      </c>
      <c r="X483" t="s">
        <v>51</v>
      </c>
      <c r="Y483" t="b">
        <v>0</v>
      </c>
      <c r="Z483" t="s">
        <v>47</v>
      </c>
      <c r="AA483" t="s">
        <v>47</v>
      </c>
      <c r="AB483" t="s">
        <v>47</v>
      </c>
      <c r="AC483" t="b">
        <v>1</v>
      </c>
      <c r="AD483" t="s">
        <v>52</v>
      </c>
      <c r="AE483" t="s">
        <v>3865</v>
      </c>
      <c r="AF483" t="s">
        <v>3863</v>
      </c>
      <c r="AG483" t="s">
        <v>3611</v>
      </c>
      <c r="AH483" t="s">
        <v>87</v>
      </c>
      <c r="AI483" s="2">
        <v>46160.775243055556</v>
      </c>
      <c r="AJ483" t="s">
        <v>47</v>
      </c>
      <c r="AK483" t="s">
        <v>47</v>
      </c>
      <c r="AL483" s="2">
        <v>46160.775243055556</v>
      </c>
      <c r="AM483" s="2">
        <v>46160.775243055556</v>
      </c>
    </row>
    <row r="484" spans="1:39" x14ac:dyDescent="0.3">
      <c r="A484" t="s">
        <v>3756</v>
      </c>
      <c r="B484" t="s">
        <v>3757</v>
      </c>
      <c r="C484" t="s">
        <v>41</v>
      </c>
      <c r="D484" t="s">
        <v>3758</v>
      </c>
      <c r="E484" t="s">
        <v>3759</v>
      </c>
      <c r="F484" t="s">
        <v>47</v>
      </c>
      <c r="G484" t="s">
        <v>47</v>
      </c>
      <c r="H484" t="s">
        <v>85</v>
      </c>
      <c r="I484" t="s">
        <v>47</v>
      </c>
      <c r="J484" t="s">
        <v>47</v>
      </c>
      <c r="K484" t="s">
        <v>48</v>
      </c>
      <c r="L484" t="s">
        <v>47</v>
      </c>
      <c r="M484" s="1">
        <v>46086</v>
      </c>
      <c r="N484" s="1">
        <v>46086</v>
      </c>
      <c r="O484" s="1">
        <v>46086</v>
      </c>
      <c r="P484" t="s">
        <v>49</v>
      </c>
      <c r="Q484" t="s">
        <v>50</v>
      </c>
      <c r="R484">
        <v>2</v>
      </c>
      <c r="S484" t="b">
        <v>0</v>
      </c>
      <c r="T484" t="s">
        <v>47</v>
      </c>
      <c r="U484" t="s">
        <v>47</v>
      </c>
      <c r="V484" t="s">
        <v>47</v>
      </c>
      <c r="W484" t="s">
        <v>47</v>
      </c>
      <c r="X484" t="s">
        <v>51</v>
      </c>
      <c r="Y484" t="b">
        <v>0</v>
      </c>
      <c r="Z484" t="s">
        <v>47</v>
      </c>
      <c r="AA484" t="s">
        <v>47</v>
      </c>
      <c r="AB484" t="s">
        <v>47</v>
      </c>
      <c r="AC484" t="b">
        <v>1</v>
      </c>
      <c r="AD484" t="s">
        <v>52</v>
      </c>
      <c r="AE484" t="s">
        <v>3760</v>
      </c>
      <c r="AF484" t="s">
        <v>3758</v>
      </c>
      <c r="AG484" t="s">
        <v>3611</v>
      </c>
      <c r="AH484" t="s">
        <v>87</v>
      </c>
      <c r="AI484" s="2">
        <v>46160.775243055556</v>
      </c>
      <c r="AJ484" t="s">
        <v>47</v>
      </c>
      <c r="AK484" t="s">
        <v>47</v>
      </c>
      <c r="AL484" s="2">
        <v>46160.775243055556</v>
      </c>
      <c r="AM484" s="2">
        <v>46160.775243055556</v>
      </c>
    </row>
    <row r="485" spans="1:39" x14ac:dyDescent="0.3">
      <c r="A485" s="14" t="s">
        <v>3294</v>
      </c>
      <c r="B485" s="14" t="s">
        <v>3295</v>
      </c>
      <c r="C485" s="14" t="s">
        <v>41</v>
      </c>
      <c r="D485" s="14" t="s">
        <v>3296</v>
      </c>
      <c r="E485" s="14" t="s">
        <v>3297</v>
      </c>
      <c r="F485" s="14" t="s">
        <v>3099</v>
      </c>
      <c r="G485" s="14" t="s">
        <v>3100</v>
      </c>
      <c r="H485" s="14" t="s">
        <v>3101</v>
      </c>
      <c r="I485" s="14" t="s">
        <v>47</v>
      </c>
      <c r="J485" s="14" t="s">
        <v>47</v>
      </c>
      <c r="K485" s="14" t="s">
        <v>47</v>
      </c>
      <c r="L485" s="14" t="s">
        <v>47</v>
      </c>
      <c r="M485" s="1">
        <v>46086</v>
      </c>
      <c r="N485" s="1">
        <v>46086</v>
      </c>
      <c r="O485" s="1">
        <v>46086</v>
      </c>
      <c r="P485" s="14" t="s">
        <v>183</v>
      </c>
      <c r="Q485" s="14" t="s">
        <v>184</v>
      </c>
      <c r="R485">
        <v>2</v>
      </c>
      <c r="S485" t="b">
        <v>0</v>
      </c>
      <c r="T485" s="14" t="s">
        <v>47</v>
      </c>
      <c r="U485" s="14" t="s">
        <v>47</v>
      </c>
      <c r="V485" s="14" t="s">
        <v>47</v>
      </c>
      <c r="W485" s="14" t="s">
        <v>47</v>
      </c>
      <c r="X485" s="14" t="s">
        <v>51</v>
      </c>
      <c r="Y485" t="b">
        <v>0</v>
      </c>
      <c r="Z485" s="14" t="s">
        <v>47</v>
      </c>
      <c r="AA485" s="14" t="s">
        <v>47</v>
      </c>
      <c r="AB485" s="14" t="s">
        <v>47</v>
      </c>
      <c r="AC485" t="b">
        <v>1</v>
      </c>
      <c r="AD485" s="14" t="s">
        <v>52</v>
      </c>
      <c r="AE485" s="14" t="s">
        <v>3298</v>
      </c>
      <c r="AF485" s="14" t="s">
        <v>3296</v>
      </c>
      <c r="AG485" s="14" t="s">
        <v>47</v>
      </c>
      <c r="AH485" s="14" t="s">
        <v>87</v>
      </c>
      <c r="AI485" s="2">
        <v>46160.752071759256</v>
      </c>
      <c r="AJ485" s="14" t="s">
        <v>47</v>
      </c>
      <c r="AK485" s="14" t="s">
        <v>47</v>
      </c>
      <c r="AL485" s="2">
        <v>46160.752071759256</v>
      </c>
      <c r="AM485" s="2">
        <v>46160.752071759256</v>
      </c>
    </row>
    <row r="486" spans="1:39" x14ac:dyDescent="0.3">
      <c r="A486" s="14" t="s">
        <v>3299</v>
      </c>
      <c r="B486" s="14" t="s">
        <v>3300</v>
      </c>
      <c r="C486" s="14" t="s">
        <v>41</v>
      </c>
      <c r="D486" s="14" t="s">
        <v>3301</v>
      </c>
      <c r="E486" s="14" t="s">
        <v>3302</v>
      </c>
      <c r="F486" s="14" t="s">
        <v>172</v>
      </c>
      <c r="G486" s="14" t="s">
        <v>173</v>
      </c>
      <c r="H486" s="14" t="s">
        <v>174</v>
      </c>
      <c r="I486" s="14" t="s">
        <v>47</v>
      </c>
      <c r="J486" s="14" t="s">
        <v>47</v>
      </c>
      <c r="K486" s="14" t="s">
        <v>130</v>
      </c>
      <c r="L486" s="14" t="s">
        <v>47</v>
      </c>
      <c r="M486" s="1">
        <v>45870</v>
      </c>
      <c r="N486" s="1">
        <v>45870</v>
      </c>
      <c r="O486" s="1">
        <v>45870</v>
      </c>
      <c r="P486" s="14" t="s">
        <v>49</v>
      </c>
      <c r="Q486" s="14" t="s">
        <v>50</v>
      </c>
      <c r="R486">
        <v>3</v>
      </c>
      <c r="S486" t="b">
        <v>1</v>
      </c>
      <c r="T486" s="14" t="s">
        <v>47</v>
      </c>
      <c r="U486" s="14" t="s">
        <v>47</v>
      </c>
      <c r="V486" s="14" t="s">
        <v>47</v>
      </c>
      <c r="W486" s="14" t="s">
        <v>47</v>
      </c>
      <c r="X486" s="14" t="s">
        <v>51</v>
      </c>
      <c r="Y486" t="b">
        <v>0</v>
      </c>
      <c r="Z486" s="14" t="s">
        <v>47</v>
      </c>
      <c r="AA486" s="14" t="s">
        <v>47</v>
      </c>
      <c r="AB486" s="14" t="s">
        <v>47</v>
      </c>
      <c r="AC486" t="b">
        <v>1</v>
      </c>
      <c r="AD486" s="14" t="s">
        <v>52</v>
      </c>
      <c r="AE486" s="14" t="s">
        <v>3303</v>
      </c>
      <c r="AF486" s="14" t="s">
        <v>3301</v>
      </c>
      <c r="AG486" s="14" t="s">
        <v>47</v>
      </c>
      <c r="AH486" s="14" t="s">
        <v>87</v>
      </c>
      <c r="AI486" s="2">
        <v>46160.752071759256</v>
      </c>
      <c r="AJ486" s="14" t="s">
        <v>47</v>
      </c>
      <c r="AK486" s="14" t="s">
        <v>47</v>
      </c>
      <c r="AL486" s="2">
        <v>46160.752071759256</v>
      </c>
      <c r="AM486" s="2">
        <v>46160.752071759256</v>
      </c>
    </row>
    <row r="487" spans="1:39" x14ac:dyDescent="0.3">
      <c r="A487" s="14" t="s">
        <v>3127</v>
      </c>
      <c r="B487" s="14" t="s">
        <v>3128</v>
      </c>
      <c r="C487" s="14" t="s">
        <v>41</v>
      </c>
      <c r="D487" s="14" t="s">
        <v>3129</v>
      </c>
      <c r="E487" s="14" t="s">
        <v>3130</v>
      </c>
      <c r="F487" s="14" t="s">
        <v>172</v>
      </c>
      <c r="G487" s="14" t="s">
        <v>173</v>
      </c>
      <c r="H487" s="14" t="s">
        <v>174</v>
      </c>
      <c r="I487" s="14" t="s">
        <v>47</v>
      </c>
      <c r="J487" s="14" t="s">
        <v>47</v>
      </c>
      <c r="K487" s="14" t="s">
        <v>130</v>
      </c>
      <c r="L487" s="14" t="s">
        <v>47</v>
      </c>
      <c r="M487" s="1">
        <v>45691</v>
      </c>
      <c r="N487" s="1">
        <v>45691</v>
      </c>
      <c r="O487" s="1">
        <v>45691</v>
      </c>
      <c r="P487" s="14" t="s">
        <v>49</v>
      </c>
      <c r="Q487" s="14" t="s">
        <v>50</v>
      </c>
      <c r="R487">
        <v>3</v>
      </c>
      <c r="S487" t="b">
        <v>1</v>
      </c>
      <c r="T487" s="14" t="s">
        <v>47</v>
      </c>
      <c r="U487" s="14" t="s">
        <v>47</v>
      </c>
      <c r="V487" s="14" t="s">
        <v>47</v>
      </c>
      <c r="W487" s="14" t="s">
        <v>47</v>
      </c>
      <c r="X487" s="14" t="s">
        <v>51</v>
      </c>
      <c r="Y487" t="b">
        <v>0</v>
      </c>
      <c r="Z487" s="14" t="s">
        <v>47</v>
      </c>
      <c r="AA487" s="14" t="s">
        <v>47</v>
      </c>
      <c r="AB487" s="14" t="s">
        <v>47</v>
      </c>
      <c r="AC487" t="b">
        <v>1</v>
      </c>
      <c r="AD487" s="14" t="s">
        <v>52</v>
      </c>
      <c r="AE487" s="14" t="s">
        <v>3131</v>
      </c>
      <c r="AF487" s="14" t="s">
        <v>3129</v>
      </c>
      <c r="AG487" s="14" t="s">
        <v>47</v>
      </c>
      <c r="AH487" s="14" t="s">
        <v>87</v>
      </c>
      <c r="AI487" s="2">
        <v>46160.752071759256</v>
      </c>
      <c r="AJ487" s="14" t="s">
        <v>47</v>
      </c>
      <c r="AK487" s="14" t="s">
        <v>47</v>
      </c>
      <c r="AL487" s="2">
        <v>46160.752071759256</v>
      </c>
      <c r="AM487" s="2">
        <v>46160.752071759256</v>
      </c>
    </row>
    <row r="488" spans="1:39" x14ac:dyDescent="0.3">
      <c r="A488" s="14" t="s">
        <v>3520</v>
      </c>
      <c r="B488" s="14" t="s">
        <v>3521</v>
      </c>
      <c r="C488" s="14" t="s">
        <v>41</v>
      </c>
      <c r="D488" s="14" t="s">
        <v>3522</v>
      </c>
      <c r="E488" s="14" t="s">
        <v>3523</v>
      </c>
      <c r="F488" s="14" t="s">
        <v>172</v>
      </c>
      <c r="G488" s="14" t="s">
        <v>173</v>
      </c>
      <c r="H488" s="14" t="s">
        <v>174</v>
      </c>
      <c r="I488" s="14" t="s">
        <v>47</v>
      </c>
      <c r="J488" s="14" t="s">
        <v>47</v>
      </c>
      <c r="K488" s="14" t="s">
        <v>130</v>
      </c>
      <c r="L488" s="14" t="s">
        <v>47</v>
      </c>
      <c r="M488" s="1">
        <v>46086</v>
      </c>
      <c r="N488" s="1">
        <v>46086</v>
      </c>
      <c r="O488" s="1">
        <v>46086</v>
      </c>
      <c r="P488" s="14" t="s">
        <v>49</v>
      </c>
      <c r="Q488" s="14" t="s">
        <v>50</v>
      </c>
      <c r="R488">
        <v>3</v>
      </c>
      <c r="S488" t="b">
        <v>1</v>
      </c>
      <c r="T488" s="14" t="s">
        <v>47</v>
      </c>
      <c r="U488" s="14" t="s">
        <v>47</v>
      </c>
      <c r="V488" s="14" t="s">
        <v>47</v>
      </c>
      <c r="W488" s="14" t="s">
        <v>47</v>
      </c>
      <c r="X488" s="14" t="s">
        <v>51</v>
      </c>
      <c r="Y488" t="b">
        <v>0</v>
      </c>
      <c r="Z488" s="14" t="s">
        <v>47</v>
      </c>
      <c r="AA488" s="14" t="s">
        <v>47</v>
      </c>
      <c r="AB488" s="14" t="s">
        <v>47</v>
      </c>
      <c r="AC488" t="b">
        <v>1</v>
      </c>
      <c r="AD488" s="14" t="s">
        <v>52</v>
      </c>
      <c r="AE488" s="14" t="s">
        <v>3524</v>
      </c>
      <c r="AF488" s="14" t="s">
        <v>3522</v>
      </c>
      <c r="AG488" s="14" t="s">
        <v>47</v>
      </c>
      <c r="AH488" s="14" t="s">
        <v>87</v>
      </c>
      <c r="AI488" s="2">
        <v>46160.757951388892</v>
      </c>
      <c r="AJ488" s="14" t="s">
        <v>47</v>
      </c>
      <c r="AK488" s="14" t="s">
        <v>47</v>
      </c>
      <c r="AL488" s="2">
        <v>46160.757951388892</v>
      </c>
      <c r="AM488" s="2">
        <v>46160.757951388892</v>
      </c>
    </row>
    <row r="489" spans="1:39" x14ac:dyDescent="0.3">
      <c r="A489" t="s">
        <v>3652</v>
      </c>
      <c r="B489" t="s">
        <v>3653</v>
      </c>
      <c r="C489" t="s">
        <v>41</v>
      </c>
      <c r="D489" t="s">
        <v>3654</v>
      </c>
      <c r="E489" t="s">
        <v>3655</v>
      </c>
      <c r="F489" t="s">
        <v>47</v>
      </c>
      <c r="G489" t="s">
        <v>47</v>
      </c>
      <c r="H489" t="s">
        <v>85</v>
      </c>
      <c r="I489" t="s">
        <v>47</v>
      </c>
      <c r="J489" t="s">
        <v>47</v>
      </c>
      <c r="K489" t="s">
        <v>48</v>
      </c>
      <c r="L489" t="s">
        <v>47</v>
      </c>
      <c r="M489" s="1">
        <v>46086</v>
      </c>
      <c r="N489" s="1">
        <v>46086</v>
      </c>
      <c r="O489" s="1">
        <v>46086</v>
      </c>
      <c r="P489" t="s">
        <v>49</v>
      </c>
      <c r="Q489" t="s">
        <v>50</v>
      </c>
      <c r="R489">
        <v>2</v>
      </c>
      <c r="S489" t="b">
        <v>0</v>
      </c>
      <c r="T489" t="s">
        <v>47</v>
      </c>
      <c r="U489" t="s">
        <v>47</v>
      </c>
      <c r="V489" t="s">
        <v>47</v>
      </c>
      <c r="W489" t="s">
        <v>47</v>
      </c>
      <c r="X489" t="s">
        <v>51</v>
      </c>
      <c r="Y489" t="b">
        <v>0</v>
      </c>
      <c r="Z489" t="s">
        <v>47</v>
      </c>
      <c r="AA489" t="s">
        <v>47</v>
      </c>
      <c r="AB489" t="s">
        <v>47</v>
      </c>
      <c r="AC489" t="b">
        <v>1</v>
      </c>
      <c r="AD489" t="s">
        <v>52</v>
      </c>
      <c r="AE489" t="s">
        <v>3656</v>
      </c>
      <c r="AF489" t="s">
        <v>3654</v>
      </c>
      <c r="AG489" t="s">
        <v>3611</v>
      </c>
      <c r="AH489" t="s">
        <v>87</v>
      </c>
      <c r="AI489" s="2">
        <v>46160.775231481479</v>
      </c>
      <c r="AJ489" t="s">
        <v>47</v>
      </c>
      <c r="AK489" t="s">
        <v>47</v>
      </c>
      <c r="AL489" s="2">
        <v>46160.775231481479</v>
      </c>
      <c r="AM489" s="2">
        <v>46160.775231481479</v>
      </c>
    </row>
    <row r="490" spans="1:39" x14ac:dyDescent="0.3">
      <c r="A490" t="s">
        <v>3721</v>
      </c>
      <c r="B490" t="s">
        <v>3722</v>
      </c>
      <c r="C490" t="s">
        <v>41</v>
      </c>
      <c r="D490" t="s">
        <v>3723</v>
      </c>
      <c r="E490" t="s">
        <v>3724</v>
      </c>
      <c r="F490" t="s">
        <v>47</v>
      </c>
      <c r="G490" t="s">
        <v>47</v>
      </c>
      <c r="H490" t="s">
        <v>85</v>
      </c>
      <c r="I490" t="s">
        <v>47</v>
      </c>
      <c r="J490" t="s">
        <v>47</v>
      </c>
      <c r="K490" t="s">
        <v>48</v>
      </c>
      <c r="L490" t="s">
        <v>47</v>
      </c>
      <c r="M490" s="1">
        <v>46086</v>
      </c>
      <c r="N490" s="1">
        <v>46086</v>
      </c>
      <c r="O490" s="1">
        <v>46086</v>
      </c>
      <c r="P490" t="s">
        <v>49</v>
      </c>
      <c r="Q490" t="s">
        <v>50</v>
      </c>
      <c r="R490">
        <v>2</v>
      </c>
      <c r="S490" t="b">
        <v>0</v>
      </c>
      <c r="T490" t="s">
        <v>47</v>
      </c>
      <c r="U490" t="s">
        <v>47</v>
      </c>
      <c r="V490" t="s">
        <v>47</v>
      </c>
      <c r="W490" t="s">
        <v>47</v>
      </c>
      <c r="X490" t="s">
        <v>51</v>
      </c>
      <c r="Y490" t="b">
        <v>0</v>
      </c>
      <c r="Z490" t="s">
        <v>47</v>
      </c>
      <c r="AA490" t="s">
        <v>47</v>
      </c>
      <c r="AB490" t="s">
        <v>47</v>
      </c>
      <c r="AC490" t="b">
        <v>1</v>
      </c>
      <c r="AD490" t="s">
        <v>52</v>
      </c>
      <c r="AE490" t="s">
        <v>3725</v>
      </c>
      <c r="AF490" t="s">
        <v>3723</v>
      </c>
      <c r="AG490" t="s">
        <v>3611</v>
      </c>
      <c r="AH490" t="s">
        <v>87</v>
      </c>
      <c r="AI490" s="2">
        <v>46160.775231481479</v>
      </c>
      <c r="AJ490" t="s">
        <v>47</v>
      </c>
      <c r="AK490" t="s">
        <v>47</v>
      </c>
      <c r="AL490" s="2">
        <v>46160.775231481479</v>
      </c>
      <c r="AM490" s="2">
        <v>46160.775231481479</v>
      </c>
    </row>
    <row r="491" spans="1:39" x14ac:dyDescent="0.3">
      <c r="A491" t="s">
        <v>3617</v>
      </c>
      <c r="B491" t="s">
        <v>3618</v>
      </c>
      <c r="C491" t="s">
        <v>41</v>
      </c>
      <c r="D491" t="s">
        <v>3619</v>
      </c>
      <c r="E491" t="s">
        <v>3620</v>
      </c>
      <c r="F491" t="s">
        <v>47</v>
      </c>
      <c r="G491" t="s">
        <v>47</v>
      </c>
      <c r="H491" t="s">
        <v>560</v>
      </c>
      <c r="I491" t="s">
        <v>47</v>
      </c>
      <c r="J491" t="s">
        <v>47</v>
      </c>
      <c r="K491" t="s">
        <v>253</v>
      </c>
      <c r="L491" t="s">
        <v>47</v>
      </c>
      <c r="M491" s="1">
        <v>46173</v>
      </c>
      <c r="N491" s="1">
        <v>46173</v>
      </c>
      <c r="O491" s="1">
        <v>46173</v>
      </c>
      <c r="P491" t="s">
        <v>254</v>
      </c>
      <c r="Q491" t="s">
        <v>50</v>
      </c>
      <c r="R491">
        <v>1</v>
      </c>
      <c r="S491" t="b">
        <v>0</v>
      </c>
      <c r="T491" t="s">
        <v>47</v>
      </c>
      <c r="U491" t="s">
        <v>47</v>
      </c>
      <c r="V491" t="s">
        <v>47</v>
      </c>
      <c r="W491" t="s">
        <v>47</v>
      </c>
      <c r="X491" t="s">
        <v>51</v>
      </c>
      <c r="Y491" t="b">
        <v>0</v>
      </c>
      <c r="Z491" t="s">
        <v>47</v>
      </c>
      <c r="AA491" t="s">
        <v>47</v>
      </c>
      <c r="AB491" t="s">
        <v>47</v>
      </c>
      <c r="AC491" t="b">
        <v>1</v>
      </c>
      <c r="AD491" t="s">
        <v>52</v>
      </c>
      <c r="AE491" t="s">
        <v>3621</v>
      </c>
      <c r="AF491" t="s">
        <v>3619</v>
      </c>
      <c r="AG491" t="s">
        <v>3611</v>
      </c>
      <c r="AH491" t="s">
        <v>87</v>
      </c>
      <c r="AI491" s="2">
        <v>46160.775231481479</v>
      </c>
      <c r="AJ491" t="s">
        <v>47</v>
      </c>
      <c r="AK491" t="s">
        <v>47</v>
      </c>
      <c r="AL491" s="2">
        <v>46160.775231481479</v>
      </c>
      <c r="AM491" s="2">
        <v>46160.775231481479</v>
      </c>
    </row>
    <row r="492" spans="1:39" x14ac:dyDescent="0.3">
      <c r="A492" s="14" t="s">
        <v>3525</v>
      </c>
      <c r="B492" s="14" t="s">
        <v>3526</v>
      </c>
      <c r="C492" s="14" t="s">
        <v>41</v>
      </c>
      <c r="D492" s="14" t="s">
        <v>3527</v>
      </c>
      <c r="E492" s="14" t="s">
        <v>3528</v>
      </c>
      <c r="F492" s="14" t="s">
        <v>172</v>
      </c>
      <c r="G492" s="14" t="s">
        <v>173</v>
      </c>
      <c r="H492" s="14" t="s">
        <v>174</v>
      </c>
      <c r="I492" s="14" t="s">
        <v>47</v>
      </c>
      <c r="J492" s="14" t="s">
        <v>47</v>
      </c>
      <c r="K492" s="14" t="s">
        <v>130</v>
      </c>
      <c r="L492" s="14" t="s">
        <v>47</v>
      </c>
      <c r="M492" s="1">
        <v>46087</v>
      </c>
      <c r="N492" s="1">
        <v>46087</v>
      </c>
      <c r="O492" s="1">
        <v>46087</v>
      </c>
      <c r="P492" s="14" t="s">
        <v>49</v>
      </c>
      <c r="Q492" s="14" t="s">
        <v>50</v>
      </c>
      <c r="R492">
        <v>3</v>
      </c>
      <c r="S492" t="b">
        <v>1</v>
      </c>
      <c r="T492" s="14" t="s">
        <v>47</v>
      </c>
      <c r="U492" s="14" t="s">
        <v>47</v>
      </c>
      <c r="V492" s="14" t="s">
        <v>47</v>
      </c>
      <c r="W492" s="14" t="s">
        <v>47</v>
      </c>
      <c r="X492" s="14" t="s">
        <v>51</v>
      </c>
      <c r="Y492" t="b">
        <v>0</v>
      </c>
      <c r="Z492" s="14" t="s">
        <v>47</v>
      </c>
      <c r="AA492" s="14" t="s">
        <v>47</v>
      </c>
      <c r="AB492" s="14" t="s">
        <v>47</v>
      </c>
      <c r="AC492" t="b">
        <v>1</v>
      </c>
      <c r="AD492" s="14" t="s">
        <v>52</v>
      </c>
      <c r="AE492" s="14" t="s">
        <v>3529</v>
      </c>
      <c r="AF492" s="14" t="s">
        <v>3527</v>
      </c>
      <c r="AG492" s="14" t="s">
        <v>47</v>
      </c>
      <c r="AH492" s="14" t="s">
        <v>87</v>
      </c>
      <c r="AI492" s="2">
        <v>46160.757951388892</v>
      </c>
      <c r="AJ492" s="14" t="s">
        <v>47</v>
      </c>
      <c r="AK492" s="14" t="s">
        <v>47</v>
      </c>
      <c r="AL492" s="2">
        <v>46160.757951388892</v>
      </c>
      <c r="AM492" s="2">
        <v>46160.757951388892</v>
      </c>
    </row>
    <row r="493" spans="1:39" x14ac:dyDescent="0.3">
      <c r="A493" s="14" t="s">
        <v>3530</v>
      </c>
      <c r="B493" s="14" t="s">
        <v>3531</v>
      </c>
      <c r="C493" s="14" t="s">
        <v>41</v>
      </c>
      <c r="D493" s="14" t="s">
        <v>3532</v>
      </c>
      <c r="E493" s="14" t="s">
        <v>3533</v>
      </c>
      <c r="F493" s="14" t="s">
        <v>172</v>
      </c>
      <c r="G493" s="14" t="s">
        <v>173</v>
      </c>
      <c r="H493" s="14" t="s">
        <v>174</v>
      </c>
      <c r="I493" s="14" t="s">
        <v>47</v>
      </c>
      <c r="J493" s="14" t="s">
        <v>47</v>
      </c>
      <c r="K493" s="14" t="s">
        <v>130</v>
      </c>
      <c r="L493" s="14" t="s">
        <v>47</v>
      </c>
      <c r="M493" s="1">
        <v>46087</v>
      </c>
      <c r="N493" s="1">
        <v>46087</v>
      </c>
      <c r="O493" s="1">
        <v>46087</v>
      </c>
      <c r="P493" s="14" t="s">
        <v>49</v>
      </c>
      <c r="Q493" s="14" t="s">
        <v>50</v>
      </c>
      <c r="R493">
        <v>3</v>
      </c>
      <c r="S493" t="b">
        <v>1</v>
      </c>
      <c r="T493" s="14" t="s">
        <v>47</v>
      </c>
      <c r="U493" s="14" t="s">
        <v>47</v>
      </c>
      <c r="V493" s="14" t="s">
        <v>47</v>
      </c>
      <c r="W493" s="14" t="s">
        <v>47</v>
      </c>
      <c r="X493" s="14" t="s">
        <v>51</v>
      </c>
      <c r="Y493" t="b">
        <v>0</v>
      </c>
      <c r="Z493" s="14" t="s">
        <v>47</v>
      </c>
      <c r="AA493" s="14" t="s">
        <v>47</v>
      </c>
      <c r="AB493" s="14" t="s">
        <v>47</v>
      </c>
      <c r="AC493" t="b">
        <v>1</v>
      </c>
      <c r="AD493" s="14" t="s">
        <v>52</v>
      </c>
      <c r="AE493" s="14" t="s">
        <v>3534</v>
      </c>
      <c r="AF493" s="14" t="s">
        <v>3532</v>
      </c>
      <c r="AG493" s="14" t="s">
        <v>47</v>
      </c>
      <c r="AH493" s="14" t="s">
        <v>87</v>
      </c>
      <c r="AI493" s="2">
        <v>46160.757951388892</v>
      </c>
      <c r="AJ493" s="14" t="s">
        <v>47</v>
      </c>
      <c r="AK493" s="14" t="s">
        <v>47</v>
      </c>
      <c r="AL493" s="2">
        <v>46160.757951388892</v>
      </c>
      <c r="AM493" s="2">
        <v>46160.757951388892</v>
      </c>
    </row>
    <row r="494" spans="1:39" x14ac:dyDescent="0.3">
      <c r="A494" s="14" t="s">
        <v>3535</v>
      </c>
      <c r="B494" s="14" t="s">
        <v>3536</v>
      </c>
      <c r="C494" s="14" t="s">
        <v>41</v>
      </c>
      <c r="D494" s="14" t="s">
        <v>3537</v>
      </c>
      <c r="E494" s="14" t="s">
        <v>3538</v>
      </c>
      <c r="F494" s="14" t="s">
        <v>1759</v>
      </c>
      <c r="G494" s="14" t="s">
        <v>1760</v>
      </c>
      <c r="H494" s="14" t="s">
        <v>1761</v>
      </c>
      <c r="I494" s="14" t="s">
        <v>47</v>
      </c>
      <c r="J494" s="14" t="s">
        <v>47</v>
      </c>
      <c r="K494" s="14" t="s">
        <v>1128</v>
      </c>
      <c r="L494" s="14" t="s">
        <v>47</v>
      </c>
      <c r="M494" s="1">
        <v>46090</v>
      </c>
      <c r="N494" s="1">
        <v>46090</v>
      </c>
      <c r="O494" s="1">
        <v>46090</v>
      </c>
      <c r="P494" s="14" t="s">
        <v>465</v>
      </c>
      <c r="Q494" s="14" t="s">
        <v>371</v>
      </c>
      <c r="R494">
        <v>4</v>
      </c>
      <c r="S494" t="b">
        <v>1</v>
      </c>
      <c r="T494" s="14" t="s">
        <v>47</v>
      </c>
      <c r="U494" s="14" t="s">
        <v>47</v>
      </c>
      <c r="V494" s="14" t="s">
        <v>47</v>
      </c>
      <c r="W494" s="14" t="s">
        <v>47</v>
      </c>
      <c r="X494" s="14" t="s">
        <v>51</v>
      </c>
      <c r="Y494" t="b">
        <v>0</v>
      </c>
      <c r="Z494" s="14" t="s">
        <v>47</v>
      </c>
      <c r="AA494" s="14" t="s">
        <v>47</v>
      </c>
      <c r="AB494" s="14" t="s">
        <v>47</v>
      </c>
      <c r="AC494" t="b">
        <v>1</v>
      </c>
      <c r="AD494" s="14" t="s">
        <v>52</v>
      </c>
      <c r="AE494" s="14" t="s">
        <v>3539</v>
      </c>
      <c r="AF494" s="14" t="s">
        <v>3537</v>
      </c>
      <c r="AG494" s="14" t="s">
        <v>47</v>
      </c>
      <c r="AH494" s="14" t="s">
        <v>87</v>
      </c>
      <c r="AI494" s="2">
        <v>46160.757951388892</v>
      </c>
      <c r="AJ494" s="14" t="s">
        <v>47</v>
      </c>
      <c r="AK494" s="14" t="s">
        <v>47</v>
      </c>
      <c r="AL494" s="2">
        <v>46160.757951388892</v>
      </c>
      <c r="AM494" s="2">
        <v>46160.757951388892</v>
      </c>
    </row>
    <row r="495" spans="1:39" x14ac:dyDescent="0.3">
      <c r="A495" t="s">
        <v>3684</v>
      </c>
      <c r="B495" t="s">
        <v>3685</v>
      </c>
      <c r="C495" t="s">
        <v>41</v>
      </c>
      <c r="D495" t="s">
        <v>3686</v>
      </c>
      <c r="E495" t="s">
        <v>3687</v>
      </c>
      <c r="F495" t="s">
        <v>47</v>
      </c>
      <c r="G495" t="s">
        <v>47</v>
      </c>
      <c r="H495" t="s">
        <v>85</v>
      </c>
      <c r="I495" t="s">
        <v>47</v>
      </c>
      <c r="J495" t="s">
        <v>47</v>
      </c>
      <c r="K495" t="s">
        <v>48</v>
      </c>
      <c r="L495" t="s">
        <v>47</v>
      </c>
      <c r="M495" s="1">
        <v>46090</v>
      </c>
      <c r="N495" s="1">
        <v>46090</v>
      </c>
      <c r="O495" s="1">
        <v>46090</v>
      </c>
      <c r="P495" t="s">
        <v>49</v>
      </c>
      <c r="Q495" t="s">
        <v>50</v>
      </c>
      <c r="R495">
        <v>2</v>
      </c>
      <c r="S495" t="b">
        <v>0</v>
      </c>
      <c r="T495" t="s">
        <v>47</v>
      </c>
      <c r="U495" t="s">
        <v>47</v>
      </c>
      <c r="V495" t="s">
        <v>47</v>
      </c>
      <c r="W495" t="s">
        <v>47</v>
      </c>
      <c r="X495" t="s">
        <v>51</v>
      </c>
      <c r="Y495" t="b">
        <v>0</v>
      </c>
      <c r="Z495" t="s">
        <v>47</v>
      </c>
      <c r="AA495" t="s">
        <v>47</v>
      </c>
      <c r="AB495" t="s">
        <v>47</v>
      </c>
      <c r="AC495" t="b">
        <v>1</v>
      </c>
      <c r="AD495" t="s">
        <v>52</v>
      </c>
      <c r="AE495" t="s">
        <v>3688</v>
      </c>
      <c r="AF495" t="s">
        <v>3686</v>
      </c>
      <c r="AG495" t="s">
        <v>3611</v>
      </c>
      <c r="AH495" t="s">
        <v>87</v>
      </c>
      <c r="AI495" s="2">
        <v>46160.775231481479</v>
      </c>
      <c r="AJ495" t="s">
        <v>47</v>
      </c>
      <c r="AK495" t="s">
        <v>47</v>
      </c>
      <c r="AL495" s="2">
        <v>46160.775231481479</v>
      </c>
      <c r="AM495" s="2">
        <v>46160.775231481479</v>
      </c>
    </row>
    <row r="496" spans="1:39" x14ac:dyDescent="0.3">
      <c r="A496" t="s">
        <v>3689</v>
      </c>
      <c r="B496" t="s">
        <v>3690</v>
      </c>
      <c r="C496" t="s">
        <v>41</v>
      </c>
      <c r="D496" t="s">
        <v>3691</v>
      </c>
      <c r="E496" t="s">
        <v>3692</v>
      </c>
      <c r="F496" t="s">
        <v>47</v>
      </c>
      <c r="G496" t="s">
        <v>47</v>
      </c>
      <c r="H496" t="s">
        <v>85</v>
      </c>
      <c r="I496" t="s">
        <v>47</v>
      </c>
      <c r="J496" t="s">
        <v>47</v>
      </c>
      <c r="K496" t="s">
        <v>48</v>
      </c>
      <c r="L496" t="s">
        <v>47</v>
      </c>
      <c r="M496" s="1">
        <v>46090</v>
      </c>
      <c r="N496" s="1">
        <v>46090</v>
      </c>
      <c r="O496" s="1">
        <v>46090</v>
      </c>
      <c r="P496" t="s">
        <v>49</v>
      </c>
      <c r="Q496" t="s">
        <v>50</v>
      </c>
      <c r="R496">
        <v>2</v>
      </c>
      <c r="S496" t="b">
        <v>0</v>
      </c>
      <c r="T496" t="s">
        <v>47</v>
      </c>
      <c r="U496" t="s">
        <v>47</v>
      </c>
      <c r="V496" t="s">
        <v>47</v>
      </c>
      <c r="W496" t="s">
        <v>47</v>
      </c>
      <c r="X496" t="s">
        <v>51</v>
      </c>
      <c r="Y496" t="b">
        <v>0</v>
      </c>
      <c r="Z496" t="s">
        <v>47</v>
      </c>
      <c r="AA496" t="s">
        <v>47</v>
      </c>
      <c r="AB496" t="s">
        <v>47</v>
      </c>
      <c r="AC496" t="b">
        <v>1</v>
      </c>
      <c r="AD496" t="s">
        <v>52</v>
      </c>
      <c r="AE496" t="s">
        <v>3693</v>
      </c>
      <c r="AF496" t="s">
        <v>3691</v>
      </c>
      <c r="AG496" t="s">
        <v>3611</v>
      </c>
      <c r="AH496" t="s">
        <v>87</v>
      </c>
      <c r="AI496" s="2">
        <v>46160.775231481479</v>
      </c>
      <c r="AJ496" t="s">
        <v>47</v>
      </c>
      <c r="AK496" t="s">
        <v>47</v>
      </c>
      <c r="AL496" s="2">
        <v>46160.775231481479</v>
      </c>
      <c r="AM496" s="2">
        <v>46160.775231481479</v>
      </c>
    </row>
    <row r="497" spans="1:39" x14ac:dyDescent="0.3">
      <c r="A497" s="14" t="s">
        <v>3304</v>
      </c>
      <c r="B497" s="14" t="s">
        <v>3305</v>
      </c>
      <c r="C497" s="14" t="s">
        <v>41</v>
      </c>
      <c r="D497" s="14" t="s">
        <v>3306</v>
      </c>
      <c r="E497" s="14" t="s">
        <v>3307</v>
      </c>
      <c r="F497" s="14" t="s">
        <v>83</v>
      </c>
      <c r="G497" s="14" t="s">
        <v>84</v>
      </c>
      <c r="H497" s="14" t="s">
        <v>85</v>
      </c>
      <c r="I497" s="14" t="s">
        <v>47</v>
      </c>
      <c r="J497" s="14" t="s">
        <v>47</v>
      </c>
      <c r="K497" s="14" t="s">
        <v>48</v>
      </c>
      <c r="L497" s="14" t="s">
        <v>47</v>
      </c>
      <c r="M497" s="1">
        <v>46090</v>
      </c>
      <c r="N497" s="1">
        <v>46090</v>
      </c>
      <c r="O497" s="1">
        <v>46090</v>
      </c>
      <c r="P497" s="14" t="s">
        <v>49</v>
      </c>
      <c r="Q497" s="14" t="s">
        <v>50</v>
      </c>
      <c r="R497">
        <v>2</v>
      </c>
      <c r="S497" t="b">
        <v>0</v>
      </c>
      <c r="T497" s="14" t="s">
        <v>47</v>
      </c>
      <c r="U497" s="14" t="s">
        <v>47</v>
      </c>
      <c r="V497" s="14" t="s">
        <v>47</v>
      </c>
      <c r="W497" s="14" t="s">
        <v>47</v>
      </c>
      <c r="X497" s="14" t="s">
        <v>51</v>
      </c>
      <c r="Y497" t="b">
        <v>0</v>
      </c>
      <c r="Z497" s="14" t="s">
        <v>47</v>
      </c>
      <c r="AA497" s="14" t="s">
        <v>47</v>
      </c>
      <c r="AB497" s="14" t="s">
        <v>47</v>
      </c>
      <c r="AC497" t="b">
        <v>1</v>
      </c>
      <c r="AD497" s="14" t="s">
        <v>52</v>
      </c>
      <c r="AE497" s="14" t="s">
        <v>3308</v>
      </c>
      <c r="AF497" s="14" t="s">
        <v>3306</v>
      </c>
      <c r="AG497" s="14" t="s">
        <v>47</v>
      </c>
      <c r="AH497" s="14" t="s">
        <v>87</v>
      </c>
      <c r="AI497" s="2">
        <v>46160.752071759256</v>
      </c>
      <c r="AJ497" s="14" t="s">
        <v>47</v>
      </c>
      <c r="AK497" s="14" t="s">
        <v>47</v>
      </c>
      <c r="AL497" s="2">
        <v>46160.752071759256</v>
      </c>
      <c r="AM497" s="2">
        <v>46160.752071759256</v>
      </c>
    </row>
    <row r="498" spans="1:39" x14ac:dyDescent="0.3">
      <c r="A498" t="s">
        <v>3622</v>
      </c>
      <c r="B498" t="s">
        <v>3623</v>
      </c>
      <c r="C498" t="s">
        <v>41</v>
      </c>
      <c r="D498" t="s">
        <v>3624</v>
      </c>
      <c r="E498" t="s">
        <v>3625</v>
      </c>
      <c r="F498" t="s">
        <v>47</v>
      </c>
      <c r="G498" t="s">
        <v>47</v>
      </c>
      <c r="H498" t="s">
        <v>85</v>
      </c>
      <c r="I498" t="s">
        <v>47</v>
      </c>
      <c r="J498" t="s">
        <v>47</v>
      </c>
      <c r="K498" t="s">
        <v>48</v>
      </c>
      <c r="L498" t="s">
        <v>47</v>
      </c>
      <c r="M498" s="1">
        <v>46090</v>
      </c>
      <c r="N498" s="1">
        <v>46090</v>
      </c>
      <c r="O498" s="1">
        <v>46090</v>
      </c>
      <c r="P498" t="s">
        <v>49</v>
      </c>
      <c r="Q498" t="s">
        <v>50</v>
      </c>
      <c r="R498">
        <v>2</v>
      </c>
      <c r="S498" t="b">
        <v>0</v>
      </c>
      <c r="T498" t="s">
        <v>47</v>
      </c>
      <c r="U498" t="s">
        <v>47</v>
      </c>
      <c r="V498" t="s">
        <v>47</v>
      </c>
      <c r="W498" t="s">
        <v>47</v>
      </c>
      <c r="X498" t="s">
        <v>51</v>
      </c>
      <c r="Y498" t="b">
        <v>0</v>
      </c>
      <c r="Z498" t="s">
        <v>47</v>
      </c>
      <c r="AA498" t="s">
        <v>47</v>
      </c>
      <c r="AB498" t="s">
        <v>47</v>
      </c>
      <c r="AC498" t="b">
        <v>1</v>
      </c>
      <c r="AD498" t="s">
        <v>52</v>
      </c>
      <c r="AE498" t="s">
        <v>3626</v>
      </c>
      <c r="AF498" t="s">
        <v>3624</v>
      </c>
      <c r="AG498" t="s">
        <v>3611</v>
      </c>
      <c r="AH498" t="s">
        <v>87</v>
      </c>
      <c r="AI498" s="2">
        <v>46160.775231481479</v>
      </c>
      <c r="AJ498" t="s">
        <v>47</v>
      </c>
      <c r="AK498" t="s">
        <v>47</v>
      </c>
      <c r="AL498" s="2">
        <v>46160.775231481479</v>
      </c>
      <c r="AM498" s="2">
        <v>46160.775231481479</v>
      </c>
    </row>
    <row r="499" spans="1:39" x14ac:dyDescent="0.3">
      <c r="A499" t="s">
        <v>3736</v>
      </c>
      <c r="B499" t="s">
        <v>3737</v>
      </c>
      <c r="C499" t="s">
        <v>41</v>
      </c>
      <c r="D499" t="s">
        <v>3738</v>
      </c>
      <c r="E499" t="s">
        <v>3739</v>
      </c>
      <c r="F499" t="s">
        <v>47</v>
      </c>
      <c r="G499" t="s">
        <v>47</v>
      </c>
      <c r="H499" t="s">
        <v>85</v>
      </c>
      <c r="I499" t="s">
        <v>47</v>
      </c>
      <c r="J499" t="s">
        <v>47</v>
      </c>
      <c r="K499" t="s">
        <v>48</v>
      </c>
      <c r="L499" t="s">
        <v>47</v>
      </c>
      <c r="M499" s="1">
        <v>46090</v>
      </c>
      <c r="N499" s="1">
        <v>46090</v>
      </c>
      <c r="O499" s="1">
        <v>46090</v>
      </c>
      <c r="P499" t="s">
        <v>49</v>
      </c>
      <c r="Q499" t="s">
        <v>50</v>
      </c>
      <c r="R499">
        <v>2</v>
      </c>
      <c r="S499" t="b">
        <v>0</v>
      </c>
      <c r="T499" t="s">
        <v>47</v>
      </c>
      <c r="U499" t="s">
        <v>47</v>
      </c>
      <c r="V499" t="s">
        <v>47</v>
      </c>
      <c r="W499" t="s">
        <v>47</v>
      </c>
      <c r="X499" t="s">
        <v>51</v>
      </c>
      <c r="Y499" t="b">
        <v>0</v>
      </c>
      <c r="Z499" t="s">
        <v>47</v>
      </c>
      <c r="AA499" t="s">
        <v>47</v>
      </c>
      <c r="AB499" t="s">
        <v>47</v>
      </c>
      <c r="AC499" t="b">
        <v>1</v>
      </c>
      <c r="AD499" t="s">
        <v>52</v>
      </c>
      <c r="AE499" t="s">
        <v>3740</v>
      </c>
      <c r="AF499" t="s">
        <v>3738</v>
      </c>
      <c r="AG499" t="s">
        <v>3611</v>
      </c>
      <c r="AH499" t="s">
        <v>87</v>
      </c>
      <c r="AI499" s="2">
        <v>46160.775243055556</v>
      </c>
      <c r="AJ499" t="s">
        <v>47</v>
      </c>
      <c r="AK499" t="s">
        <v>47</v>
      </c>
      <c r="AL499" s="2">
        <v>46160.775243055556</v>
      </c>
      <c r="AM499" s="2">
        <v>46160.775243055556</v>
      </c>
    </row>
    <row r="500" spans="1:39" x14ac:dyDescent="0.3">
      <c r="A500" t="s">
        <v>3706</v>
      </c>
      <c r="B500" t="s">
        <v>3707</v>
      </c>
      <c r="C500" t="s">
        <v>41</v>
      </c>
      <c r="D500" t="s">
        <v>3708</v>
      </c>
      <c r="E500" t="s">
        <v>3709</v>
      </c>
      <c r="F500" t="s">
        <v>47</v>
      </c>
      <c r="G500" t="s">
        <v>47</v>
      </c>
      <c r="H500" t="s">
        <v>85</v>
      </c>
      <c r="I500" t="s">
        <v>47</v>
      </c>
      <c r="J500" t="s">
        <v>47</v>
      </c>
      <c r="K500" t="s">
        <v>48</v>
      </c>
      <c r="L500" t="s">
        <v>47</v>
      </c>
      <c r="M500" s="1">
        <v>46090</v>
      </c>
      <c r="N500" s="1">
        <v>46090</v>
      </c>
      <c r="O500" s="1">
        <v>46090</v>
      </c>
      <c r="P500" t="s">
        <v>49</v>
      </c>
      <c r="Q500" t="s">
        <v>50</v>
      </c>
      <c r="R500">
        <v>2</v>
      </c>
      <c r="S500" t="b">
        <v>0</v>
      </c>
      <c r="T500" t="s">
        <v>47</v>
      </c>
      <c r="U500" t="s">
        <v>47</v>
      </c>
      <c r="V500" t="s">
        <v>47</v>
      </c>
      <c r="W500" t="s">
        <v>47</v>
      </c>
      <c r="X500" t="s">
        <v>51</v>
      </c>
      <c r="Y500" t="b">
        <v>0</v>
      </c>
      <c r="Z500" t="s">
        <v>47</v>
      </c>
      <c r="AA500" t="s">
        <v>47</v>
      </c>
      <c r="AB500" t="s">
        <v>47</v>
      </c>
      <c r="AC500" t="b">
        <v>1</v>
      </c>
      <c r="AD500" t="s">
        <v>52</v>
      </c>
      <c r="AE500" t="s">
        <v>3710</v>
      </c>
      <c r="AF500" t="s">
        <v>3708</v>
      </c>
      <c r="AG500" t="s">
        <v>3611</v>
      </c>
      <c r="AH500" t="s">
        <v>87</v>
      </c>
      <c r="AI500" s="2">
        <v>46160.775231481479</v>
      </c>
      <c r="AJ500" t="s">
        <v>47</v>
      </c>
      <c r="AK500" t="s">
        <v>47</v>
      </c>
      <c r="AL500" s="2">
        <v>46160.775231481479</v>
      </c>
      <c r="AM500" s="2">
        <v>46160.775231481479</v>
      </c>
    </row>
    <row r="501" spans="1:39" x14ac:dyDescent="0.3">
      <c r="A501" t="s">
        <v>3866</v>
      </c>
      <c r="B501" t="s">
        <v>3867</v>
      </c>
      <c r="C501" t="s">
        <v>41</v>
      </c>
      <c r="D501" t="s">
        <v>3868</v>
      </c>
      <c r="E501" t="s">
        <v>3869</v>
      </c>
      <c r="F501" t="s">
        <v>47</v>
      </c>
      <c r="G501" t="s">
        <v>47</v>
      </c>
      <c r="H501" t="s">
        <v>85</v>
      </c>
      <c r="I501" t="s">
        <v>47</v>
      </c>
      <c r="J501" t="s">
        <v>47</v>
      </c>
      <c r="K501" t="s">
        <v>48</v>
      </c>
      <c r="L501" t="s">
        <v>47</v>
      </c>
      <c r="M501" s="1">
        <v>46090</v>
      </c>
      <c r="N501" s="1">
        <v>46090</v>
      </c>
      <c r="O501" s="1">
        <v>46090</v>
      </c>
      <c r="P501" t="s">
        <v>49</v>
      </c>
      <c r="Q501" t="s">
        <v>50</v>
      </c>
      <c r="R501">
        <v>2</v>
      </c>
      <c r="S501" t="b">
        <v>0</v>
      </c>
      <c r="T501" t="s">
        <v>47</v>
      </c>
      <c r="U501" t="s">
        <v>47</v>
      </c>
      <c r="V501" t="s">
        <v>47</v>
      </c>
      <c r="W501" t="s">
        <v>47</v>
      </c>
      <c r="X501" t="s">
        <v>51</v>
      </c>
      <c r="Y501" t="b">
        <v>0</v>
      </c>
      <c r="Z501" t="s">
        <v>47</v>
      </c>
      <c r="AA501" t="s">
        <v>47</v>
      </c>
      <c r="AB501" t="s">
        <v>47</v>
      </c>
      <c r="AC501" t="b">
        <v>1</v>
      </c>
      <c r="AD501" t="s">
        <v>52</v>
      </c>
      <c r="AE501" t="s">
        <v>3870</v>
      </c>
      <c r="AF501" t="s">
        <v>3868</v>
      </c>
      <c r="AG501" t="s">
        <v>3611</v>
      </c>
      <c r="AH501" t="s">
        <v>87</v>
      </c>
      <c r="AI501" s="2">
        <v>46160.775243055556</v>
      </c>
      <c r="AJ501" t="s">
        <v>47</v>
      </c>
      <c r="AK501" t="s">
        <v>47</v>
      </c>
      <c r="AL501" s="2">
        <v>46160.775243055556</v>
      </c>
      <c r="AM501" s="2">
        <v>46160.775243055556</v>
      </c>
    </row>
    <row r="502" spans="1:39" x14ac:dyDescent="0.3">
      <c r="A502" s="14" t="s">
        <v>3309</v>
      </c>
      <c r="B502" s="14" t="s">
        <v>3310</v>
      </c>
      <c r="C502" s="14" t="s">
        <v>41</v>
      </c>
      <c r="D502" s="14" t="s">
        <v>3311</v>
      </c>
      <c r="E502" s="14" t="s">
        <v>3312</v>
      </c>
      <c r="F502" s="14" t="s">
        <v>83</v>
      </c>
      <c r="G502" s="14" t="s">
        <v>84</v>
      </c>
      <c r="H502" s="14" t="s">
        <v>85</v>
      </c>
      <c r="I502" s="14" t="s">
        <v>47</v>
      </c>
      <c r="J502" s="14" t="s">
        <v>47</v>
      </c>
      <c r="K502" s="14" t="s">
        <v>48</v>
      </c>
      <c r="L502" s="14" t="s">
        <v>47</v>
      </c>
      <c r="M502" s="1">
        <v>46090</v>
      </c>
      <c r="N502" s="1">
        <v>46090</v>
      </c>
      <c r="O502" s="1">
        <v>46090</v>
      </c>
      <c r="P502" s="14" t="s">
        <v>49</v>
      </c>
      <c r="Q502" s="14" t="s">
        <v>50</v>
      </c>
      <c r="R502">
        <v>2</v>
      </c>
      <c r="S502" t="b">
        <v>0</v>
      </c>
      <c r="T502" s="14" t="s">
        <v>47</v>
      </c>
      <c r="U502" s="14" t="s">
        <v>47</v>
      </c>
      <c r="V502" s="14" t="s">
        <v>47</v>
      </c>
      <c r="W502" s="14" t="s">
        <v>47</v>
      </c>
      <c r="X502" s="14" t="s">
        <v>51</v>
      </c>
      <c r="Y502" t="b">
        <v>0</v>
      </c>
      <c r="Z502" s="14" t="s">
        <v>47</v>
      </c>
      <c r="AA502" s="14" t="s">
        <v>47</v>
      </c>
      <c r="AB502" s="14" t="s">
        <v>47</v>
      </c>
      <c r="AC502" t="b">
        <v>1</v>
      </c>
      <c r="AD502" s="14" t="s">
        <v>52</v>
      </c>
      <c r="AE502" s="14" t="s">
        <v>3313</v>
      </c>
      <c r="AF502" s="14" t="s">
        <v>3311</v>
      </c>
      <c r="AG502" s="14" t="s">
        <v>47</v>
      </c>
      <c r="AH502" s="14" t="s">
        <v>87</v>
      </c>
      <c r="AI502" s="2">
        <v>46160.752071759256</v>
      </c>
      <c r="AJ502" s="14" t="s">
        <v>47</v>
      </c>
      <c r="AK502" s="14" t="s">
        <v>47</v>
      </c>
      <c r="AL502" s="2">
        <v>46160.752071759256</v>
      </c>
      <c r="AM502" s="2">
        <v>46160.752071759256</v>
      </c>
    </row>
    <row r="503" spans="1:39" x14ac:dyDescent="0.3">
      <c r="A503" s="14" t="s">
        <v>3540</v>
      </c>
      <c r="B503" s="14" t="s">
        <v>3541</v>
      </c>
      <c r="C503" s="14" t="s">
        <v>41</v>
      </c>
      <c r="D503" s="14" t="s">
        <v>3542</v>
      </c>
      <c r="E503" s="14" t="s">
        <v>3543</v>
      </c>
      <c r="F503" s="14" t="s">
        <v>83</v>
      </c>
      <c r="G503" s="14" t="s">
        <v>84</v>
      </c>
      <c r="H503" s="14" t="s">
        <v>85</v>
      </c>
      <c r="I503" s="14" t="s">
        <v>47</v>
      </c>
      <c r="J503" s="14" t="s">
        <v>47</v>
      </c>
      <c r="K503" s="14" t="s">
        <v>48</v>
      </c>
      <c r="L503" s="14" t="s">
        <v>47</v>
      </c>
      <c r="M503" s="1">
        <v>46090</v>
      </c>
      <c r="N503" s="1">
        <v>46090</v>
      </c>
      <c r="O503" s="1">
        <v>46090</v>
      </c>
      <c r="P503" s="14" t="s">
        <v>49</v>
      </c>
      <c r="Q503" s="14" t="s">
        <v>50</v>
      </c>
      <c r="R503">
        <v>2</v>
      </c>
      <c r="S503" t="b">
        <v>0</v>
      </c>
      <c r="T503" s="14" t="s">
        <v>47</v>
      </c>
      <c r="U503" s="14" t="s">
        <v>47</v>
      </c>
      <c r="V503" s="14" t="s">
        <v>47</v>
      </c>
      <c r="W503" s="14" t="s">
        <v>47</v>
      </c>
      <c r="X503" s="14" t="s">
        <v>51</v>
      </c>
      <c r="Y503" t="b">
        <v>0</v>
      </c>
      <c r="Z503" s="14" t="s">
        <v>47</v>
      </c>
      <c r="AA503" s="14" t="s">
        <v>47</v>
      </c>
      <c r="AB503" s="14" t="s">
        <v>47</v>
      </c>
      <c r="AC503" t="b">
        <v>1</v>
      </c>
      <c r="AD503" s="14" t="s">
        <v>52</v>
      </c>
      <c r="AE503" s="14" t="s">
        <v>3544</v>
      </c>
      <c r="AF503" s="14" t="s">
        <v>3542</v>
      </c>
      <c r="AG503" s="14" t="s">
        <v>47</v>
      </c>
      <c r="AH503" s="14" t="s">
        <v>87</v>
      </c>
      <c r="AI503" s="2">
        <v>46160.757951388892</v>
      </c>
      <c r="AJ503" s="14" t="s">
        <v>47</v>
      </c>
      <c r="AK503" s="14" t="s">
        <v>47</v>
      </c>
      <c r="AL503" s="2">
        <v>46160.757951388892</v>
      </c>
      <c r="AM503" s="2">
        <v>46160.757951388892</v>
      </c>
    </row>
    <row r="504" spans="1:39" x14ac:dyDescent="0.3">
      <c r="A504" t="s">
        <v>3849</v>
      </c>
      <c r="B504" t="s">
        <v>3850</v>
      </c>
      <c r="C504" t="s">
        <v>41</v>
      </c>
      <c r="D504" t="s">
        <v>3851</v>
      </c>
      <c r="E504" t="s">
        <v>3852</v>
      </c>
      <c r="F504" t="s">
        <v>47</v>
      </c>
      <c r="G504" t="s">
        <v>47</v>
      </c>
      <c r="H504" t="s">
        <v>85</v>
      </c>
      <c r="I504" t="s">
        <v>47</v>
      </c>
      <c r="J504" t="s">
        <v>47</v>
      </c>
      <c r="K504" t="s">
        <v>48</v>
      </c>
      <c r="L504" t="s">
        <v>47</v>
      </c>
      <c r="M504" s="1">
        <v>46077</v>
      </c>
      <c r="N504" s="1">
        <v>46077</v>
      </c>
      <c r="O504" s="1">
        <v>46077</v>
      </c>
      <c r="P504" t="s">
        <v>49</v>
      </c>
      <c r="Q504" t="s">
        <v>50</v>
      </c>
      <c r="R504">
        <v>2</v>
      </c>
      <c r="S504" t="b">
        <v>0</v>
      </c>
      <c r="T504" t="s">
        <v>47</v>
      </c>
      <c r="U504" t="s">
        <v>47</v>
      </c>
      <c r="V504" t="s">
        <v>47</v>
      </c>
      <c r="W504" t="s">
        <v>47</v>
      </c>
      <c r="X504" t="s">
        <v>51</v>
      </c>
      <c r="Y504" t="b">
        <v>0</v>
      </c>
      <c r="Z504" t="s">
        <v>47</v>
      </c>
      <c r="AA504" t="s">
        <v>47</v>
      </c>
      <c r="AB504" t="s">
        <v>47</v>
      </c>
      <c r="AC504" t="b">
        <v>1</v>
      </c>
      <c r="AD504" t="s">
        <v>52</v>
      </c>
      <c r="AE504" t="s">
        <v>3853</v>
      </c>
      <c r="AF504" t="s">
        <v>3851</v>
      </c>
      <c r="AG504" t="s">
        <v>3611</v>
      </c>
      <c r="AH504" t="s">
        <v>87</v>
      </c>
      <c r="AI504" s="2">
        <v>46160.775243055556</v>
      </c>
      <c r="AJ504" t="s">
        <v>47</v>
      </c>
      <c r="AK504" t="s">
        <v>47</v>
      </c>
      <c r="AL504" s="2">
        <v>46160.775243055556</v>
      </c>
      <c r="AM504" s="2">
        <v>46160.775243055556</v>
      </c>
    </row>
    <row r="505" spans="1:39" x14ac:dyDescent="0.3">
      <c r="A505" t="s">
        <v>3627</v>
      </c>
      <c r="B505" t="s">
        <v>3628</v>
      </c>
      <c r="C505" t="s">
        <v>41</v>
      </c>
      <c r="D505" t="s">
        <v>3629</v>
      </c>
      <c r="E505" t="s">
        <v>3630</v>
      </c>
      <c r="F505" t="s">
        <v>47</v>
      </c>
      <c r="G505" t="s">
        <v>47</v>
      </c>
      <c r="H505" t="s">
        <v>85</v>
      </c>
      <c r="I505" t="s">
        <v>47</v>
      </c>
      <c r="J505" t="s">
        <v>47</v>
      </c>
      <c r="K505" t="s">
        <v>48</v>
      </c>
      <c r="L505" t="s">
        <v>47</v>
      </c>
      <c r="M505" s="1">
        <v>46090</v>
      </c>
      <c r="N505" s="1">
        <v>46090</v>
      </c>
      <c r="O505" s="1">
        <v>46090</v>
      </c>
      <c r="P505" t="s">
        <v>49</v>
      </c>
      <c r="Q505" t="s">
        <v>50</v>
      </c>
      <c r="R505">
        <v>2</v>
      </c>
      <c r="S505" t="b">
        <v>0</v>
      </c>
      <c r="T505" t="s">
        <v>47</v>
      </c>
      <c r="U505" t="s">
        <v>47</v>
      </c>
      <c r="V505" t="s">
        <v>47</v>
      </c>
      <c r="W505" t="s">
        <v>47</v>
      </c>
      <c r="X505" t="s">
        <v>51</v>
      </c>
      <c r="Y505" t="b">
        <v>0</v>
      </c>
      <c r="Z505" t="s">
        <v>47</v>
      </c>
      <c r="AA505" t="s">
        <v>47</v>
      </c>
      <c r="AB505" t="s">
        <v>47</v>
      </c>
      <c r="AC505" t="b">
        <v>1</v>
      </c>
      <c r="AD505" t="s">
        <v>52</v>
      </c>
      <c r="AE505" t="s">
        <v>3631</v>
      </c>
      <c r="AF505" t="s">
        <v>3629</v>
      </c>
      <c r="AG505" t="s">
        <v>3611</v>
      </c>
      <c r="AH505" t="s">
        <v>87</v>
      </c>
      <c r="AI505" s="2">
        <v>46160.775231481479</v>
      </c>
      <c r="AJ505" t="s">
        <v>47</v>
      </c>
      <c r="AK505" t="s">
        <v>47</v>
      </c>
      <c r="AL505" s="2">
        <v>46160.775231481479</v>
      </c>
      <c r="AM505" s="2">
        <v>46160.775231481479</v>
      </c>
    </row>
    <row r="506" spans="1:39" x14ac:dyDescent="0.3">
      <c r="A506" s="14" t="s">
        <v>3314</v>
      </c>
      <c r="B506" s="14" t="s">
        <v>3315</v>
      </c>
      <c r="C506" s="14" t="s">
        <v>41</v>
      </c>
      <c r="D506" s="14" t="s">
        <v>3316</v>
      </c>
      <c r="E506" s="14" t="s">
        <v>3317</v>
      </c>
      <c r="F506" s="14" t="s">
        <v>3318</v>
      </c>
      <c r="G506" s="14" t="s">
        <v>3319</v>
      </c>
      <c r="H506" s="14" t="s">
        <v>3320</v>
      </c>
      <c r="I506" s="14" t="s">
        <v>47</v>
      </c>
      <c r="J506" s="14" t="s">
        <v>47</v>
      </c>
      <c r="K506" s="14" t="s">
        <v>3321</v>
      </c>
      <c r="L506" s="14" t="s">
        <v>47</v>
      </c>
      <c r="M506" s="1">
        <v>46090</v>
      </c>
      <c r="N506" s="1">
        <v>46090</v>
      </c>
      <c r="O506" s="1">
        <v>46090</v>
      </c>
      <c r="P506" s="14" t="s">
        <v>315</v>
      </c>
      <c r="Q506" s="14" t="s">
        <v>76</v>
      </c>
      <c r="R506">
        <v>4</v>
      </c>
      <c r="S506" t="b">
        <v>1</v>
      </c>
      <c r="T506" s="14" t="s">
        <v>47</v>
      </c>
      <c r="U506" s="14" t="s">
        <v>47</v>
      </c>
      <c r="V506" s="14" t="s">
        <v>47</v>
      </c>
      <c r="W506" s="14" t="s">
        <v>47</v>
      </c>
      <c r="X506" s="14" t="s">
        <v>51</v>
      </c>
      <c r="Y506" t="b">
        <v>0</v>
      </c>
      <c r="Z506" s="14" t="s">
        <v>47</v>
      </c>
      <c r="AA506" s="14" t="s">
        <v>47</v>
      </c>
      <c r="AB506" s="14" t="s">
        <v>47</v>
      </c>
      <c r="AC506" t="b">
        <v>1</v>
      </c>
      <c r="AD506" s="14" t="s">
        <v>52</v>
      </c>
      <c r="AE506" s="14" t="s">
        <v>3322</v>
      </c>
      <c r="AF506" s="14" t="s">
        <v>3316</v>
      </c>
      <c r="AG506" s="14" t="s">
        <v>47</v>
      </c>
      <c r="AH506" s="14" t="s">
        <v>87</v>
      </c>
      <c r="AI506" s="2">
        <v>46160.752071759256</v>
      </c>
      <c r="AJ506" s="14" t="s">
        <v>47</v>
      </c>
      <c r="AK506" s="14" t="s">
        <v>47</v>
      </c>
      <c r="AL506" s="2">
        <v>46160.752071759256</v>
      </c>
      <c r="AM506" s="2">
        <v>46160.752071759256</v>
      </c>
    </row>
    <row r="507" spans="1:39" x14ac:dyDescent="0.3">
      <c r="A507" s="14" t="s">
        <v>3323</v>
      </c>
      <c r="B507" s="14" t="s">
        <v>3324</v>
      </c>
      <c r="C507" s="14" t="s">
        <v>41</v>
      </c>
      <c r="D507" s="14" t="s">
        <v>3325</v>
      </c>
      <c r="E507" s="14" t="s">
        <v>3326</v>
      </c>
      <c r="F507" s="14" t="s">
        <v>3005</v>
      </c>
      <c r="G507" s="14" t="s">
        <v>3006</v>
      </c>
      <c r="H507" s="14" t="s">
        <v>3007</v>
      </c>
      <c r="I507" s="14" t="s">
        <v>47</v>
      </c>
      <c r="J507" s="14" t="s">
        <v>47</v>
      </c>
      <c r="K507" s="14" t="s">
        <v>3008</v>
      </c>
      <c r="L507" s="14" t="s">
        <v>47</v>
      </c>
      <c r="M507" s="1">
        <v>46090</v>
      </c>
      <c r="N507" s="1">
        <v>46090</v>
      </c>
      <c r="O507" s="1">
        <v>46090</v>
      </c>
      <c r="P507" s="14" t="s">
        <v>315</v>
      </c>
      <c r="Q507" s="14" t="s">
        <v>76</v>
      </c>
      <c r="R507">
        <v>4</v>
      </c>
      <c r="S507" t="b">
        <v>1</v>
      </c>
      <c r="T507" s="14" t="s">
        <v>47</v>
      </c>
      <c r="U507" s="14" t="s">
        <v>47</v>
      </c>
      <c r="V507" s="14" t="s">
        <v>47</v>
      </c>
      <c r="W507" s="14" t="s">
        <v>47</v>
      </c>
      <c r="X507" s="14" t="s">
        <v>51</v>
      </c>
      <c r="Y507" t="b">
        <v>0</v>
      </c>
      <c r="Z507" s="14" t="s">
        <v>47</v>
      </c>
      <c r="AA507" s="14" t="s">
        <v>47</v>
      </c>
      <c r="AB507" s="14" t="s">
        <v>47</v>
      </c>
      <c r="AC507" t="b">
        <v>1</v>
      </c>
      <c r="AD507" s="14" t="s">
        <v>52</v>
      </c>
      <c r="AE507" s="14" t="s">
        <v>3327</v>
      </c>
      <c r="AF507" s="14" t="s">
        <v>3325</v>
      </c>
      <c r="AG507" s="14" t="s">
        <v>47</v>
      </c>
      <c r="AH507" s="14" t="s">
        <v>87</v>
      </c>
      <c r="AI507" s="2">
        <v>46160.752071759256</v>
      </c>
      <c r="AJ507" s="14" t="s">
        <v>47</v>
      </c>
      <c r="AK507" s="14" t="s">
        <v>47</v>
      </c>
      <c r="AL507" s="2">
        <v>46160.752071759256</v>
      </c>
      <c r="AM507" s="2">
        <v>46160.752071759256</v>
      </c>
    </row>
    <row r="508" spans="1:39" x14ac:dyDescent="0.3">
      <c r="A508" s="14" t="s">
        <v>3328</v>
      </c>
      <c r="B508" s="14" t="s">
        <v>3329</v>
      </c>
      <c r="C508" s="14" t="s">
        <v>41</v>
      </c>
      <c r="D508" s="14" t="s">
        <v>3330</v>
      </c>
      <c r="E508" s="14" t="s">
        <v>3331</v>
      </c>
      <c r="F508" s="14" t="s">
        <v>172</v>
      </c>
      <c r="G508" s="14" t="s">
        <v>173</v>
      </c>
      <c r="H508" s="14" t="s">
        <v>174</v>
      </c>
      <c r="I508" s="14" t="s">
        <v>47</v>
      </c>
      <c r="J508" s="14" t="s">
        <v>47</v>
      </c>
      <c r="K508" s="14" t="s">
        <v>130</v>
      </c>
      <c r="L508" s="14" t="s">
        <v>47</v>
      </c>
      <c r="M508" s="1">
        <v>46090</v>
      </c>
      <c r="N508" s="1">
        <v>46090</v>
      </c>
      <c r="O508" s="1">
        <v>46090</v>
      </c>
      <c r="P508" s="14" t="s">
        <v>49</v>
      </c>
      <c r="Q508" s="14" t="s">
        <v>50</v>
      </c>
      <c r="R508">
        <v>3</v>
      </c>
      <c r="S508" t="b">
        <v>1</v>
      </c>
      <c r="T508" s="14" t="s">
        <v>47</v>
      </c>
      <c r="U508" s="14" t="s">
        <v>47</v>
      </c>
      <c r="V508" s="14" t="s">
        <v>47</v>
      </c>
      <c r="W508" s="14" t="s">
        <v>47</v>
      </c>
      <c r="X508" s="14" t="s">
        <v>51</v>
      </c>
      <c r="Y508" t="b">
        <v>0</v>
      </c>
      <c r="Z508" s="14" t="s">
        <v>47</v>
      </c>
      <c r="AA508" s="14" t="s">
        <v>47</v>
      </c>
      <c r="AB508" s="14" t="s">
        <v>47</v>
      </c>
      <c r="AC508" t="b">
        <v>1</v>
      </c>
      <c r="AD508" s="14" t="s">
        <v>52</v>
      </c>
      <c r="AE508" s="14" t="s">
        <v>3332</v>
      </c>
      <c r="AF508" s="14" t="s">
        <v>3330</v>
      </c>
      <c r="AG508" s="14" t="s">
        <v>47</v>
      </c>
      <c r="AH508" s="14" t="s">
        <v>87</v>
      </c>
      <c r="AI508" s="2">
        <v>46160.752071759256</v>
      </c>
      <c r="AJ508" s="14" t="s">
        <v>47</v>
      </c>
      <c r="AK508" s="14" t="s">
        <v>47</v>
      </c>
      <c r="AL508" s="2">
        <v>46160.752071759256</v>
      </c>
      <c r="AM508" s="2">
        <v>46160.752071759256</v>
      </c>
    </row>
    <row r="509" spans="1:39" x14ac:dyDescent="0.3">
      <c r="A509" t="s">
        <v>3657</v>
      </c>
      <c r="B509" t="s">
        <v>3658</v>
      </c>
      <c r="C509" t="s">
        <v>41</v>
      </c>
      <c r="D509" t="s">
        <v>3659</v>
      </c>
      <c r="E509" t="s">
        <v>3660</v>
      </c>
      <c r="F509" t="s">
        <v>47</v>
      </c>
      <c r="G509" t="s">
        <v>47</v>
      </c>
      <c r="H509" t="s">
        <v>85</v>
      </c>
      <c r="I509" t="s">
        <v>47</v>
      </c>
      <c r="J509" t="s">
        <v>47</v>
      </c>
      <c r="K509" t="s">
        <v>48</v>
      </c>
      <c r="L509" t="s">
        <v>47</v>
      </c>
      <c r="M509" s="1">
        <v>46090</v>
      </c>
      <c r="N509" s="1">
        <v>46090</v>
      </c>
      <c r="O509" s="1">
        <v>46090</v>
      </c>
      <c r="P509" t="s">
        <v>49</v>
      </c>
      <c r="Q509" t="s">
        <v>50</v>
      </c>
      <c r="R509">
        <v>2</v>
      </c>
      <c r="S509" t="b">
        <v>0</v>
      </c>
      <c r="T509" t="s">
        <v>47</v>
      </c>
      <c r="U509" t="s">
        <v>47</v>
      </c>
      <c r="V509" t="s">
        <v>47</v>
      </c>
      <c r="W509" t="s">
        <v>47</v>
      </c>
      <c r="X509" t="s">
        <v>51</v>
      </c>
      <c r="Y509" t="b">
        <v>0</v>
      </c>
      <c r="Z509" t="s">
        <v>47</v>
      </c>
      <c r="AA509" t="s">
        <v>47</v>
      </c>
      <c r="AB509" t="s">
        <v>47</v>
      </c>
      <c r="AC509" t="b">
        <v>1</v>
      </c>
      <c r="AD509" t="s">
        <v>52</v>
      </c>
      <c r="AE509" t="s">
        <v>3661</v>
      </c>
      <c r="AF509" t="s">
        <v>3659</v>
      </c>
      <c r="AG509" t="s">
        <v>3611</v>
      </c>
      <c r="AH509" t="s">
        <v>87</v>
      </c>
      <c r="AI509" s="2">
        <v>46160.775231481479</v>
      </c>
      <c r="AJ509" t="s">
        <v>47</v>
      </c>
      <c r="AK509" t="s">
        <v>47</v>
      </c>
      <c r="AL509" s="2">
        <v>46160.775231481479</v>
      </c>
      <c r="AM509" s="2">
        <v>46160.775231481479</v>
      </c>
    </row>
    <row r="510" spans="1:39" x14ac:dyDescent="0.3">
      <c r="A510" s="14" t="s">
        <v>3132</v>
      </c>
      <c r="B510" s="14" t="s">
        <v>3133</v>
      </c>
      <c r="C510" s="14" t="s">
        <v>41</v>
      </c>
      <c r="D510" s="14" t="s">
        <v>3134</v>
      </c>
      <c r="E510" s="14" t="s">
        <v>3135</v>
      </c>
      <c r="F510" s="14" t="s">
        <v>3136</v>
      </c>
      <c r="G510" s="14" t="s">
        <v>3137</v>
      </c>
      <c r="H510" s="14" t="s">
        <v>3138</v>
      </c>
      <c r="I510" s="14" t="s">
        <v>47</v>
      </c>
      <c r="J510" s="14" t="s">
        <v>47</v>
      </c>
      <c r="K510" s="14" t="s">
        <v>369</v>
      </c>
      <c r="L510" s="14" t="s">
        <v>47</v>
      </c>
      <c r="M510" s="1">
        <v>46090</v>
      </c>
      <c r="N510" s="1">
        <v>46090</v>
      </c>
      <c r="O510" s="1">
        <v>46090</v>
      </c>
      <c r="P510" s="14" t="s">
        <v>370</v>
      </c>
      <c r="Q510" s="14" t="s">
        <v>371</v>
      </c>
      <c r="R510">
        <v>5</v>
      </c>
      <c r="S510" t="b">
        <v>1</v>
      </c>
      <c r="T510" s="14" t="s">
        <v>47</v>
      </c>
      <c r="U510" s="14" t="s">
        <v>47</v>
      </c>
      <c r="V510" s="14" t="s">
        <v>47</v>
      </c>
      <c r="W510" s="14" t="s">
        <v>47</v>
      </c>
      <c r="X510" s="14" t="s">
        <v>51</v>
      </c>
      <c r="Y510" t="b">
        <v>0</v>
      </c>
      <c r="Z510" s="14" t="s">
        <v>47</v>
      </c>
      <c r="AA510" s="14" t="s">
        <v>47</v>
      </c>
      <c r="AB510" s="14" t="s">
        <v>47</v>
      </c>
      <c r="AC510" t="b">
        <v>1</v>
      </c>
      <c r="AD510" s="14" t="s">
        <v>52</v>
      </c>
      <c r="AE510" s="14" t="s">
        <v>3139</v>
      </c>
      <c r="AF510" s="14" t="s">
        <v>3134</v>
      </c>
      <c r="AG510" s="14" t="s">
        <v>47</v>
      </c>
      <c r="AH510" s="14" t="s">
        <v>87</v>
      </c>
      <c r="AI510" s="2">
        <v>46160.752071759256</v>
      </c>
      <c r="AJ510" s="14" t="s">
        <v>47</v>
      </c>
      <c r="AK510" s="14" t="s">
        <v>47</v>
      </c>
      <c r="AL510" s="2">
        <v>46160.752071759256</v>
      </c>
      <c r="AM510" s="2">
        <v>46160.752071759256</v>
      </c>
    </row>
    <row r="511" spans="1:39" x14ac:dyDescent="0.3">
      <c r="A511" t="s">
        <v>3662</v>
      </c>
      <c r="B511" t="s">
        <v>3663</v>
      </c>
      <c r="C511" t="s">
        <v>41</v>
      </c>
      <c r="D511" t="s">
        <v>3664</v>
      </c>
      <c r="E511" t="s">
        <v>3665</v>
      </c>
      <c r="F511" t="s">
        <v>47</v>
      </c>
      <c r="G511" t="s">
        <v>47</v>
      </c>
      <c r="H511" t="s">
        <v>85</v>
      </c>
      <c r="I511" t="s">
        <v>47</v>
      </c>
      <c r="J511" t="s">
        <v>47</v>
      </c>
      <c r="K511" t="s">
        <v>48</v>
      </c>
      <c r="L511" t="s">
        <v>47</v>
      </c>
      <c r="M511" s="1">
        <v>46090</v>
      </c>
      <c r="N511" s="1">
        <v>46090</v>
      </c>
      <c r="O511" s="1">
        <v>46090</v>
      </c>
      <c r="P511" t="s">
        <v>49</v>
      </c>
      <c r="Q511" t="s">
        <v>50</v>
      </c>
      <c r="R511">
        <v>2</v>
      </c>
      <c r="S511" t="b">
        <v>0</v>
      </c>
      <c r="T511" t="s">
        <v>47</v>
      </c>
      <c r="U511" t="s">
        <v>47</v>
      </c>
      <c r="V511" t="s">
        <v>47</v>
      </c>
      <c r="W511" t="s">
        <v>47</v>
      </c>
      <c r="X511" t="s">
        <v>51</v>
      </c>
      <c r="Y511" t="b">
        <v>0</v>
      </c>
      <c r="Z511" t="s">
        <v>47</v>
      </c>
      <c r="AA511" t="s">
        <v>47</v>
      </c>
      <c r="AB511" t="s">
        <v>47</v>
      </c>
      <c r="AC511" t="b">
        <v>1</v>
      </c>
      <c r="AD511" t="s">
        <v>52</v>
      </c>
      <c r="AE511" t="s">
        <v>3666</v>
      </c>
      <c r="AF511" t="s">
        <v>3664</v>
      </c>
      <c r="AG511" t="s">
        <v>3611</v>
      </c>
      <c r="AH511" t="s">
        <v>87</v>
      </c>
      <c r="AI511" s="2">
        <v>46160.775231481479</v>
      </c>
      <c r="AJ511" t="s">
        <v>47</v>
      </c>
      <c r="AK511" t="s">
        <v>47</v>
      </c>
      <c r="AL511" s="2">
        <v>46160.775231481479</v>
      </c>
      <c r="AM511" s="2">
        <v>46160.775231481479</v>
      </c>
    </row>
    <row r="512" spans="1:39" x14ac:dyDescent="0.3">
      <c r="A512" t="s">
        <v>3741</v>
      </c>
      <c r="B512" t="s">
        <v>3742</v>
      </c>
      <c r="C512" t="s">
        <v>41</v>
      </c>
      <c r="D512" t="s">
        <v>3743</v>
      </c>
      <c r="E512" t="s">
        <v>3744</v>
      </c>
      <c r="F512" t="s">
        <v>47</v>
      </c>
      <c r="G512" t="s">
        <v>47</v>
      </c>
      <c r="H512" t="s">
        <v>85</v>
      </c>
      <c r="I512" t="s">
        <v>47</v>
      </c>
      <c r="J512" t="s">
        <v>47</v>
      </c>
      <c r="K512" t="s">
        <v>48</v>
      </c>
      <c r="L512" t="s">
        <v>47</v>
      </c>
      <c r="M512" s="1">
        <v>46090</v>
      </c>
      <c r="N512" s="1">
        <v>46090</v>
      </c>
      <c r="O512" s="1">
        <v>46090</v>
      </c>
      <c r="P512" t="s">
        <v>49</v>
      </c>
      <c r="Q512" t="s">
        <v>50</v>
      </c>
      <c r="R512">
        <v>2</v>
      </c>
      <c r="S512" t="b">
        <v>0</v>
      </c>
      <c r="T512" t="s">
        <v>47</v>
      </c>
      <c r="U512" t="s">
        <v>47</v>
      </c>
      <c r="V512" t="s">
        <v>47</v>
      </c>
      <c r="W512" t="s">
        <v>47</v>
      </c>
      <c r="X512" t="s">
        <v>51</v>
      </c>
      <c r="Y512" t="b">
        <v>0</v>
      </c>
      <c r="Z512" t="s">
        <v>47</v>
      </c>
      <c r="AA512" t="s">
        <v>47</v>
      </c>
      <c r="AB512" t="s">
        <v>47</v>
      </c>
      <c r="AC512" t="b">
        <v>1</v>
      </c>
      <c r="AD512" t="s">
        <v>52</v>
      </c>
      <c r="AE512" t="s">
        <v>3745</v>
      </c>
      <c r="AF512" t="s">
        <v>3743</v>
      </c>
      <c r="AG512" t="s">
        <v>3611</v>
      </c>
      <c r="AH512" t="s">
        <v>87</v>
      </c>
      <c r="AI512" s="2">
        <v>46160.775243055556</v>
      </c>
      <c r="AJ512" t="s">
        <v>47</v>
      </c>
      <c r="AK512" t="s">
        <v>47</v>
      </c>
      <c r="AL512" s="2">
        <v>46160.775243055556</v>
      </c>
      <c r="AM512" s="2">
        <v>46160.775243055556</v>
      </c>
    </row>
    <row r="513" spans="1:39" x14ac:dyDescent="0.3">
      <c r="A513" s="14" t="s">
        <v>3333</v>
      </c>
      <c r="B513" s="14" t="s">
        <v>3334</v>
      </c>
      <c r="C513" s="14" t="s">
        <v>41</v>
      </c>
      <c r="D513" s="14" t="s">
        <v>3335</v>
      </c>
      <c r="E513" s="14" t="s">
        <v>3336</v>
      </c>
      <c r="F513" s="14" t="s">
        <v>172</v>
      </c>
      <c r="G513" s="14" t="s">
        <v>173</v>
      </c>
      <c r="H513" s="14" t="s">
        <v>174</v>
      </c>
      <c r="I513" s="14" t="s">
        <v>47</v>
      </c>
      <c r="J513" s="14" t="s">
        <v>47</v>
      </c>
      <c r="K513" s="14" t="s">
        <v>130</v>
      </c>
      <c r="L513" s="14" t="s">
        <v>47</v>
      </c>
      <c r="M513" s="1">
        <v>46069</v>
      </c>
      <c r="N513" s="1">
        <v>46069</v>
      </c>
      <c r="O513" s="1">
        <v>46069</v>
      </c>
      <c r="P513" s="14" t="s">
        <v>49</v>
      </c>
      <c r="Q513" s="14" t="s">
        <v>50</v>
      </c>
      <c r="R513">
        <v>3</v>
      </c>
      <c r="S513" t="b">
        <v>1</v>
      </c>
      <c r="T513" s="14" t="s">
        <v>47</v>
      </c>
      <c r="U513" s="14" t="s">
        <v>47</v>
      </c>
      <c r="V513" s="14" t="s">
        <v>47</v>
      </c>
      <c r="W513" s="14" t="s">
        <v>47</v>
      </c>
      <c r="X513" s="14" t="s">
        <v>51</v>
      </c>
      <c r="Y513" t="b">
        <v>0</v>
      </c>
      <c r="Z513" s="14" t="s">
        <v>47</v>
      </c>
      <c r="AA513" s="14" t="s">
        <v>47</v>
      </c>
      <c r="AB513" s="14" t="s">
        <v>47</v>
      </c>
      <c r="AC513" t="b">
        <v>1</v>
      </c>
      <c r="AD513" s="14" t="s">
        <v>52</v>
      </c>
      <c r="AE513" s="14" t="s">
        <v>3337</v>
      </c>
      <c r="AF513" s="14" t="s">
        <v>3335</v>
      </c>
      <c r="AG513" s="14" t="s">
        <v>47</v>
      </c>
      <c r="AH513" s="14" t="s">
        <v>87</v>
      </c>
      <c r="AI513" s="2">
        <v>46160.752071759256</v>
      </c>
      <c r="AJ513" s="14" t="s">
        <v>47</v>
      </c>
      <c r="AK513" s="14" t="s">
        <v>47</v>
      </c>
      <c r="AL513" s="2">
        <v>46160.752071759256</v>
      </c>
      <c r="AM513" s="2">
        <v>46160.752071759256</v>
      </c>
    </row>
    <row r="514" spans="1:39" x14ac:dyDescent="0.3">
      <c r="A514" t="s">
        <v>3667</v>
      </c>
      <c r="B514" t="s">
        <v>3668</v>
      </c>
      <c r="C514" t="s">
        <v>41</v>
      </c>
      <c r="D514" t="s">
        <v>3669</v>
      </c>
      <c r="E514" t="s">
        <v>3670</v>
      </c>
      <c r="F514" t="s">
        <v>47</v>
      </c>
      <c r="G514" t="s">
        <v>47</v>
      </c>
      <c r="H514" t="s">
        <v>85</v>
      </c>
      <c r="I514" t="s">
        <v>47</v>
      </c>
      <c r="J514" t="s">
        <v>47</v>
      </c>
      <c r="K514" t="s">
        <v>48</v>
      </c>
      <c r="L514" t="s">
        <v>47</v>
      </c>
      <c r="M514" s="1">
        <v>46090</v>
      </c>
      <c r="N514" s="1">
        <v>46090</v>
      </c>
      <c r="O514" s="1">
        <v>46090</v>
      </c>
      <c r="P514" t="s">
        <v>49</v>
      </c>
      <c r="Q514" t="s">
        <v>50</v>
      </c>
      <c r="R514">
        <v>2</v>
      </c>
      <c r="S514" t="b">
        <v>0</v>
      </c>
      <c r="T514" t="s">
        <v>47</v>
      </c>
      <c r="U514" t="s">
        <v>47</v>
      </c>
      <c r="V514" t="s">
        <v>47</v>
      </c>
      <c r="W514" t="s">
        <v>47</v>
      </c>
      <c r="X514" t="s">
        <v>51</v>
      </c>
      <c r="Y514" t="b">
        <v>0</v>
      </c>
      <c r="Z514" t="s">
        <v>47</v>
      </c>
      <c r="AA514" t="s">
        <v>47</v>
      </c>
      <c r="AB514" t="s">
        <v>47</v>
      </c>
      <c r="AC514" t="b">
        <v>1</v>
      </c>
      <c r="AD514" t="s">
        <v>52</v>
      </c>
      <c r="AE514" t="s">
        <v>3671</v>
      </c>
      <c r="AF514" t="s">
        <v>3669</v>
      </c>
      <c r="AG514" t="s">
        <v>3611</v>
      </c>
      <c r="AH514" t="s">
        <v>87</v>
      </c>
      <c r="AI514" s="2">
        <v>46160.775231481479</v>
      </c>
      <c r="AJ514" t="s">
        <v>47</v>
      </c>
      <c r="AK514" t="s">
        <v>47</v>
      </c>
      <c r="AL514" s="2">
        <v>46160.775231481479</v>
      </c>
      <c r="AM514" s="2">
        <v>46160.775231481479</v>
      </c>
    </row>
    <row r="515" spans="1:39" x14ac:dyDescent="0.3">
      <c r="A515" t="s">
        <v>3876</v>
      </c>
      <c r="B515" t="s">
        <v>3877</v>
      </c>
      <c r="C515" t="s">
        <v>41</v>
      </c>
      <c r="D515" t="s">
        <v>3878</v>
      </c>
      <c r="E515" t="s">
        <v>3879</v>
      </c>
      <c r="F515" t="s">
        <v>47</v>
      </c>
      <c r="G515" t="s">
        <v>47</v>
      </c>
      <c r="H515" t="s">
        <v>3880</v>
      </c>
      <c r="I515" t="s">
        <v>47</v>
      </c>
      <c r="J515" t="s">
        <v>47</v>
      </c>
      <c r="K515" t="s">
        <v>3881</v>
      </c>
      <c r="L515" t="s">
        <v>47</v>
      </c>
      <c r="M515" s="1">
        <v>46091</v>
      </c>
      <c r="N515" s="1">
        <v>46091</v>
      </c>
      <c r="O515" s="1">
        <v>46091</v>
      </c>
      <c r="P515" t="s">
        <v>370</v>
      </c>
      <c r="Q515" t="s">
        <v>3882</v>
      </c>
      <c r="R515">
        <v>4</v>
      </c>
      <c r="S515" t="b">
        <v>1</v>
      </c>
      <c r="T515" t="s">
        <v>47</v>
      </c>
      <c r="U515" t="s">
        <v>47</v>
      </c>
      <c r="V515" t="s">
        <v>47</v>
      </c>
      <c r="W515" t="s">
        <v>47</v>
      </c>
      <c r="X515" t="s">
        <v>51</v>
      </c>
      <c r="Y515" t="b">
        <v>0</v>
      </c>
      <c r="Z515" t="s">
        <v>47</v>
      </c>
      <c r="AA515" t="s">
        <v>47</v>
      </c>
      <c r="AB515" t="s">
        <v>47</v>
      </c>
      <c r="AC515" t="b">
        <v>1</v>
      </c>
      <c r="AD515" t="s">
        <v>52</v>
      </c>
      <c r="AE515" t="s">
        <v>3883</v>
      </c>
      <c r="AF515" t="s">
        <v>3878</v>
      </c>
      <c r="AG515" t="s">
        <v>3611</v>
      </c>
      <c r="AH515" t="s">
        <v>87</v>
      </c>
      <c r="AI515" s="2">
        <v>46160.775243055556</v>
      </c>
      <c r="AJ515" t="s">
        <v>47</v>
      </c>
      <c r="AK515" t="s">
        <v>47</v>
      </c>
      <c r="AL515" s="2">
        <v>46160.775243055556</v>
      </c>
      <c r="AM515" s="2">
        <v>46160.775243055556</v>
      </c>
    </row>
    <row r="516" spans="1:39" x14ac:dyDescent="0.3">
      <c r="A516" s="14" t="s">
        <v>3140</v>
      </c>
      <c r="B516" s="14" t="s">
        <v>3141</v>
      </c>
      <c r="C516" s="14" t="s">
        <v>41</v>
      </c>
      <c r="D516" s="14" t="s">
        <v>3142</v>
      </c>
      <c r="E516" s="14" t="s">
        <v>3143</v>
      </c>
      <c r="F516" s="14" t="s">
        <v>3076</v>
      </c>
      <c r="G516" s="14" t="s">
        <v>3077</v>
      </c>
      <c r="H516" s="14" t="s">
        <v>3078</v>
      </c>
      <c r="I516" s="14" t="s">
        <v>47</v>
      </c>
      <c r="J516" s="14" t="s">
        <v>47</v>
      </c>
      <c r="K516" s="14" t="s">
        <v>3079</v>
      </c>
      <c r="L516" s="14" t="s">
        <v>47</v>
      </c>
      <c r="M516" s="1">
        <v>46091</v>
      </c>
      <c r="N516" s="1">
        <v>46091</v>
      </c>
      <c r="O516" s="1">
        <v>46091</v>
      </c>
      <c r="P516" s="14" t="s">
        <v>64</v>
      </c>
      <c r="Q516" s="14" t="s">
        <v>50</v>
      </c>
      <c r="R516">
        <v>2</v>
      </c>
      <c r="S516" t="b">
        <v>0</v>
      </c>
      <c r="T516" s="14" t="s">
        <v>47</v>
      </c>
      <c r="U516" s="14" t="s">
        <v>47</v>
      </c>
      <c r="V516" s="14" t="s">
        <v>47</v>
      </c>
      <c r="W516" s="14" t="s">
        <v>47</v>
      </c>
      <c r="X516" s="14" t="s">
        <v>51</v>
      </c>
      <c r="Y516" t="b">
        <v>0</v>
      </c>
      <c r="Z516" s="14" t="s">
        <v>47</v>
      </c>
      <c r="AA516" s="14" t="s">
        <v>47</v>
      </c>
      <c r="AB516" s="14" t="s">
        <v>47</v>
      </c>
      <c r="AC516" t="b">
        <v>1</v>
      </c>
      <c r="AD516" s="14" t="s">
        <v>52</v>
      </c>
      <c r="AE516" s="14" t="s">
        <v>3144</v>
      </c>
      <c r="AF516" s="14" t="s">
        <v>3142</v>
      </c>
      <c r="AG516" s="14" t="s">
        <v>47</v>
      </c>
      <c r="AH516" s="14" t="s">
        <v>87</v>
      </c>
      <c r="AI516" s="2">
        <v>46160.752071759256</v>
      </c>
      <c r="AJ516" s="14" t="s">
        <v>47</v>
      </c>
      <c r="AK516" s="14" t="s">
        <v>47</v>
      </c>
      <c r="AL516" s="2">
        <v>46160.752071759256</v>
      </c>
      <c r="AM516" s="2">
        <v>46160.752071759256</v>
      </c>
    </row>
    <row r="517" spans="1:39" x14ac:dyDescent="0.3">
      <c r="A517" t="s">
        <v>3711</v>
      </c>
      <c r="B517" t="s">
        <v>3712</v>
      </c>
      <c r="C517" t="s">
        <v>41</v>
      </c>
      <c r="D517" t="s">
        <v>3713</v>
      </c>
      <c r="E517" t="s">
        <v>3714</v>
      </c>
      <c r="F517" t="s">
        <v>47</v>
      </c>
      <c r="G517" t="s">
        <v>47</v>
      </c>
      <c r="H517" t="s">
        <v>1034</v>
      </c>
      <c r="I517" t="s">
        <v>47</v>
      </c>
      <c r="J517" t="s">
        <v>47</v>
      </c>
      <c r="K517" t="s">
        <v>47</v>
      </c>
      <c r="L517" t="s">
        <v>47</v>
      </c>
      <c r="M517" s="1">
        <v>46091</v>
      </c>
      <c r="N517" s="1">
        <v>46091</v>
      </c>
      <c r="O517" s="1">
        <v>46091</v>
      </c>
      <c r="P517" t="s">
        <v>49</v>
      </c>
      <c r="Q517" t="s">
        <v>50</v>
      </c>
      <c r="R517">
        <v>2</v>
      </c>
      <c r="S517" t="b">
        <v>0</v>
      </c>
      <c r="T517" t="s">
        <v>47</v>
      </c>
      <c r="U517" t="s">
        <v>47</v>
      </c>
      <c r="V517" t="s">
        <v>47</v>
      </c>
      <c r="W517" t="s">
        <v>47</v>
      </c>
      <c r="X517" t="s">
        <v>51</v>
      </c>
      <c r="Y517" t="b">
        <v>0</v>
      </c>
      <c r="Z517" t="s">
        <v>47</v>
      </c>
      <c r="AA517" t="s">
        <v>47</v>
      </c>
      <c r="AB517" t="s">
        <v>47</v>
      </c>
      <c r="AC517" t="b">
        <v>1</v>
      </c>
      <c r="AD517" t="s">
        <v>52</v>
      </c>
      <c r="AE517" t="s">
        <v>3715</v>
      </c>
      <c r="AF517" t="s">
        <v>3713</v>
      </c>
      <c r="AG517" t="s">
        <v>3611</v>
      </c>
      <c r="AH517" t="s">
        <v>87</v>
      </c>
      <c r="AI517" s="2">
        <v>46160.775231481479</v>
      </c>
      <c r="AJ517" t="s">
        <v>47</v>
      </c>
      <c r="AK517" t="s">
        <v>47</v>
      </c>
      <c r="AL517" s="2">
        <v>46160.775231481479</v>
      </c>
      <c r="AM517" s="2">
        <v>46160.775231481479</v>
      </c>
    </row>
    <row r="518" spans="1:39" x14ac:dyDescent="0.3">
      <c r="A518" t="s">
        <v>3814</v>
      </c>
      <c r="B518" t="s">
        <v>3815</v>
      </c>
      <c r="C518" t="s">
        <v>41</v>
      </c>
      <c r="D518" t="s">
        <v>3816</v>
      </c>
      <c r="E518" t="s">
        <v>3817</v>
      </c>
      <c r="F518" t="s">
        <v>47</v>
      </c>
      <c r="G518" t="s">
        <v>47</v>
      </c>
      <c r="H518" t="s">
        <v>85</v>
      </c>
      <c r="I518" t="s">
        <v>47</v>
      </c>
      <c r="J518" t="s">
        <v>47</v>
      </c>
      <c r="K518" t="s">
        <v>48</v>
      </c>
      <c r="L518" t="s">
        <v>47</v>
      </c>
      <c r="M518" s="1">
        <v>46091</v>
      </c>
      <c r="N518" s="1">
        <v>46091</v>
      </c>
      <c r="O518" s="1">
        <v>46091</v>
      </c>
      <c r="P518" t="s">
        <v>49</v>
      </c>
      <c r="Q518" t="s">
        <v>50</v>
      </c>
      <c r="R518">
        <v>2</v>
      </c>
      <c r="S518" t="b">
        <v>0</v>
      </c>
      <c r="T518" t="s">
        <v>47</v>
      </c>
      <c r="U518" t="s">
        <v>47</v>
      </c>
      <c r="V518" t="s">
        <v>47</v>
      </c>
      <c r="W518" t="s">
        <v>47</v>
      </c>
      <c r="X518" t="s">
        <v>51</v>
      </c>
      <c r="Y518" t="b">
        <v>0</v>
      </c>
      <c r="Z518" t="s">
        <v>47</v>
      </c>
      <c r="AA518" t="s">
        <v>47</v>
      </c>
      <c r="AB518" t="s">
        <v>47</v>
      </c>
      <c r="AC518" t="b">
        <v>1</v>
      </c>
      <c r="AD518" t="s">
        <v>52</v>
      </c>
      <c r="AE518" t="s">
        <v>3818</v>
      </c>
      <c r="AF518" t="s">
        <v>3816</v>
      </c>
      <c r="AG518" t="s">
        <v>3611</v>
      </c>
      <c r="AH518" t="s">
        <v>87</v>
      </c>
      <c r="AI518" s="2">
        <v>46160.775243055556</v>
      </c>
      <c r="AJ518" t="s">
        <v>47</v>
      </c>
      <c r="AK518" t="s">
        <v>47</v>
      </c>
      <c r="AL518" s="2">
        <v>46160.775243055556</v>
      </c>
      <c r="AM518" s="2">
        <v>46160.775243055556</v>
      </c>
    </row>
    <row r="519" spans="1:39" x14ac:dyDescent="0.3">
      <c r="A519" t="s">
        <v>3716</v>
      </c>
      <c r="B519" t="s">
        <v>3717</v>
      </c>
      <c r="C519" t="s">
        <v>41</v>
      </c>
      <c r="D519" t="s">
        <v>3718</v>
      </c>
      <c r="E519" t="s">
        <v>3719</v>
      </c>
      <c r="F519" t="s">
        <v>47</v>
      </c>
      <c r="G519" t="s">
        <v>47</v>
      </c>
      <c r="H519" t="s">
        <v>85</v>
      </c>
      <c r="I519" t="s">
        <v>47</v>
      </c>
      <c r="J519" t="s">
        <v>47</v>
      </c>
      <c r="K519" t="s">
        <v>48</v>
      </c>
      <c r="L519" t="s">
        <v>47</v>
      </c>
      <c r="M519" s="1">
        <v>46091</v>
      </c>
      <c r="N519" s="1">
        <v>46091</v>
      </c>
      <c r="O519" s="1">
        <v>46091</v>
      </c>
      <c r="P519" t="s">
        <v>49</v>
      </c>
      <c r="Q519" t="s">
        <v>50</v>
      </c>
      <c r="R519">
        <v>2</v>
      </c>
      <c r="S519" t="b">
        <v>0</v>
      </c>
      <c r="T519" t="s">
        <v>47</v>
      </c>
      <c r="U519" t="s">
        <v>47</v>
      </c>
      <c r="V519" t="s">
        <v>47</v>
      </c>
      <c r="W519" t="s">
        <v>47</v>
      </c>
      <c r="X519" t="s">
        <v>51</v>
      </c>
      <c r="Y519" t="b">
        <v>0</v>
      </c>
      <c r="Z519" t="s">
        <v>47</v>
      </c>
      <c r="AA519" t="s">
        <v>47</v>
      </c>
      <c r="AB519" t="s">
        <v>47</v>
      </c>
      <c r="AC519" t="b">
        <v>1</v>
      </c>
      <c r="AD519" t="s">
        <v>52</v>
      </c>
      <c r="AE519" t="s">
        <v>3720</v>
      </c>
      <c r="AF519" t="s">
        <v>3718</v>
      </c>
      <c r="AG519" t="s">
        <v>3611</v>
      </c>
      <c r="AH519" t="s">
        <v>87</v>
      </c>
      <c r="AI519" s="2">
        <v>46160.775231481479</v>
      </c>
      <c r="AJ519" t="s">
        <v>47</v>
      </c>
      <c r="AK519" t="s">
        <v>47</v>
      </c>
      <c r="AL519" s="2">
        <v>46160.775231481479</v>
      </c>
      <c r="AM519" s="2">
        <v>46160.775231481479</v>
      </c>
    </row>
    <row r="520" spans="1:39" x14ac:dyDescent="0.3">
      <c r="A520" t="s">
        <v>3761</v>
      </c>
      <c r="B520" t="s">
        <v>3762</v>
      </c>
      <c r="C520" t="s">
        <v>41</v>
      </c>
      <c r="D520" t="s">
        <v>3763</v>
      </c>
      <c r="E520" t="s">
        <v>3764</v>
      </c>
      <c r="F520" t="s">
        <v>47</v>
      </c>
      <c r="G520" t="s">
        <v>47</v>
      </c>
      <c r="H520" t="s">
        <v>85</v>
      </c>
      <c r="I520" t="s">
        <v>47</v>
      </c>
      <c r="J520" t="s">
        <v>47</v>
      </c>
      <c r="K520" t="s">
        <v>48</v>
      </c>
      <c r="L520" t="s">
        <v>47</v>
      </c>
      <c r="M520" s="1">
        <v>46091</v>
      </c>
      <c r="N520" s="1">
        <v>46091</v>
      </c>
      <c r="O520" s="1">
        <v>46091</v>
      </c>
      <c r="P520" t="s">
        <v>49</v>
      </c>
      <c r="Q520" t="s">
        <v>50</v>
      </c>
      <c r="R520">
        <v>2</v>
      </c>
      <c r="S520" t="b">
        <v>0</v>
      </c>
      <c r="T520" t="s">
        <v>47</v>
      </c>
      <c r="U520" t="s">
        <v>47</v>
      </c>
      <c r="V520" t="s">
        <v>47</v>
      </c>
      <c r="W520" t="s">
        <v>47</v>
      </c>
      <c r="X520" t="s">
        <v>51</v>
      </c>
      <c r="Y520" t="b">
        <v>0</v>
      </c>
      <c r="Z520" t="s">
        <v>47</v>
      </c>
      <c r="AA520" t="s">
        <v>47</v>
      </c>
      <c r="AB520" t="s">
        <v>47</v>
      </c>
      <c r="AC520" t="b">
        <v>1</v>
      </c>
      <c r="AD520" t="s">
        <v>52</v>
      </c>
      <c r="AE520" t="s">
        <v>3765</v>
      </c>
      <c r="AF520" t="s">
        <v>3763</v>
      </c>
      <c r="AG520" t="s">
        <v>3611</v>
      </c>
      <c r="AH520" t="s">
        <v>87</v>
      </c>
      <c r="AI520" s="2">
        <v>46160.775243055556</v>
      </c>
      <c r="AJ520" t="s">
        <v>47</v>
      </c>
      <c r="AK520" t="s">
        <v>47</v>
      </c>
      <c r="AL520" s="2">
        <v>46160.775243055556</v>
      </c>
      <c r="AM520" s="2">
        <v>46160.775243055556</v>
      </c>
    </row>
    <row r="521" spans="1:39" x14ac:dyDescent="0.3">
      <c r="A521" t="s">
        <v>3632</v>
      </c>
      <c r="B521" t="s">
        <v>3633</v>
      </c>
      <c r="C521" t="s">
        <v>41</v>
      </c>
      <c r="D521" t="s">
        <v>3634</v>
      </c>
      <c r="E521" t="s">
        <v>3635</v>
      </c>
      <c r="F521" t="s">
        <v>47</v>
      </c>
      <c r="G521" t="s">
        <v>47</v>
      </c>
      <c r="H521" t="s">
        <v>85</v>
      </c>
      <c r="I521" t="s">
        <v>47</v>
      </c>
      <c r="J521" t="s">
        <v>47</v>
      </c>
      <c r="K521" t="s">
        <v>48</v>
      </c>
      <c r="L521" t="s">
        <v>47</v>
      </c>
      <c r="M521" s="1">
        <v>46091</v>
      </c>
      <c r="N521" s="1">
        <v>46091</v>
      </c>
      <c r="O521" s="1">
        <v>46091</v>
      </c>
      <c r="P521" t="s">
        <v>49</v>
      </c>
      <c r="Q521" t="s">
        <v>50</v>
      </c>
      <c r="R521">
        <v>2</v>
      </c>
      <c r="S521" t="b">
        <v>0</v>
      </c>
      <c r="T521" t="s">
        <v>47</v>
      </c>
      <c r="U521" t="s">
        <v>47</v>
      </c>
      <c r="V521" t="s">
        <v>47</v>
      </c>
      <c r="W521" t="s">
        <v>47</v>
      </c>
      <c r="X521" t="s">
        <v>51</v>
      </c>
      <c r="Y521" t="b">
        <v>0</v>
      </c>
      <c r="Z521" t="s">
        <v>47</v>
      </c>
      <c r="AA521" t="s">
        <v>47</v>
      </c>
      <c r="AB521" t="s">
        <v>47</v>
      </c>
      <c r="AC521" t="b">
        <v>1</v>
      </c>
      <c r="AD521" t="s">
        <v>52</v>
      </c>
      <c r="AE521" t="s">
        <v>3636</v>
      </c>
      <c r="AF521" t="s">
        <v>3634</v>
      </c>
      <c r="AG521" t="s">
        <v>3611</v>
      </c>
      <c r="AH521" t="s">
        <v>87</v>
      </c>
      <c r="AI521" s="2">
        <v>46160.775231481479</v>
      </c>
      <c r="AJ521" t="s">
        <v>47</v>
      </c>
      <c r="AK521" t="s">
        <v>47</v>
      </c>
      <c r="AL521" s="2">
        <v>46160.775231481479</v>
      </c>
      <c r="AM521" s="2">
        <v>46160.775231481479</v>
      </c>
    </row>
    <row r="522" spans="1:39" x14ac:dyDescent="0.3">
      <c r="A522" t="s">
        <v>3794</v>
      </c>
      <c r="B522" t="s">
        <v>3795</v>
      </c>
      <c r="C522" t="s">
        <v>41</v>
      </c>
      <c r="D522" t="s">
        <v>3796</v>
      </c>
      <c r="E522" t="s">
        <v>3797</v>
      </c>
      <c r="F522" t="s">
        <v>47</v>
      </c>
      <c r="G522" t="s">
        <v>47</v>
      </c>
      <c r="H522" t="s">
        <v>85</v>
      </c>
      <c r="I522" t="s">
        <v>47</v>
      </c>
      <c r="J522" t="s">
        <v>47</v>
      </c>
      <c r="K522" t="s">
        <v>48</v>
      </c>
      <c r="L522" t="s">
        <v>47</v>
      </c>
      <c r="M522" s="1">
        <v>46091</v>
      </c>
      <c r="N522" s="1">
        <v>46091</v>
      </c>
      <c r="O522" s="1">
        <v>46091</v>
      </c>
      <c r="P522" t="s">
        <v>49</v>
      </c>
      <c r="Q522" t="s">
        <v>50</v>
      </c>
      <c r="R522">
        <v>2</v>
      </c>
      <c r="S522" t="b">
        <v>0</v>
      </c>
      <c r="T522" t="s">
        <v>47</v>
      </c>
      <c r="U522" t="s">
        <v>47</v>
      </c>
      <c r="V522" t="s">
        <v>47</v>
      </c>
      <c r="W522" t="s">
        <v>47</v>
      </c>
      <c r="X522" t="s">
        <v>51</v>
      </c>
      <c r="Y522" t="b">
        <v>0</v>
      </c>
      <c r="Z522" t="s">
        <v>47</v>
      </c>
      <c r="AA522" t="s">
        <v>47</v>
      </c>
      <c r="AB522" t="s">
        <v>47</v>
      </c>
      <c r="AC522" t="b">
        <v>1</v>
      </c>
      <c r="AD522" t="s">
        <v>52</v>
      </c>
      <c r="AE522" t="s">
        <v>3798</v>
      </c>
      <c r="AF522" t="s">
        <v>3796</v>
      </c>
      <c r="AG522" t="s">
        <v>3611</v>
      </c>
      <c r="AH522" t="s">
        <v>87</v>
      </c>
      <c r="AI522" s="2">
        <v>46160.775243055556</v>
      </c>
      <c r="AJ522" t="s">
        <v>47</v>
      </c>
      <c r="AK522" t="s">
        <v>47</v>
      </c>
      <c r="AL522" s="2">
        <v>46160.775243055556</v>
      </c>
      <c r="AM522" s="2">
        <v>46160.775243055556</v>
      </c>
    </row>
    <row r="523" spans="1:39" x14ac:dyDescent="0.3">
      <c r="A523" s="14" t="s">
        <v>3145</v>
      </c>
      <c r="B523" s="14" t="s">
        <v>3146</v>
      </c>
      <c r="C523" s="14" t="s">
        <v>41</v>
      </c>
      <c r="D523" s="14" t="s">
        <v>3147</v>
      </c>
      <c r="E523" s="14" t="s">
        <v>3148</v>
      </c>
      <c r="F523" s="14" t="s">
        <v>3076</v>
      </c>
      <c r="G523" s="14" t="s">
        <v>3077</v>
      </c>
      <c r="H523" s="14" t="s">
        <v>3078</v>
      </c>
      <c r="I523" s="14" t="s">
        <v>47</v>
      </c>
      <c r="J523" s="14" t="s">
        <v>47</v>
      </c>
      <c r="K523" s="14" t="s">
        <v>3079</v>
      </c>
      <c r="L523" s="14" t="s">
        <v>47</v>
      </c>
      <c r="M523" s="1">
        <v>46091</v>
      </c>
      <c r="N523" s="1">
        <v>46091</v>
      </c>
      <c r="O523" s="1">
        <v>46091</v>
      </c>
      <c r="P523" s="14" t="s">
        <v>64</v>
      </c>
      <c r="Q523" s="14" t="s">
        <v>50</v>
      </c>
      <c r="R523">
        <v>2</v>
      </c>
      <c r="S523" t="b">
        <v>0</v>
      </c>
      <c r="T523" s="14" t="s">
        <v>47</v>
      </c>
      <c r="U523" s="14" t="s">
        <v>47</v>
      </c>
      <c r="V523" s="14" t="s">
        <v>47</v>
      </c>
      <c r="W523" s="14" t="s">
        <v>47</v>
      </c>
      <c r="X523" s="14" t="s">
        <v>51</v>
      </c>
      <c r="Y523" t="b">
        <v>0</v>
      </c>
      <c r="Z523" s="14" t="s">
        <v>47</v>
      </c>
      <c r="AA523" s="14" t="s">
        <v>47</v>
      </c>
      <c r="AB523" s="14" t="s">
        <v>47</v>
      </c>
      <c r="AC523" t="b">
        <v>1</v>
      </c>
      <c r="AD523" s="14" t="s">
        <v>52</v>
      </c>
      <c r="AE523" s="14" t="s">
        <v>3149</v>
      </c>
      <c r="AF523" s="14" t="s">
        <v>3147</v>
      </c>
      <c r="AG523" s="14" t="s">
        <v>47</v>
      </c>
      <c r="AH523" s="14" t="s">
        <v>87</v>
      </c>
      <c r="AI523" s="2">
        <v>46160.752071759256</v>
      </c>
      <c r="AJ523" s="14" t="s">
        <v>47</v>
      </c>
      <c r="AK523" s="14" t="s">
        <v>47</v>
      </c>
      <c r="AL523" s="2">
        <v>46160.752071759256</v>
      </c>
      <c r="AM523" s="2">
        <v>46160.752071759256</v>
      </c>
    </row>
    <row r="524" spans="1:39" x14ac:dyDescent="0.3">
      <c r="A524" t="s">
        <v>3746</v>
      </c>
      <c r="B524" t="s">
        <v>3747</v>
      </c>
      <c r="C524" t="s">
        <v>41</v>
      </c>
      <c r="D524" t="s">
        <v>3748</v>
      </c>
      <c r="E524" t="s">
        <v>3749</v>
      </c>
      <c r="F524" t="s">
        <v>47</v>
      </c>
      <c r="G524" t="s">
        <v>47</v>
      </c>
      <c r="H524" t="s">
        <v>85</v>
      </c>
      <c r="I524" t="s">
        <v>47</v>
      </c>
      <c r="J524" t="s">
        <v>47</v>
      </c>
      <c r="K524" t="s">
        <v>48</v>
      </c>
      <c r="L524" t="s">
        <v>47</v>
      </c>
      <c r="M524" s="1">
        <v>46092</v>
      </c>
      <c r="N524" s="1">
        <v>46092</v>
      </c>
      <c r="O524" s="1">
        <v>46092</v>
      </c>
      <c r="P524" t="s">
        <v>49</v>
      </c>
      <c r="Q524" t="s">
        <v>50</v>
      </c>
      <c r="R524">
        <v>2</v>
      </c>
      <c r="S524" t="b">
        <v>0</v>
      </c>
      <c r="T524" t="s">
        <v>47</v>
      </c>
      <c r="U524" t="s">
        <v>47</v>
      </c>
      <c r="V524" t="s">
        <v>47</v>
      </c>
      <c r="W524" t="s">
        <v>47</v>
      </c>
      <c r="X524" t="s">
        <v>51</v>
      </c>
      <c r="Y524" t="b">
        <v>0</v>
      </c>
      <c r="Z524" t="s">
        <v>47</v>
      </c>
      <c r="AA524" t="s">
        <v>47</v>
      </c>
      <c r="AB524" t="s">
        <v>47</v>
      </c>
      <c r="AC524" t="b">
        <v>1</v>
      </c>
      <c r="AD524" t="s">
        <v>52</v>
      </c>
      <c r="AE524" t="s">
        <v>3750</v>
      </c>
      <c r="AF524" t="s">
        <v>3748</v>
      </c>
      <c r="AG524" t="s">
        <v>3611</v>
      </c>
      <c r="AH524" t="s">
        <v>87</v>
      </c>
      <c r="AI524" s="2">
        <v>46160.775243055556</v>
      </c>
      <c r="AJ524" t="s">
        <v>47</v>
      </c>
      <c r="AK524" t="s">
        <v>47</v>
      </c>
      <c r="AL524" s="2">
        <v>46160.775243055556</v>
      </c>
      <c r="AM524" s="2">
        <v>46160.775243055556</v>
      </c>
    </row>
    <row r="525" spans="1:39" x14ac:dyDescent="0.3">
      <c r="A525" s="14" t="s">
        <v>3338</v>
      </c>
      <c r="B525" s="14" t="s">
        <v>3339</v>
      </c>
      <c r="C525" s="14" t="s">
        <v>41</v>
      </c>
      <c r="D525" s="14" t="s">
        <v>3340</v>
      </c>
      <c r="E525" s="14" t="s">
        <v>3341</v>
      </c>
      <c r="F525" s="14" t="s">
        <v>83</v>
      </c>
      <c r="G525" s="14" t="s">
        <v>84</v>
      </c>
      <c r="H525" s="14" t="s">
        <v>85</v>
      </c>
      <c r="I525" s="14" t="s">
        <v>47</v>
      </c>
      <c r="J525" s="14" t="s">
        <v>47</v>
      </c>
      <c r="K525" s="14" t="s">
        <v>48</v>
      </c>
      <c r="L525" s="14" t="s">
        <v>47</v>
      </c>
      <c r="M525" s="1">
        <v>46092</v>
      </c>
      <c r="N525" s="1">
        <v>46092</v>
      </c>
      <c r="O525" s="1">
        <v>46092</v>
      </c>
      <c r="P525" s="14" t="s">
        <v>49</v>
      </c>
      <c r="Q525" s="14" t="s">
        <v>50</v>
      </c>
      <c r="R525">
        <v>2</v>
      </c>
      <c r="S525" t="b">
        <v>0</v>
      </c>
      <c r="T525" s="14" t="s">
        <v>47</v>
      </c>
      <c r="U525" s="14" t="s">
        <v>47</v>
      </c>
      <c r="V525" s="14" t="s">
        <v>47</v>
      </c>
      <c r="W525" s="14" t="s">
        <v>47</v>
      </c>
      <c r="X525" s="14" t="s">
        <v>51</v>
      </c>
      <c r="Y525" t="b">
        <v>0</v>
      </c>
      <c r="Z525" s="14" t="s">
        <v>47</v>
      </c>
      <c r="AA525" s="14" t="s">
        <v>47</v>
      </c>
      <c r="AB525" s="14" t="s">
        <v>47</v>
      </c>
      <c r="AC525" t="b">
        <v>1</v>
      </c>
      <c r="AD525" s="14" t="s">
        <v>52</v>
      </c>
      <c r="AE525" s="14" t="s">
        <v>3342</v>
      </c>
      <c r="AF525" s="14" t="s">
        <v>3340</v>
      </c>
      <c r="AG525" s="14" t="s">
        <v>47</v>
      </c>
      <c r="AH525" s="14" t="s">
        <v>87</v>
      </c>
      <c r="AI525" s="2">
        <v>46160.752071759256</v>
      </c>
      <c r="AJ525" s="14" t="s">
        <v>47</v>
      </c>
      <c r="AK525" s="14" t="s">
        <v>47</v>
      </c>
      <c r="AL525" s="2">
        <v>46160.752071759256</v>
      </c>
      <c r="AM525" s="2">
        <v>46160.752071759256</v>
      </c>
    </row>
    <row r="526" spans="1:39" x14ac:dyDescent="0.3">
      <c r="A526" t="s">
        <v>3694</v>
      </c>
      <c r="B526" t="s">
        <v>3695</v>
      </c>
      <c r="C526" t="s">
        <v>41</v>
      </c>
      <c r="D526" t="s">
        <v>3696</v>
      </c>
      <c r="E526" t="s">
        <v>3697</v>
      </c>
      <c r="F526" t="s">
        <v>47</v>
      </c>
      <c r="G526" t="s">
        <v>47</v>
      </c>
      <c r="H526" t="s">
        <v>85</v>
      </c>
      <c r="I526" t="s">
        <v>47</v>
      </c>
      <c r="J526" t="s">
        <v>47</v>
      </c>
      <c r="K526" t="s">
        <v>48</v>
      </c>
      <c r="L526" t="s">
        <v>47</v>
      </c>
      <c r="M526" s="1">
        <v>46092</v>
      </c>
      <c r="N526" s="1">
        <v>46092</v>
      </c>
      <c r="O526" s="1">
        <v>46092</v>
      </c>
      <c r="P526" t="s">
        <v>49</v>
      </c>
      <c r="Q526" t="s">
        <v>50</v>
      </c>
      <c r="R526">
        <v>2</v>
      </c>
      <c r="S526" t="b">
        <v>0</v>
      </c>
      <c r="T526" t="s">
        <v>47</v>
      </c>
      <c r="U526" t="s">
        <v>47</v>
      </c>
      <c r="V526" t="s">
        <v>47</v>
      </c>
      <c r="W526" t="s">
        <v>47</v>
      </c>
      <c r="X526" t="s">
        <v>51</v>
      </c>
      <c r="Y526" t="b">
        <v>0</v>
      </c>
      <c r="Z526" t="s">
        <v>47</v>
      </c>
      <c r="AA526" t="s">
        <v>47</v>
      </c>
      <c r="AB526" t="s">
        <v>47</v>
      </c>
      <c r="AC526" t="b">
        <v>1</v>
      </c>
      <c r="AD526" t="s">
        <v>52</v>
      </c>
      <c r="AE526" t="s">
        <v>3698</v>
      </c>
      <c r="AF526" t="s">
        <v>3696</v>
      </c>
      <c r="AG526" t="s">
        <v>3611</v>
      </c>
      <c r="AH526" t="s">
        <v>87</v>
      </c>
      <c r="AI526" s="2">
        <v>46160.775231481479</v>
      </c>
      <c r="AJ526" t="s">
        <v>47</v>
      </c>
      <c r="AK526" t="s">
        <v>47</v>
      </c>
      <c r="AL526" s="2">
        <v>46160.775231481479</v>
      </c>
      <c r="AM526" s="2">
        <v>46160.775231481479</v>
      </c>
    </row>
    <row r="527" spans="1:39" x14ac:dyDescent="0.3">
      <c r="A527" s="14" t="s">
        <v>3150</v>
      </c>
      <c r="B527" s="14" t="s">
        <v>3151</v>
      </c>
      <c r="C527" s="14" t="s">
        <v>41</v>
      </c>
      <c r="D527" s="14" t="s">
        <v>3152</v>
      </c>
      <c r="E527" s="14" t="s">
        <v>3153</v>
      </c>
      <c r="F527" s="14" t="s">
        <v>786</v>
      </c>
      <c r="G527" s="14" t="s">
        <v>787</v>
      </c>
      <c r="H527" s="14" t="s">
        <v>788</v>
      </c>
      <c r="I527" s="14" t="s">
        <v>47</v>
      </c>
      <c r="J527" s="14" t="s">
        <v>47</v>
      </c>
      <c r="K527" s="14" t="s">
        <v>551</v>
      </c>
      <c r="L527" s="14" t="s">
        <v>47</v>
      </c>
      <c r="M527" s="1">
        <v>46092</v>
      </c>
      <c r="N527" s="1">
        <v>46092</v>
      </c>
      <c r="O527" s="1">
        <v>46092</v>
      </c>
      <c r="P527" s="14" t="s">
        <v>64</v>
      </c>
      <c r="Q527" s="14" t="s">
        <v>50</v>
      </c>
      <c r="R527">
        <v>1</v>
      </c>
      <c r="S527" t="b">
        <v>0</v>
      </c>
      <c r="T527" s="14" t="s">
        <v>47</v>
      </c>
      <c r="U527" s="14" t="s">
        <v>47</v>
      </c>
      <c r="V527" s="14" t="s">
        <v>47</v>
      </c>
      <c r="W527" s="14" t="s">
        <v>47</v>
      </c>
      <c r="X527" s="14" t="s">
        <v>51</v>
      </c>
      <c r="Y527" t="b">
        <v>0</v>
      </c>
      <c r="Z527" s="14" t="s">
        <v>47</v>
      </c>
      <c r="AA527" s="14" t="s">
        <v>47</v>
      </c>
      <c r="AB527" s="14" t="s">
        <v>47</v>
      </c>
      <c r="AC527" t="b">
        <v>1</v>
      </c>
      <c r="AD527" s="14" t="s">
        <v>52</v>
      </c>
      <c r="AE527" s="14" t="s">
        <v>3154</v>
      </c>
      <c r="AF527" s="14" t="s">
        <v>3152</v>
      </c>
      <c r="AG527" s="14" t="s">
        <v>47</v>
      </c>
      <c r="AH527" s="14" t="s">
        <v>87</v>
      </c>
      <c r="AI527" s="2">
        <v>46160.752071759256</v>
      </c>
      <c r="AJ527" s="14" t="s">
        <v>47</v>
      </c>
      <c r="AK527" s="14" t="s">
        <v>47</v>
      </c>
      <c r="AL527" s="2">
        <v>46160.752071759256</v>
      </c>
      <c r="AM527" s="2">
        <v>46160.752071759256</v>
      </c>
    </row>
    <row r="528" spans="1:39" x14ac:dyDescent="0.3">
      <c r="A528" s="14" t="s">
        <v>3545</v>
      </c>
      <c r="B528" s="14" t="s">
        <v>3546</v>
      </c>
      <c r="C528" s="14" t="s">
        <v>41</v>
      </c>
      <c r="D528" s="14" t="s">
        <v>3547</v>
      </c>
      <c r="E528" s="14" t="s">
        <v>3548</v>
      </c>
      <c r="F528" s="14" t="s">
        <v>3099</v>
      </c>
      <c r="G528" s="14" t="s">
        <v>3100</v>
      </c>
      <c r="H528" s="14" t="s">
        <v>3101</v>
      </c>
      <c r="I528" s="14" t="s">
        <v>47</v>
      </c>
      <c r="J528" s="14" t="s">
        <v>47</v>
      </c>
      <c r="K528" s="14" t="s">
        <v>47</v>
      </c>
      <c r="L528" s="14" t="s">
        <v>47</v>
      </c>
      <c r="M528" s="1">
        <v>46093</v>
      </c>
      <c r="N528" s="1">
        <v>46093</v>
      </c>
      <c r="O528" s="1">
        <v>46093</v>
      </c>
      <c r="P528" s="14" t="s">
        <v>183</v>
      </c>
      <c r="Q528" s="14" t="s">
        <v>184</v>
      </c>
      <c r="R528">
        <v>2</v>
      </c>
      <c r="S528" t="b">
        <v>0</v>
      </c>
      <c r="T528" s="14" t="s">
        <v>47</v>
      </c>
      <c r="U528" s="14" t="s">
        <v>47</v>
      </c>
      <c r="V528" s="14" t="s">
        <v>47</v>
      </c>
      <c r="W528" s="14" t="s">
        <v>47</v>
      </c>
      <c r="X528" s="14" t="s">
        <v>51</v>
      </c>
      <c r="Y528" t="b">
        <v>0</v>
      </c>
      <c r="Z528" s="14" t="s">
        <v>47</v>
      </c>
      <c r="AA528" s="14" t="s">
        <v>47</v>
      </c>
      <c r="AB528" s="14" t="s">
        <v>47</v>
      </c>
      <c r="AC528" t="b">
        <v>1</v>
      </c>
      <c r="AD528" s="14" t="s">
        <v>52</v>
      </c>
      <c r="AE528" s="14" t="s">
        <v>3549</v>
      </c>
      <c r="AF528" s="14" t="s">
        <v>3547</v>
      </c>
      <c r="AG528" s="14" t="s">
        <v>47</v>
      </c>
      <c r="AH528" s="14" t="s">
        <v>87</v>
      </c>
      <c r="AI528" s="2">
        <v>46160.757951388892</v>
      </c>
      <c r="AJ528" s="14" t="s">
        <v>47</v>
      </c>
      <c r="AK528" s="14" t="s">
        <v>47</v>
      </c>
      <c r="AL528" s="2">
        <v>46160.757951388892</v>
      </c>
      <c r="AM528" s="2">
        <v>46160.757951388892</v>
      </c>
    </row>
    <row r="529" spans="1:39" x14ac:dyDescent="0.3">
      <c r="A529" s="14" t="s">
        <v>3155</v>
      </c>
      <c r="B529" s="14" t="s">
        <v>3156</v>
      </c>
      <c r="C529" s="14" t="s">
        <v>41</v>
      </c>
      <c r="D529" s="14" t="s">
        <v>3157</v>
      </c>
      <c r="E529" s="14" t="s">
        <v>3158</v>
      </c>
      <c r="F529" s="14" t="s">
        <v>1759</v>
      </c>
      <c r="G529" s="14" t="s">
        <v>1760</v>
      </c>
      <c r="H529" s="14" t="s">
        <v>1761</v>
      </c>
      <c r="I529" s="14" t="s">
        <v>47</v>
      </c>
      <c r="J529" s="14" t="s">
        <v>47</v>
      </c>
      <c r="K529" s="14" t="s">
        <v>1128</v>
      </c>
      <c r="L529" s="14" t="s">
        <v>47</v>
      </c>
      <c r="M529" s="1">
        <v>46061</v>
      </c>
      <c r="N529" s="1">
        <v>46061</v>
      </c>
      <c r="O529" s="1">
        <v>46061</v>
      </c>
      <c r="P529" s="14" t="s">
        <v>465</v>
      </c>
      <c r="Q529" s="14" t="s">
        <v>371</v>
      </c>
      <c r="R529">
        <v>4</v>
      </c>
      <c r="S529" t="b">
        <v>1</v>
      </c>
      <c r="T529" s="14" t="s">
        <v>47</v>
      </c>
      <c r="U529" s="14" t="s">
        <v>47</v>
      </c>
      <c r="V529" s="14" t="s">
        <v>47</v>
      </c>
      <c r="W529" s="14" t="s">
        <v>47</v>
      </c>
      <c r="X529" s="14" t="s">
        <v>51</v>
      </c>
      <c r="Y529" t="b">
        <v>0</v>
      </c>
      <c r="Z529" s="14" t="s">
        <v>47</v>
      </c>
      <c r="AA529" s="14" t="s">
        <v>47</v>
      </c>
      <c r="AB529" s="14" t="s">
        <v>47</v>
      </c>
      <c r="AC529" t="b">
        <v>1</v>
      </c>
      <c r="AD529" s="14" t="s">
        <v>52</v>
      </c>
      <c r="AE529" s="14" t="s">
        <v>3159</v>
      </c>
      <c r="AF529" s="14" t="s">
        <v>3157</v>
      </c>
      <c r="AG529" s="14" t="s">
        <v>47</v>
      </c>
      <c r="AH529" s="14" t="s">
        <v>87</v>
      </c>
      <c r="AI529" s="2">
        <v>46160.752071759256</v>
      </c>
      <c r="AJ529" s="14" t="s">
        <v>47</v>
      </c>
      <c r="AK529" s="14" t="s">
        <v>47</v>
      </c>
      <c r="AL529" s="2">
        <v>46160.752071759256</v>
      </c>
      <c r="AM529" s="2">
        <v>46160.752071759256</v>
      </c>
    </row>
    <row r="530" spans="1:39" x14ac:dyDescent="0.3">
      <c r="A530" s="14" t="s">
        <v>3160</v>
      </c>
      <c r="B530" s="14" t="s">
        <v>3161</v>
      </c>
      <c r="C530" s="14" t="s">
        <v>41</v>
      </c>
      <c r="D530" s="14" t="s">
        <v>3162</v>
      </c>
      <c r="E530" s="14" t="s">
        <v>3163</v>
      </c>
      <c r="F530" s="14" t="s">
        <v>3076</v>
      </c>
      <c r="G530" s="14" t="s">
        <v>3077</v>
      </c>
      <c r="H530" s="14" t="s">
        <v>3078</v>
      </c>
      <c r="I530" s="14" t="s">
        <v>47</v>
      </c>
      <c r="J530" s="14" t="s">
        <v>47</v>
      </c>
      <c r="K530" s="14" t="s">
        <v>3079</v>
      </c>
      <c r="L530" s="14" t="s">
        <v>47</v>
      </c>
      <c r="M530" s="1">
        <v>46093</v>
      </c>
      <c r="N530" s="1">
        <v>46093</v>
      </c>
      <c r="O530" s="1">
        <v>46093</v>
      </c>
      <c r="P530" s="14" t="s">
        <v>64</v>
      </c>
      <c r="Q530" s="14" t="s">
        <v>50</v>
      </c>
      <c r="R530">
        <v>2</v>
      </c>
      <c r="S530" t="b">
        <v>0</v>
      </c>
      <c r="T530" s="14" t="s">
        <v>47</v>
      </c>
      <c r="U530" s="14" t="s">
        <v>47</v>
      </c>
      <c r="V530" s="14" t="s">
        <v>47</v>
      </c>
      <c r="W530" s="14" t="s">
        <v>47</v>
      </c>
      <c r="X530" s="14" t="s">
        <v>51</v>
      </c>
      <c r="Y530" t="b">
        <v>0</v>
      </c>
      <c r="Z530" s="14" t="s">
        <v>47</v>
      </c>
      <c r="AA530" s="14" t="s">
        <v>47</v>
      </c>
      <c r="AB530" s="14" t="s">
        <v>47</v>
      </c>
      <c r="AC530" t="b">
        <v>1</v>
      </c>
      <c r="AD530" s="14" t="s">
        <v>52</v>
      </c>
      <c r="AE530" s="14" t="s">
        <v>3164</v>
      </c>
      <c r="AF530" s="14" t="s">
        <v>3162</v>
      </c>
      <c r="AG530" s="14" t="s">
        <v>47</v>
      </c>
      <c r="AH530" s="14" t="s">
        <v>87</v>
      </c>
      <c r="AI530" s="2">
        <v>46160.752071759256</v>
      </c>
      <c r="AJ530" s="14" t="s">
        <v>47</v>
      </c>
      <c r="AK530" s="14" t="s">
        <v>47</v>
      </c>
      <c r="AL530" s="2">
        <v>46160.752071759256</v>
      </c>
      <c r="AM530" s="2">
        <v>46160.752071759256</v>
      </c>
    </row>
    <row r="531" spans="1:39" x14ac:dyDescent="0.3">
      <c r="A531" s="14" t="s">
        <v>3550</v>
      </c>
      <c r="B531" s="14" t="s">
        <v>3551</v>
      </c>
      <c r="C531" s="14" t="s">
        <v>41</v>
      </c>
      <c r="D531" s="14" t="s">
        <v>3552</v>
      </c>
      <c r="E531" s="14" t="s">
        <v>3553</v>
      </c>
      <c r="F531" s="14" t="s">
        <v>1759</v>
      </c>
      <c r="G531" s="14" t="s">
        <v>1760</v>
      </c>
      <c r="H531" s="14" t="s">
        <v>1761</v>
      </c>
      <c r="I531" s="14" t="s">
        <v>47</v>
      </c>
      <c r="J531" s="14" t="s">
        <v>47</v>
      </c>
      <c r="K531" s="14" t="s">
        <v>1128</v>
      </c>
      <c r="L531" s="14" t="s">
        <v>47</v>
      </c>
      <c r="M531" s="1">
        <v>46097</v>
      </c>
      <c r="N531" s="1">
        <v>46097</v>
      </c>
      <c r="O531" s="1">
        <v>46097</v>
      </c>
      <c r="P531" s="14" t="s">
        <v>465</v>
      </c>
      <c r="Q531" s="14" t="s">
        <v>371</v>
      </c>
      <c r="R531">
        <v>4</v>
      </c>
      <c r="S531" t="b">
        <v>1</v>
      </c>
      <c r="T531" s="14" t="s">
        <v>47</v>
      </c>
      <c r="U531" s="14" t="s">
        <v>47</v>
      </c>
      <c r="V531" s="14" t="s">
        <v>47</v>
      </c>
      <c r="W531" s="14" t="s">
        <v>47</v>
      </c>
      <c r="X531" s="14" t="s">
        <v>51</v>
      </c>
      <c r="Y531" t="b">
        <v>0</v>
      </c>
      <c r="Z531" s="14" t="s">
        <v>47</v>
      </c>
      <c r="AA531" s="14" t="s">
        <v>47</v>
      </c>
      <c r="AB531" s="14" t="s">
        <v>47</v>
      </c>
      <c r="AC531" t="b">
        <v>1</v>
      </c>
      <c r="AD531" s="14" t="s">
        <v>52</v>
      </c>
      <c r="AE531" s="14" t="s">
        <v>3554</v>
      </c>
      <c r="AF531" s="14" t="s">
        <v>3552</v>
      </c>
      <c r="AG531" s="14" t="s">
        <v>47</v>
      </c>
      <c r="AH531" s="14" t="s">
        <v>87</v>
      </c>
      <c r="AI531" s="2">
        <v>46160.757951388892</v>
      </c>
      <c r="AJ531" s="14" t="s">
        <v>47</v>
      </c>
      <c r="AK531" s="14" t="s">
        <v>47</v>
      </c>
      <c r="AL531" s="2">
        <v>46160.757951388892</v>
      </c>
      <c r="AM531" s="2">
        <v>46160.757951388892</v>
      </c>
    </row>
    <row r="532" spans="1:39" x14ac:dyDescent="0.3">
      <c r="A532" s="14" t="s">
        <v>3165</v>
      </c>
      <c r="B532" s="14" t="s">
        <v>3166</v>
      </c>
      <c r="C532" s="14" t="s">
        <v>41</v>
      </c>
      <c r="D532" s="14" t="s">
        <v>3167</v>
      </c>
      <c r="E532" s="14" t="s">
        <v>3168</v>
      </c>
      <c r="F532" s="14" t="s">
        <v>3099</v>
      </c>
      <c r="G532" s="14" t="s">
        <v>3100</v>
      </c>
      <c r="H532" s="14" t="s">
        <v>3101</v>
      </c>
      <c r="I532" s="14" t="s">
        <v>47</v>
      </c>
      <c r="J532" s="14" t="s">
        <v>47</v>
      </c>
      <c r="K532" s="14" t="s">
        <v>47</v>
      </c>
      <c r="L532" s="14" t="s">
        <v>47</v>
      </c>
      <c r="M532" s="1">
        <v>46097</v>
      </c>
      <c r="N532" s="1">
        <v>46097</v>
      </c>
      <c r="O532" s="1">
        <v>46097</v>
      </c>
      <c r="P532" s="14" t="s">
        <v>183</v>
      </c>
      <c r="Q532" s="14" t="s">
        <v>184</v>
      </c>
      <c r="R532">
        <v>2</v>
      </c>
      <c r="S532" t="b">
        <v>0</v>
      </c>
      <c r="T532" s="14" t="s">
        <v>47</v>
      </c>
      <c r="U532" s="14" t="s">
        <v>47</v>
      </c>
      <c r="V532" s="14" t="s">
        <v>47</v>
      </c>
      <c r="W532" s="14" t="s">
        <v>47</v>
      </c>
      <c r="X532" s="14" t="s">
        <v>51</v>
      </c>
      <c r="Y532" t="b">
        <v>0</v>
      </c>
      <c r="Z532" s="14" t="s">
        <v>47</v>
      </c>
      <c r="AA532" s="14" t="s">
        <v>47</v>
      </c>
      <c r="AB532" s="14" t="s">
        <v>47</v>
      </c>
      <c r="AC532" t="b">
        <v>1</v>
      </c>
      <c r="AD532" s="14" t="s">
        <v>52</v>
      </c>
      <c r="AE532" s="14" t="s">
        <v>3169</v>
      </c>
      <c r="AF532" s="14" t="s">
        <v>3167</v>
      </c>
      <c r="AG532" s="14" t="s">
        <v>47</v>
      </c>
      <c r="AH532" s="14" t="s">
        <v>87</v>
      </c>
      <c r="AI532" s="2">
        <v>46160.752071759256</v>
      </c>
      <c r="AJ532" s="14" t="s">
        <v>47</v>
      </c>
      <c r="AK532" s="14" t="s">
        <v>47</v>
      </c>
      <c r="AL532" s="2">
        <v>46160.752071759256</v>
      </c>
      <c r="AM532" s="2">
        <v>46160.752071759256</v>
      </c>
    </row>
    <row r="533" spans="1:39" x14ac:dyDescent="0.3">
      <c r="A533" s="14" t="s">
        <v>3555</v>
      </c>
      <c r="B533" s="14" t="s">
        <v>3556</v>
      </c>
      <c r="C533" s="14" t="s">
        <v>41</v>
      </c>
      <c r="D533" s="14" t="s">
        <v>3557</v>
      </c>
      <c r="E533" s="14" t="s">
        <v>3558</v>
      </c>
      <c r="F533" s="14" t="s">
        <v>718</v>
      </c>
      <c r="G533" s="14" t="s">
        <v>719</v>
      </c>
      <c r="H533" s="14" t="s">
        <v>720</v>
      </c>
      <c r="I533" s="14" t="s">
        <v>47</v>
      </c>
      <c r="J533" s="14" t="s">
        <v>47</v>
      </c>
      <c r="K533" s="14" t="s">
        <v>721</v>
      </c>
      <c r="L533" s="14" t="s">
        <v>47</v>
      </c>
      <c r="M533" s="1">
        <v>46097</v>
      </c>
      <c r="N533" s="1">
        <v>46097</v>
      </c>
      <c r="O533" s="1">
        <v>46097</v>
      </c>
      <c r="P533" s="14" t="s">
        <v>722</v>
      </c>
      <c r="Q533" s="14" t="s">
        <v>50</v>
      </c>
      <c r="R533">
        <v>3</v>
      </c>
      <c r="S533" t="b">
        <v>1</v>
      </c>
      <c r="T533" s="14" t="s">
        <v>47</v>
      </c>
      <c r="U533" s="14" t="s">
        <v>47</v>
      </c>
      <c r="V533" s="14" t="s">
        <v>47</v>
      </c>
      <c r="W533" s="14" t="s">
        <v>47</v>
      </c>
      <c r="X533" s="14" t="s">
        <v>51</v>
      </c>
      <c r="Y533" t="b">
        <v>0</v>
      </c>
      <c r="Z533" s="14" t="s">
        <v>47</v>
      </c>
      <c r="AA533" s="14" t="s">
        <v>47</v>
      </c>
      <c r="AB533" s="14" t="s">
        <v>47</v>
      </c>
      <c r="AC533" t="b">
        <v>1</v>
      </c>
      <c r="AD533" s="14" t="s">
        <v>52</v>
      </c>
      <c r="AE533" s="14" t="s">
        <v>3559</v>
      </c>
      <c r="AF533" s="14" t="s">
        <v>3557</v>
      </c>
      <c r="AG533" s="14" t="s">
        <v>47</v>
      </c>
      <c r="AH533" s="14" t="s">
        <v>87</v>
      </c>
      <c r="AI533" s="2">
        <v>46160.757951388892</v>
      </c>
      <c r="AJ533" s="14" t="s">
        <v>47</v>
      </c>
      <c r="AK533" s="14" t="s">
        <v>47</v>
      </c>
      <c r="AL533" s="2">
        <v>46160.757951388892</v>
      </c>
      <c r="AM533" s="2">
        <v>46160.757951388892</v>
      </c>
    </row>
    <row r="534" spans="1:39" x14ac:dyDescent="0.3">
      <c r="A534" s="14" t="s">
        <v>3560</v>
      </c>
      <c r="B534" s="14" t="s">
        <v>3561</v>
      </c>
      <c r="C534" s="14" t="s">
        <v>41</v>
      </c>
      <c r="D534" s="14" t="s">
        <v>3562</v>
      </c>
      <c r="E534" s="14" t="s">
        <v>3563</v>
      </c>
      <c r="F534" s="14" t="s">
        <v>718</v>
      </c>
      <c r="G534" s="14" t="s">
        <v>719</v>
      </c>
      <c r="H534" s="14" t="s">
        <v>720</v>
      </c>
      <c r="I534" s="14" t="s">
        <v>47</v>
      </c>
      <c r="J534" s="14" t="s">
        <v>47</v>
      </c>
      <c r="K534" s="14" t="s">
        <v>721</v>
      </c>
      <c r="L534" s="14" t="s">
        <v>47</v>
      </c>
      <c r="M534" s="1">
        <v>46097</v>
      </c>
      <c r="N534" s="1">
        <v>46097</v>
      </c>
      <c r="O534" s="1">
        <v>46097</v>
      </c>
      <c r="P534" s="14" t="s">
        <v>722</v>
      </c>
      <c r="Q534" s="14" t="s">
        <v>50</v>
      </c>
      <c r="R534">
        <v>3</v>
      </c>
      <c r="S534" t="b">
        <v>1</v>
      </c>
      <c r="T534" s="14" t="s">
        <v>47</v>
      </c>
      <c r="U534" s="14" t="s">
        <v>47</v>
      </c>
      <c r="V534" s="14" t="s">
        <v>47</v>
      </c>
      <c r="W534" s="14" t="s">
        <v>47</v>
      </c>
      <c r="X534" s="14" t="s">
        <v>51</v>
      </c>
      <c r="Y534" t="b">
        <v>0</v>
      </c>
      <c r="Z534" s="14" t="s">
        <v>47</v>
      </c>
      <c r="AA534" s="14" t="s">
        <v>47</v>
      </c>
      <c r="AB534" s="14" t="s">
        <v>47</v>
      </c>
      <c r="AC534" t="b">
        <v>1</v>
      </c>
      <c r="AD534" s="14" t="s">
        <v>52</v>
      </c>
      <c r="AE534" s="14" t="s">
        <v>3564</v>
      </c>
      <c r="AF534" s="14" t="s">
        <v>3562</v>
      </c>
      <c r="AG534" s="14" t="s">
        <v>47</v>
      </c>
      <c r="AH534" s="14" t="s">
        <v>87</v>
      </c>
      <c r="AI534" s="2">
        <v>46160.757951388892</v>
      </c>
      <c r="AJ534" s="14" t="s">
        <v>47</v>
      </c>
      <c r="AK534" s="14" t="s">
        <v>47</v>
      </c>
      <c r="AL534" s="2">
        <v>46160.757951388892</v>
      </c>
      <c r="AM534" s="2">
        <v>46160.757951388892</v>
      </c>
    </row>
    <row r="535" spans="1:39" x14ac:dyDescent="0.3">
      <c r="A535" s="14" t="s">
        <v>3170</v>
      </c>
      <c r="B535" s="14" t="s">
        <v>3171</v>
      </c>
      <c r="C535" s="14" t="s">
        <v>41</v>
      </c>
      <c r="D535" s="14" t="s">
        <v>3172</v>
      </c>
      <c r="E535" s="14" t="s">
        <v>3173</v>
      </c>
      <c r="F535" s="14" t="s">
        <v>3076</v>
      </c>
      <c r="G535" s="14" t="s">
        <v>3077</v>
      </c>
      <c r="H535" s="14" t="s">
        <v>3078</v>
      </c>
      <c r="I535" s="14" t="s">
        <v>47</v>
      </c>
      <c r="J535" s="14" t="s">
        <v>47</v>
      </c>
      <c r="K535" s="14" t="s">
        <v>3079</v>
      </c>
      <c r="L535" s="14" t="s">
        <v>47</v>
      </c>
      <c r="M535" s="1">
        <v>46097</v>
      </c>
      <c r="N535" s="1">
        <v>46097</v>
      </c>
      <c r="O535" s="1">
        <v>46097</v>
      </c>
      <c r="P535" s="14" t="s">
        <v>64</v>
      </c>
      <c r="Q535" s="14" t="s">
        <v>50</v>
      </c>
      <c r="R535">
        <v>2</v>
      </c>
      <c r="S535" t="b">
        <v>0</v>
      </c>
      <c r="T535" s="14" t="s">
        <v>47</v>
      </c>
      <c r="U535" s="14" t="s">
        <v>47</v>
      </c>
      <c r="V535" s="14" t="s">
        <v>47</v>
      </c>
      <c r="W535" s="14" t="s">
        <v>47</v>
      </c>
      <c r="X535" s="14" t="s">
        <v>51</v>
      </c>
      <c r="Y535" t="b">
        <v>0</v>
      </c>
      <c r="Z535" s="14" t="s">
        <v>47</v>
      </c>
      <c r="AA535" s="14" t="s">
        <v>47</v>
      </c>
      <c r="AB535" s="14" t="s">
        <v>47</v>
      </c>
      <c r="AC535" t="b">
        <v>1</v>
      </c>
      <c r="AD535" s="14" t="s">
        <v>52</v>
      </c>
      <c r="AE535" s="14" t="s">
        <v>3174</v>
      </c>
      <c r="AF535" s="14" t="s">
        <v>3172</v>
      </c>
      <c r="AG535" s="14" t="s">
        <v>47</v>
      </c>
      <c r="AH535" s="14" t="s">
        <v>87</v>
      </c>
      <c r="AI535" s="2">
        <v>46160.752071759256</v>
      </c>
      <c r="AJ535" s="14" t="s">
        <v>47</v>
      </c>
      <c r="AK535" s="14" t="s">
        <v>47</v>
      </c>
      <c r="AL535" s="2">
        <v>46160.752071759256</v>
      </c>
      <c r="AM535" s="2">
        <v>46160.752071759256</v>
      </c>
    </row>
    <row r="536" spans="1:39" x14ac:dyDescent="0.3">
      <c r="A536" s="14" t="s">
        <v>3343</v>
      </c>
      <c r="B536" s="14" t="s">
        <v>3344</v>
      </c>
      <c r="C536" s="14" t="s">
        <v>41</v>
      </c>
      <c r="D536" s="14" t="s">
        <v>3345</v>
      </c>
      <c r="E536" s="14" t="s">
        <v>3346</v>
      </c>
      <c r="F536" s="14" t="s">
        <v>172</v>
      </c>
      <c r="G536" s="14" t="s">
        <v>173</v>
      </c>
      <c r="H536" s="14" t="s">
        <v>174</v>
      </c>
      <c r="I536" s="14" t="s">
        <v>47</v>
      </c>
      <c r="J536" s="14" t="s">
        <v>47</v>
      </c>
      <c r="K536" s="14" t="s">
        <v>130</v>
      </c>
      <c r="L536" s="14" t="s">
        <v>47</v>
      </c>
      <c r="M536" s="1">
        <v>46098</v>
      </c>
      <c r="N536" s="1">
        <v>46098</v>
      </c>
      <c r="O536" s="1">
        <v>46098</v>
      </c>
      <c r="P536" s="14" t="s">
        <v>49</v>
      </c>
      <c r="Q536" s="14" t="s">
        <v>50</v>
      </c>
      <c r="R536">
        <v>3</v>
      </c>
      <c r="S536" t="b">
        <v>1</v>
      </c>
      <c r="T536" s="14" t="s">
        <v>47</v>
      </c>
      <c r="U536" s="14" t="s">
        <v>47</v>
      </c>
      <c r="V536" s="14" t="s">
        <v>47</v>
      </c>
      <c r="W536" s="14" t="s">
        <v>47</v>
      </c>
      <c r="X536" s="14" t="s">
        <v>51</v>
      </c>
      <c r="Y536" t="b">
        <v>0</v>
      </c>
      <c r="Z536" s="14" t="s">
        <v>47</v>
      </c>
      <c r="AA536" s="14" t="s">
        <v>47</v>
      </c>
      <c r="AB536" s="14" t="s">
        <v>47</v>
      </c>
      <c r="AC536" t="b">
        <v>1</v>
      </c>
      <c r="AD536" s="14" t="s">
        <v>52</v>
      </c>
      <c r="AE536" s="14" t="s">
        <v>3347</v>
      </c>
      <c r="AF536" s="14" t="s">
        <v>3345</v>
      </c>
      <c r="AG536" s="14" t="s">
        <v>47</v>
      </c>
      <c r="AH536" s="14" t="s">
        <v>87</v>
      </c>
      <c r="AI536" s="2">
        <v>46160.752071759256</v>
      </c>
      <c r="AJ536" s="14" t="s">
        <v>47</v>
      </c>
      <c r="AK536" s="14" t="s">
        <v>47</v>
      </c>
      <c r="AL536" s="2">
        <v>46160.752071759256</v>
      </c>
      <c r="AM536" s="2">
        <v>46160.752071759256</v>
      </c>
    </row>
    <row r="537" spans="1:39" x14ac:dyDescent="0.3">
      <c r="A537" s="14" t="s">
        <v>3565</v>
      </c>
      <c r="B537" s="14" t="s">
        <v>3566</v>
      </c>
      <c r="C537" s="14" t="s">
        <v>41</v>
      </c>
      <c r="D537" s="14" t="s">
        <v>3567</v>
      </c>
      <c r="E537" s="14" t="s">
        <v>3568</v>
      </c>
      <c r="F537" s="14" t="s">
        <v>3099</v>
      </c>
      <c r="G537" s="14" t="s">
        <v>3100</v>
      </c>
      <c r="H537" s="14" t="s">
        <v>3101</v>
      </c>
      <c r="I537" s="14" t="s">
        <v>47</v>
      </c>
      <c r="J537" s="14" t="s">
        <v>47</v>
      </c>
      <c r="K537" s="14" t="s">
        <v>47</v>
      </c>
      <c r="L537" s="14" t="s">
        <v>47</v>
      </c>
      <c r="M537" s="1">
        <v>46100</v>
      </c>
      <c r="N537" s="1">
        <v>46100</v>
      </c>
      <c r="O537" s="1">
        <v>46100</v>
      </c>
      <c r="P537" s="14" t="s">
        <v>183</v>
      </c>
      <c r="Q537" s="14" t="s">
        <v>184</v>
      </c>
      <c r="R537">
        <v>2</v>
      </c>
      <c r="S537" t="b">
        <v>0</v>
      </c>
      <c r="T537" s="14" t="s">
        <v>47</v>
      </c>
      <c r="U537" s="14" t="s">
        <v>47</v>
      </c>
      <c r="V537" s="14" t="s">
        <v>47</v>
      </c>
      <c r="W537" s="14" t="s">
        <v>47</v>
      </c>
      <c r="X537" s="14" t="s">
        <v>51</v>
      </c>
      <c r="Y537" t="b">
        <v>0</v>
      </c>
      <c r="Z537" s="14" t="s">
        <v>47</v>
      </c>
      <c r="AA537" s="14" t="s">
        <v>47</v>
      </c>
      <c r="AB537" s="14" t="s">
        <v>47</v>
      </c>
      <c r="AC537" t="b">
        <v>1</v>
      </c>
      <c r="AD537" s="14" t="s">
        <v>52</v>
      </c>
      <c r="AE537" s="14" t="s">
        <v>3569</v>
      </c>
      <c r="AF537" s="14" t="s">
        <v>3567</v>
      </c>
      <c r="AG537" s="14" t="s">
        <v>47</v>
      </c>
      <c r="AH537" s="14" t="s">
        <v>87</v>
      </c>
      <c r="AI537" s="2">
        <v>46160.757951388892</v>
      </c>
      <c r="AJ537" s="14" t="s">
        <v>47</v>
      </c>
      <c r="AK537" s="14" t="s">
        <v>47</v>
      </c>
      <c r="AL537" s="2">
        <v>46160.757951388892</v>
      </c>
      <c r="AM537" s="2">
        <v>46160.757951388892</v>
      </c>
    </row>
    <row r="538" spans="1:39" x14ac:dyDescent="0.3">
      <c r="A538" s="14" t="s">
        <v>3175</v>
      </c>
      <c r="B538" s="14" t="s">
        <v>3176</v>
      </c>
      <c r="C538" s="14" t="s">
        <v>41</v>
      </c>
      <c r="D538" s="14" t="s">
        <v>3177</v>
      </c>
      <c r="E538" s="14" t="s">
        <v>3178</v>
      </c>
      <c r="F538" s="14" t="s">
        <v>1032</v>
      </c>
      <c r="G538" s="14" t="s">
        <v>1033</v>
      </c>
      <c r="H538" s="14" t="s">
        <v>1034</v>
      </c>
      <c r="I538" s="14" t="s">
        <v>47</v>
      </c>
      <c r="J538" s="14" t="s">
        <v>47</v>
      </c>
      <c r="K538" s="14" t="s">
        <v>47</v>
      </c>
      <c r="L538" s="14" t="s">
        <v>47</v>
      </c>
      <c r="M538" s="1">
        <v>45691</v>
      </c>
      <c r="N538" s="1">
        <v>45691</v>
      </c>
      <c r="O538" s="1">
        <v>45691</v>
      </c>
      <c r="P538" s="14" t="s">
        <v>49</v>
      </c>
      <c r="Q538" s="14" t="s">
        <v>50</v>
      </c>
      <c r="R538">
        <v>2</v>
      </c>
      <c r="S538" t="b">
        <v>0</v>
      </c>
      <c r="T538" s="14" t="s">
        <v>47</v>
      </c>
      <c r="U538" s="14" t="s">
        <v>47</v>
      </c>
      <c r="V538" s="14" t="s">
        <v>47</v>
      </c>
      <c r="W538" s="14" t="s">
        <v>47</v>
      </c>
      <c r="X538" s="14" t="s">
        <v>51</v>
      </c>
      <c r="Y538" t="b">
        <v>0</v>
      </c>
      <c r="Z538" s="14" t="s">
        <v>47</v>
      </c>
      <c r="AA538" s="14" t="s">
        <v>47</v>
      </c>
      <c r="AB538" s="14" t="s">
        <v>47</v>
      </c>
      <c r="AC538" t="b">
        <v>1</v>
      </c>
      <c r="AD538" s="14" t="s">
        <v>52</v>
      </c>
      <c r="AE538" s="14" t="s">
        <v>3179</v>
      </c>
      <c r="AF538" s="14" t="s">
        <v>3177</v>
      </c>
      <c r="AG538" s="14" t="s">
        <v>47</v>
      </c>
      <c r="AH538" s="14" t="s">
        <v>87</v>
      </c>
      <c r="AI538" s="2">
        <v>46160.752071759256</v>
      </c>
      <c r="AJ538" s="14" t="s">
        <v>47</v>
      </c>
      <c r="AK538" s="14" t="s">
        <v>47</v>
      </c>
      <c r="AL538" s="2">
        <v>46160.752071759256</v>
      </c>
      <c r="AM538" s="2">
        <v>46160.752071759256</v>
      </c>
    </row>
    <row r="539" spans="1:39" x14ac:dyDescent="0.3">
      <c r="A539" s="14" t="s">
        <v>3570</v>
      </c>
      <c r="B539" s="14" t="s">
        <v>3571</v>
      </c>
      <c r="C539" s="14" t="s">
        <v>41</v>
      </c>
      <c r="D539" s="14" t="s">
        <v>3572</v>
      </c>
      <c r="E539" s="14" t="s">
        <v>3573</v>
      </c>
      <c r="F539" s="14" t="s">
        <v>172</v>
      </c>
      <c r="G539" s="14" t="s">
        <v>173</v>
      </c>
      <c r="H539" s="14" t="s">
        <v>3574</v>
      </c>
      <c r="I539" s="14" t="s">
        <v>47</v>
      </c>
      <c r="J539" s="14" t="s">
        <v>47</v>
      </c>
      <c r="K539" s="14" t="s">
        <v>130</v>
      </c>
      <c r="L539" s="14" t="s">
        <v>47</v>
      </c>
      <c r="M539" s="1">
        <v>46100</v>
      </c>
      <c r="N539" s="1">
        <v>46100</v>
      </c>
      <c r="O539" s="1">
        <v>46100</v>
      </c>
      <c r="P539" s="14" t="s">
        <v>49</v>
      </c>
      <c r="Q539" s="14" t="s">
        <v>50</v>
      </c>
      <c r="R539">
        <v>3</v>
      </c>
      <c r="S539" t="b">
        <v>1</v>
      </c>
      <c r="T539" s="14" t="s">
        <v>47</v>
      </c>
      <c r="U539" s="14" t="s">
        <v>47</v>
      </c>
      <c r="V539" s="14" t="s">
        <v>47</v>
      </c>
      <c r="W539" s="14" t="s">
        <v>47</v>
      </c>
      <c r="X539" s="14" t="s">
        <v>51</v>
      </c>
      <c r="Y539" t="b">
        <v>0</v>
      </c>
      <c r="Z539" s="14" t="s">
        <v>47</v>
      </c>
      <c r="AA539" s="14" t="s">
        <v>47</v>
      </c>
      <c r="AB539" s="14" t="s">
        <v>47</v>
      </c>
      <c r="AC539" t="b">
        <v>1</v>
      </c>
      <c r="AD539" s="14" t="s">
        <v>52</v>
      </c>
      <c r="AE539" s="14" t="s">
        <v>3575</v>
      </c>
      <c r="AF539" s="14" t="s">
        <v>3572</v>
      </c>
      <c r="AG539" s="14" t="s">
        <v>47</v>
      </c>
      <c r="AH539" s="14" t="s">
        <v>87</v>
      </c>
      <c r="AI539" s="2">
        <v>46160.757951388892</v>
      </c>
      <c r="AJ539" s="14" t="s">
        <v>47</v>
      </c>
      <c r="AK539" s="14" t="s">
        <v>47</v>
      </c>
      <c r="AL539" s="2">
        <v>46160.757951388892</v>
      </c>
      <c r="AM539" s="2">
        <v>46160.757951388892</v>
      </c>
    </row>
    <row r="540" spans="1:39" x14ac:dyDescent="0.3">
      <c r="A540" s="14" t="s">
        <v>3576</v>
      </c>
      <c r="B540" s="14" t="s">
        <v>3577</v>
      </c>
      <c r="C540" s="14" t="s">
        <v>41</v>
      </c>
      <c r="D540" s="14" t="s">
        <v>3578</v>
      </c>
      <c r="E540" s="14" t="s">
        <v>3579</v>
      </c>
      <c r="F540" s="14" t="s">
        <v>172</v>
      </c>
      <c r="G540" s="14" t="s">
        <v>173</v>
      </c>
      <c r="H540" s="14" t="s">
        <v>174</v>
      </c>
      <c r="I540" s="14" t="s">
        <v>47</v>
      </c>
      <c r="J540" s="14" t="s">
        <v>47</v>
      </c>
      <c r="K540" s="14" t="s">
        <v>130</v>
      </c>
      <c r="L540" s="14" t="s">
        <v>47</v>
      </c>
      <c r="M540" s="1">
        <v>46100</v>
      </c>
      <c r="N540" s="1">
        <v>46100</v>
      </c>
      <c r="O540" s="1">
        <v>46100</v>
      </c>
      <c r="P540" s="14" t="s">
        <v>49</v>
      </c>
      <c r="Q540" s="14" t="s">
        <v>50</v>
      </c>
      <c r="R540">
        <v>3</v>
      </c>
      <c r="S540" t="b">
        <v>1</v>
      </c>
      <c r="T540" s="14" t="s">
        <v>47</v>
      </c>
      <c r="U540" s="14" t="s">
        <v>47</v>
      </c>
      <c r="V540" s="14" t="s">
        <v>47</v>
      </c>
      <c r="W540" s="14" t="s">
        <v>47</v>
      </c>
      <c r="X540" s="14" t="s">
        <v>51</v>
      </c>
      <c r="Y540" t="b">
        <v>0</v>
      </c>
      <c r="Z540" s="14" t="s">
        <v>47</v>
      </c>
      <c r="AA540" s="14" t="s">
        <v>47</v>
      </c>
      <c r="AB540" s="14" t="s">
        <v>47</v>
      </c>
      <c r="AC540" t="b">
        <v>1</v>
      </c>
      <c r="AD540" s="14" t="s">
        <v>52</v>
      </c>
      <c r="AE540" s="14" t="s">
        <v>3580</v>
      </c>
      <c r="AF540" s="14" t="s">
        <v>3578</v>
      </c>
      <c r="AG540" s="14" t="s">
        <v>47</v>
      </c>
      <c r="AH540" s="14" t="s">
        <v>87</v>
      </c>
      <c r="AI540" s="2">
        <v>46160.757951388892</v>
      </c>
      <c r="AJ540" s="14" t="s">
        <v>47</v>
      </c>
      <c r="AK540" s="14" t="s">
        <v>47</v>
      </c>
      <c r="AL540" s="2">
        <v>46160.757951388892</v>
      </c>
      <c r="AM540" s="2">
        <v>46160.757951388892</v>
      </c>
    </row>
    <row r="541" spans="1:39" x14ac:dyDescent="0.3">
      <c r="A541" s="14" t="s">
        <v>3180</v>
      </c>
      <c r="B541" s="14" t="s">
        <v>3181</v>
      </c>
      <c r="C541" s="14" t="s">
        <v>41</v>
      </c>
      <c r="D541" s="14" t="s">
        <v>3182</v>
      </c>
      <c r="E541" s="14" t="s">
        <v>3183</v>
      </c>
      <c r="F541" s="14" t="s">
        <v>3076</v>
      </c>
      <c r="G541" s="14" t="s">
        <v>3077</v>
      </c>
      <c r="H541" s="14" t="s">
        <v>3078</v>
      </c>
      <c r="I541" s="14" t="s">
        <v>47</v>
      </c>
      <c r="J541" s="14" t="s">
        <v>47</v>
      </c>
      <c r="K541" s="14" t="s">
        <v>3079</v>
      </c>
      <c r="L541" s="14" t="s">
        <v>47</v>
      </c>
      <c r="M541" s="1">
        <v>46100</v>
      </c>
      <c r="N541" s="1">
        <v>46100</v>
      </c>
      <c r="O541" s="1">
        <v>46100</v>
      </c>
      <c r="P541" s="14" t="s">
        <v>64</v>
      </c>
      <c r="Q541" s="14" t="s">
        <v>50</v>
      </c>
      <c r="R541">
        <v>2</v>
      </c>
      <c r="S541" t="b">
        <v>0</v>
      </c>
      <c r="T541" s="14" t="s">
        <v>47</v>
      </c>
      <c r="U541" s="14" t="s">
        <v>47</v>
      </c>
      <c r="V541" s="14" t="s">
        <v>47</v>
      </c>
      <c r="W541" s="14" t="s">
        <v>47</v>
      </c>
      <c r="X541" s="14" t="s">
        <v>51</v>
      </c>
      <c r="Y541" t="b">
        <v>0</v>
      </c>
      <c r="Z541" s="14" t="s">
        <v>47</v>
      </c>
      <c r="AA541" s="14" t="s">
        <v>47</v>
      </c>
      <c r="AB541" s="14" t="s">
        <v>47</v>
      </c>
      <c r="AC541" t="b">
        <v>1</v>
      </c>
      <c r="AD541" s="14" t="s">
        <v>52</v>
      </c>
      <c r="AE541" s="14" t="s">
        <v>3184</v>
      </c>
      <c r="AF541" s="14" t="s">
        <v>3182</v>
      </c>
      <c r="AG541" s="14" t="s">
        <v>47</v>
      </c>
      <c r="AH541" s="14" t="s">
        <v>87</v>
      </c>
      <c r="AI541" s="2">
        <v>46160.752071759256</v>
      </c>
      <c r="AJ541" s="14" t="s">
        <v>47</v>
      </c>
      <c r="AK541" s="14" t="s">
        <v>47</v>
      </c>
      <c r="AL541" s="2">
        <v>46160.752071759256</v>
      </c>
      <c r="AM541" s="2">
        <v>46160.752071759256</v>
      </c>
    </row>
    <row r="542" spans="1:39" x14ac:dyDescent="0.3">
      <c r="A542" s="14" t="s">
        <v>3348</v>
      </c>
      <c r="B542" s="14" t="s">
        <v>3349</v>
      </c>
      <c r="C542" s="14" t="s">
        <v>41</v>
      </c>
      <c r="D542" s="14" t="s">
        <v>3350</v>
      </c>
      <c r="E542" s="14" t="s">
        <v>3351</v>
      </c>
      <c r="F542" s="14" t="s">
        <v>172</v>
      </c>
      <c r="G542" s="14" t="s">
        <v>173</v>
      </c>
      <c r="H542" s="14" t="s">
        <v>174</v>
      </c>
      <c r="I542" s="14" t="s">
        <v>47</v>
      </c>
      <c r="J542" s="14" t="s">
        <v>47</v>
      </c>
      <c r="K542" s="14" t="s">
        <v>130</v>
      </c>
      <c r="L542" s="14" t="s">
        <v>47</v>
      </c>
      <c r="M542" s="1">
        <v>46039</v>
      </c>
      <c r="N542" s="1">
        <v>46039</v>
      </c>
      <c r="O542" s="1">
        <v>46039</v>
      </c>
      <c r="P542" s="14" t="s">
        <v>49</v>
      </c>
      <c r="Q542" s="14" t="s">
        <v>50</v>
      </c>
      <c r="R542">
        <v>3</v>
      </c>
      <c r="S542" t="b">
        <v>1</v>
      </c>
      <c r="T542" s="14" t="s">
        <v>47</v>
      </c>
      <c r="U542" s="14" t="s">
        <v>47</v>
      </c>
      <c r="V542" s="14" t="s">
        <v>47</v>
      </c>
      <c r="W542" s="14" t="s">
        <v>47</v>
      </c>
      <c r="X542" s="14" t="s">
        <v>51</v>
      </c>
      <c r="Y542" t="b">
        <v>0</v>
      </c>
      <c r="Z542" s="14" t="s">
        <v>47</v>
      </c>
      <c r="AA542" s="14" t="s">
        <v>47</v>
      </c>
      <c r="AB542" s="14" t="s">
        <v>47</v>
      </c>
      <c r="AC542" t="b">
        <v>1</v>
      </c>
      <c r="AD542" s="14" t="s">
        <v>52</v>
      </c>
      <c r="AE542" s="14" t="s">
        <v>3352</v>
      </c>
      <c r="AF542" s="14" t="s">
        <v>3350</v>
      </c>
      <c r="AG542" s="14" t="s">
        <v>47</v>
      </c>
      <c r="AH542" s="14" t="s">
        <v>87</v>
      </c>
      <c r="AI542" s="2">
        <v>46160.752071759256</v>
      </c>
      <c r="AJ542" s="14" t="s">
        <v>47</v>
      </c>
      <c r="AK542" s="14" t="s">
        <v>47</v>
      </c>
      <c r="AL542" s="2">
        <v>46160.752071759256</v>
      </c>
      <c r="AM542" s="2">
        <v>46160.752071759256</v>
      </c>
    </row>
    <row r="543" spans="1:39" x14ac:dyDescent="0.3">
      <c r="A543" s="14" t="s">
        <v>3353</v>
      </c>
      <c r="B543" s="14" t="s">
        <v>3354</v>
      </c>
      <c r="C543" s="14" t="s">
        <v>41</v>
      </c>
      <c r="D543" s="14" t="s">
        <v>3355</v>
      </c>
      <c r="E543" s="14" t="s">
        <v>3356</v>
      </c>
      <c r="F543" s="14" t="s">
        <v>172</v>
      </c>
      <c r="G543" s="14" t="s">
        <v>173</v>
      </c>
      <c r="H543" s="14" t="s">
        <v>174</v>
      </c>
      <c r="I543" s="14" t="s">
        <v>47</v>
      </c>
      <c r="J543" s="14" t="s">
        <v>47</v>
      </c>
      <c r="K543" s="14" t="s">
        <v>130</v>
      </c>
      <c r="L543" s="14" t="s">
        <v>47</v>
      </c>
      <c r="M543" s="1">
        <v>46100</v>
      </c>
      <c r="N543" s="1">
        <v>46100</v>
      </c>
      <c r="O543" s="1">
        <v>46100</v>
      </c>
      <c r="P543" s="14" t="s">
        <v>49</v>
      </c>
      <c r="Q543" s="14" t="s">
        <v>50</v>
      </c>
      <c r="R543">
        <v>3</v>
      </c>
      <c r="S543" t="b">
        <v>1</v>
      </c>
      <c r="T543" s="14" t="s">
        <v>47</v>
      </c>
      <c r="U543" s="14" t="s">
        <v>47</v>
      </c>
      <c r="V543" s="14" t="s">
        <v>47</v>
      </c>
      <c r="W543" s="14" t="s">
        <v>47</v>
      </c>
      <c r="X543" s="14" t="s">
        <v>51</v>
      </c>
      <c r="Y543" t="b">
        <v>0</v>
      </c>
      <c r="Z543" s="14" t="s">
        <v>47</v>
      </c>
      <c r="AA543" s="14" t="s">
        <v>47</v>
      </c>
      <c r="AB543" s="14" t="s">
        <v>47</v>
      </c>
      <c r="AC543" t="b">
        <v>1</v>
      </c>
      <c r="AD543" s="14" t="s">
        <v>52</v>
      </c>
      <c r="AE543" s="14" t="s">
        <v>3357</v>
      </c>
      <c r="AF543" s="14" t="s">
        <v>3355</v>
      </c>
      <c r="AG543" s="14" t="s">
        <v>47</v>
      </c>
      <c r="AH543" s="14" t="s">
        <v>87</v>
      </c>
      <c r="AI543" s="2">
        <v>46160.757939814815</v>
      </c>
      <c r="AJ543" s="14" t="s">
        <v>47</v>
      </c>
      <c r="AK543" s="14" t="s">
        <v>47</v>
      </c>
      <c r="AL543" s="2">
        <v>46160.757939814815</v>
      </c>
      <c r="AM543" s="2">
        <v>46160.757939814815</v>
      </c>
    </row>
    <row r="544" spans="1:39" x14ac:dyDescent="0.3">
      <c r="A544" s="14" t="s">
        <v>3185</v>
      </c>
      <c r="B544" s="14" t="s">
        <v>3186</v>
      </c>
      <c r="C544" s="14" t="s">
        <v>41</v>
      </c>
      <c r="D544" s="14" t="s">
        <v>3187</v>
      </c>
      <c r="E544" s="14" t="s">
        <v>3188</v>
      </c>
      <c r="F544" s="14" t="s">
        <v>3099</v>
      </c>
      <c r="G544" s="14" t="s">
        <v>3100</v>
      </c>
      <c r="H544" s="14" t="s">
        <v>3101</v>
      </c>
      <c r="I544" s="14" t="s">
        <v>47</v>
      </c>
      <c r="J544" s="14" t="s">
        <v>47</v>
      </c>
      <c r="K544" s="14" t="s">
        <v>47</v>
      </c>
      <c r="L544" s="14" t="s">
        <v>47</v>
      </c>
      <c r="M544" s="1">
        <v>46100</v>
      </c>
      <c r="N544" s="1">
        <v>46100</v>
      </c>
      <c r="O544" s="1">
        <v>46100</v>
      </c>
      <c r="P544" s="14" t="s">
        <v>183</v>
      </c>
      <c r="Q544" s="14" t="s">
        <v>184</v>
      </c>
      <c r="R544">
        <v>2</v>
      </c>
      <c r="S544" t="b">
        <v>0</v>
      </c>
      <c r="T544" s="14" t="s">
        <v>47</v>
      </c>
      <c r="U544" s="14" t="s">
        <v>47</v>
      </c>
      <c r="V544" s="14" t="s">
        <v>47</v>
      </c>
      <c r="W544" s="14" t="s">
        <v>47</v>
      </c>
      <c r="X544" s="14" t="s">
        <v>51</v>
      </c>
      <c r="Y544" t="b">
        <v>0</v>
      </c>
      <c r="Z544" s="14" t="s">
        <v>47</v>
      </c>
      <c r="AA544" s="14" t="s">
        <v>47</v>
      </c>
      <c r="AB544" s="14" t="s">
        <v>47</v>
      </c>
      <c r="AC544" t="b">
        <v>1</v>
      </c>
      <c r="AD544" s="14" t="s">
        <v>52</v>
      </c>
      <c r="AE544" s="14" t="s">
        <v>3189</v>
      </c>
      <c r="AF544" s="14" t="s">
        <v>3187</v>
      </c>
      <c r="AG544" s="14" t="s">
        <v>47</v>
      </c>
      <c r="AH544" s="14" t="s">
        <v>87</v>
      </c>
      <c r="AI544" s="2">
        <v>46160.752071759256</v>
      </c>
      <c r="AJ544" s="14" t="s">
        <v>47</v>
      </c>
      <c r="AK544" s="14" t="s">
        <v>47</v>
      </c>
      <c r="AL544" s="2">
        <v>46160.752071759256</v>
      </c>
      <c r="AM544" s="2">
        <v>46160.752071759256</v>
      </c>
    </row>
    <row r="545" spans="1:39" x14ac:dyDescent="0.3">
      <c r="A545" s="14" t="s">
        <v>3358</v>
      </c>
      <c r="B545" s="14" t="s">
        <v>3359</v>
      </c>
      <c r="C545" s="14" t="s">
        <v>41</v>
      </c>
      <c r="D545" s="14" t="s">
        <v>3360</v>
      </c>
      <c r="E545" s="14" t="s">
        <v>3361</v>
      </c>
      <c r="F545" s="14" t="s">
        <v>3099</v>
      </c>
      <c r="G545" s="14" t="s">
        <v>3100</v>
      </c>
      <c r="H545" s="14" t="s">
        <v>3101</v>
      </c>
      <c r="I545" s="14" t="s">
        <v>47</v>
      </c>
      <c r="J545" s="14" t="s">
        <v>47</v>
      </c>
      <c r="K545" s="14" t="s">
        <v>47</v>
      </c>
      <c r="L545" s="14" t="s">
        <v>47</v>
      </c>
      <c r="M545" s="1">
        <v>46100</v>
      </c>
      <c r="N545" s="1">
        <v>46100</v>
      </c>
      <c r="O545" s="1">
        <v>46100</v>
      </c>
      <c r="P545" s="14" t="s">
        <v>183</v>
      </c>
      <c r="Q545" s="14" t="s">
        <v>184</v>
      </c>
      <c r="R545">
        <v>2</v>
      </c>
      <c r="S545" t="b">
        <v>0</v>
      </c>
      <c r="T545" s="14" t="s">
        <v>47</v>
      </c>
      <c r="U545" s="14" t="s">
        <v>47</v>
      </c>
      <c r="V545" s="14" t="s">
        <v>47</v>
      </c>
      <c r="W545" s="14" t="s">
        <v>47</v>
      </c>
      <c r="X545" s="14" t="s">
        <v>51</v>
      </c>
      <c r="Y545" t="b">
        <v>0</v>
      </c>
      <c r="Z545" s="14" t="s">
        <v>47</v>
      </c>
      <c r="AA545" s="14" t="s">
        <v>47</v>
      </c>
      <c r="AB545" s="14" t="s">
        <v>47</v>
      </c>
      <c r="AC545" t="b">
        <v>1</v>
      </c>
      <c r="AD545" s="14" t="s">
        <v>52</v>
      </c>
      <c r="AE545" s="14" t="s">
        <v>3362</v>
      </c>
      <c r="AF545" s="14" t="s">
        <v>3360</v>
      </c>
      <c r="AG545" s="14" t="s">
        <v>47</v>
      </c>
      <c r="AH545" s="14" t="s">
        <v>87</v>
      </c>
      <c r="AI545" s="2">
        <v>46160.757939814815</v>
      </c>
      <c r="AJ545" s="14" t="s">
        <v>47</v>
      </c>
      <c r="AK545" s="14" t="s">
        <v>47</v>
      </c>
      <c r="AL545" s="2">
        <v>46160.757939814815</v>
      </c>
      <c r="AM545" s="2">
        <v>46160.757939814815</v>
      </c>
    </row>
    <row r="546" spans="1:39" x14ac:dyDescent="0.3">
      <c r="A546" s="14" t="s">
        <v>3190</v>
      </c>
      <c r="B546" s="14" t="s">
        <v>3191</v>
      </c>
      <c r="C546" s="14" t="s">
        <v>41</v>
      </c>
      <c r="D546" s="14" t="s">
        <v>3192</v>
      </c>
      <c r="E546" s="14" t="s">
        <v>3193</v>
      </c>
      <c r="F546" s="14" t="s">
        <v>3107</v>
      </c>
      <c r="G546" s="14" t="s">
        <v>3108</v>
      </c>
      <c r="H546" s="14" t="s">
        <v>3109</v>
      </c>
      <c r="I546" s="14" t="s">
        <v>47</v>
      </c>
      <c r="J546" s="14" t="s">
        <v>47</v>
      </c>
      <c r="K546" s="14" t="s">
        <v>3110</v>
      </c>
      <c r="L546" s="14" t="s">
        <v>47</v>
      </c>
      <c r="M546" s="1">
        <v>46100</v>
      </c>
      <c r="N546" s="1">
        <v>46100</v>
      </c>
      <c r="O546" s="1">
        <v>46100</v>
      </c>
      <c r="P546" s="14" t="s">
        <v>183</v>
      </c>
      <c r="Q546" s="14" t="s">
        <v>50</v>
      </c>
      <c r="R546">
        <v>1</v>
      </c>
      <c r="S546" t="b">
        <v>0</v>
      </c>
      <c r="T546" s="14" t="s">
        <v>47</v>
      </c>
      <c r="U546" s="14" t="s">
        <v>47</v>
      </c>
      <c r="V546" s="14" t="s">
        <v>47</v>
      </c>
      <c r="W546" s="14" t="s">
        <v>47</v>
      </c>
      <c r="X546" s="14" t="s">
        <v>51</v>
      </c>
      <c r="Y546" t="b">
        <v>0</v>
      </c>
      <c r="Z546" s="14" t="s">
        <v>47</v>
      </c>
      <c r="AA546" s="14" t="s">
        <v>47</v>
      </c>
      <c r="AB546" s="14" t="s">
        <v>47</v>
      </c>
      <c r="AC546" t="b">
        <v>1</v>
      </c>
      <c r="AD546" s="14" t="s">
        <v>52</v>
      </c>
      <c r="AE546" s="14" t="s">
        <v>3194</v>
      </c>
      <c r="AF546" s="14" t="s">
        <v>3192</v>
      </c>
      <c r="AG546" s="14" t="s">
        <v>47</v>
      </c>
      <c r="AH546" s="14" t="s">
        <v>87</v>
      </c>
      <c r="AI546" s="2">
        <v>46160.752071759256</v>
      </c>
      <c r="AJ546" s="14" t="s">
        <v>47</v>
      </c>
      <c r="AK546" s="14" t="s">
        <v>47</v>
      </c>
      <c r="AL546" s="2">
        <v>46160.752071759256</v>
      </c>
      <c r="AM546" s="2">
        <v>46160.752071759256</v>
      </c>
    </row>
    <row r="547" spans="1:39" x14ac:dyDescent="0.3">
      <c r="A547" s="14" t="s">
        <v>3363</v>
      </c>
      <c r="B547" s="14" t="s">
        <v>3364</v>
      </c>
      <c r="C547" s="14" t="s">
        <v>41</v>
      </c>
      <c r="D547" s="14" t="s">
        <v>3365</v>
      </c>
      <c r="E547" s="14" t="s">
        <v>3366</v>
      </c>
      <c r="F547" s="14" t="s">
        <v>3318</v>
      </c>
      <c r="G547" s="14" t="s">
        <v>3319</v>
      </c>
      <c r="H547" s="14" t="s">
        <v>3320</v>
      </c>
      <c r="I547" s="14" t="s">
        <v>47</v>
      </c>
      <c r="J547" s="14" t="s">
        <v>47</v>
      </c>
      <c r="K547" s="14" t="s">
        <v>3321</v>
      </c>
      <c r="L547" s="14" t="s">
        <v>47</v>
      </c>
      <c r="M547" s="1">
        <v>46100</v>
      </c>
      <c r="N547" s="1">
        <v>46100</v>
      </c>
      <c r="O547" s="1">
        <v>46100</v>
      </c>
      <c r="P547" s="14" t="s">
        <v>315</v>
      </c>
      <c r="Q547" s="14" t="s">
        <v>76</v>
      </c>
      <c r="R547">
        <v>4</v>
      </c>
      <c r="S547" t="b">
        <v>1</v>
      </c>
      <c r="T547" s="14" t="s">
        <v>47</v>
      </c>
      <c r="U547" s="14" t="s">
        <v>47</v>
      </c>
      <c r="V547" s="14" t="s">
        <v>47</v>
      </c>
      <c r="W547" s="14" t="s">
        <v>47</v>
      </c>
      <c r="X547" s="14" t="s">
        <v>51</v>
      </c>
      <c r="Y547" t="b">
        <v>0</v>
      </c>
      <c r="Z547" s="14" t="s">
        <v>47</v>
      </c>
      <c r="AA547" s="14" t="s">
        <v>47</v>
      </c>
      <c r="AB547" s="14" t="s">
        <v>47</v>
      </c>
      <c r="AC547" t="b">
        <v>1</v>
      </c>
      <c r="AD547" s="14" t="s">
        <v>52</v>
      </c>
      <c r="AE547" s="14" t="s">
        <v>3367</v>
      </c>
      <c r="AF547" s="14" t="s">
        <v>3365</v>
      </c>
      <c r="AG547" s="14" t="s">
        <v>47</v>
      </c>
      <c r="AH547" s="14" t="s">
        <v>87</v>
      </c>
      <c r="AI547" s="2">
        <v>46160.757939814815</v>
      </c>
      <c r="AJ547" s="14" t="s">
        <v>47</v>
      </c>
      <c r="AK547" s="14" t="s">
        <v>47</v>
      </c>
      <c r="AL547" s="2">
        <v>46160.757939814815</v>
      </c>
      <c r="AM547" s="2">
        <v>46160.757939814815</v>
      </c>
    </row>
    <row r="548" spans="1:39" x14ac:dyDescent="0.3">
      <c r="A548" s="14" t="s">
        <v>3368</v>
      </c>
      <c r="B548" s="14" t="s">
        <v>3369</v>
      </c>
      <c r="C548" s="14" t="s">
        <v>41</v>
      </c>
      <c r="D548" s="14" t="s">
        <v>3370</v>
      </c>
      <c r="E548" s="14" t="s">
        <v>3371</v>
      </c>
      <c r="F548" s="14" t="s">
        <v>3099</v>
      </c>
      <c r="G548" s="14" t="s">
        <v>3100</v>
      </c>
      <c r="H548" s="14" t="s">
        <v>3101</v>
      </c>
      <c r="I548" s="14" t="s">
        <v>47</v>
      </c>
      <c r="J548" s="14" t="s">
        <v>47</v>
      </c>
      <c r="K548" s="14" t="s">
        <v>47</v>
      </c>
      <c r="L548" s="14" t="s">
        <v>47</v>
      </c>
      <c r="M548" s="1">
        <v>46100</v>
      </c>
      <c r="N548" s="1">
        <v>46100</v>
      </c>
      <c r="O548" s="1">
        <v>46100</v>
      </c>
      <c r="P548" s="14" t="s">
        <v>183</v>
      </c>
      <c r="Q548" s="14" t="s">
        <v>184</v>
      </c>
      <c r="R548">
        <v>2</v>
      </c>
      <c r="S548" t="b">
        <v>0</v>
      </c>
      <c r="T548" s="14" t="s">
        <v>47</v>
      </c>
      <c r="U548" s="14" t="s">
        <v>47</v>
      </c>
      <c r="V548" s="14" t="s">
        <v>47</v>
      </c>
      <c r="W548" s="14" t="s">
        <v>47</v>
      </c>
      <c r="X548" s="14" t="s">
        <v>51</v>
      </c>
      <c r="Y548" t="b">
        <v>0</v>
      </c>
      <c r="Z548" s="14" t="s">
        <v>47</v>
      </c>
      <c r="AA548" s="14" t="s">
        <v>47</v>
      </c>
      <c r="AB548" s="14" t="s">
        <v>47</v>
      </c>
      <c r="AC548" t="b">
        <v>1</v>
      </c>
      <c r="AD548" s="14" t="s">
        <v>52</v>
      </c>
      <c r="AE548" s="14" t="s">
        <v>3372</v>
      </c>
      <c r="AF548" s="14" t="s">
        <v>3370</v>
      </c>
      <c r="AG548" s="14" t="s">
        <v>47</v>
      </c>
      <c r="AH548" s="14" t="s">
        <v>87</v>
      </c>
      <c r="AI548" s="2">
        <v>46160.757939814815</v>
      </c>
      <c r="AJ548" s="14" t="s">
        <v>47</v>
      </c>
      <c r="AK548" s="14" t="s">
        <v>47</v>
      </c>
      <c r="AL548" s="2">
        <v>46160.757939814815</v>
      </c>
      <c r="AM548" s="2">
        <v>46160.757939814815</v>
      </c>
    </row>
    <row r="549" spans="1:39" x14ac:dyDescent="0.3">
      <c r="A549" s="14" t="s">
        <v>3195</v>
      </c>
      <c r="B549" s="14" t="s">
        <v>3196</v>
      </c>
      <c r="C549" s="14" t="s">
        <v>41</v>
      </c>
      <c r="D549" s="14" t="s">
        <v>3197</v>
      </c>
      <c r="E549" s="14" t="s">
        <v>3198</v>
      </c>
      <c r="F549" s="14" t="s">
        <v>3099</v>
      </c>
      <c r="G549" s="14" t="s">
        <v>3100</v>
      </c>
      <c r="H549" s="14" t="s">
        <v>3101</v>
      </c>
      <c r="I549" s="14" t="s">
        <v>47</v>
      </c>
      <c r="J549" s="14" t="s">
        <v>47</v>
      </c>
      <c r="K549" s="14" t="s">
        <v>47</v>
      </c>
      <c r="L549" s="14" t="s">
        <v>47</v>
      </c>
      <c r="M549" s="1">
        <v>46070</v>
      </c>
      <c r="N549" s="1">
        <v>46070</v>
      </c>
      <c r="O549" s="1">
        <v>46070</v>
      </c>
      <c r="P549" s="14" t="s">
        <v>183</v>
      </c>
      <c r="Q549" s="14" t="s">
        <v>184</v>
      </c>
      <c r="R549">
        <v>2</v>
      </c>
      <c r="S549" t="b">
        <v>0</v>
      </c>
      <c r="T549" s="14" t="s">
        <v>47</v>
      </c>
      <c r="U549" s="14" t="s">
        <v>47</v>
      </c>
      <c r="V549" s="14" t="s">
        <v>47</v>
      </c>
      <c r="W549" s="14" t="s">
        <v>47</v>
      </c>
      <c r="X549" s="14" t="s">
        <v>51</v>
      </c>
      <c r="Y549" t="b">
        <v>0</v>
      </c>
      <c r="Z549" s="14" t="s">
        <v>47</v>
      </c>
      <c r="AA549" s="14" t="s">
        <v>47</v>
      </c>
      <c r="AB549" s="14" t="s">
        <v>47</v>
      </c>
      <c r="AC549" t="b">
        <v>1</v>
      </c>
      <c r="AD549" s="14" t="s">
        <v>52</v>
      </c>
      <c r="AE549" s="14" t="s">
        <v>3199</v>
      </c>
      <c r="AF549" s="14" t="s">
        <v>3197</v>
      </c>
      <c r="AG549" s="14" t="s">
        <v>47</v>
      </c>
      <c r="AH549" s="14" t="s">
        <v>87</v>
      </c>
      <c r="AI549" s="2">
        <v>46160.752071759256</v>
      </c>
      <c r="AJ549" s="14" t="s">
        <v>47</v>
      </c>
      <c r="AK549" s="14" t="s">
        <v>47</v>
      </c>
      <c r="AL549" s="2">
        <v>46160.752071759256</v>
      </c>
      <c r="AM549" s="2">
        <v>46160.752071759256</v>
      </c>
    </row>
    <row r="550" spans="1:39" x14ac:dyDescent="0.3">
      <c r="A550" t="s">
        <v>3766</v>
      </c>
      <c r="B550" t="s">
        <v>3767</v>
      </c>
      <c r="C550" t="s">
        <v>41</v>
      </c>
      <c r="D550" t="s">
        <v>3768</v>
      </c>
      <c r="E550" t="s">
        <v>3769</v>
      </c>
      <c r="F550" t="s">
        <v>47</v>
      </c>
      <c r="G550" t="s">
        <v>47</v>
      </c>
      <c r="H550" t="s">
        <v>85</v>
      </c>
      <c r="I550" t="s">
        <v>47</v>
      </c>
      <c r="J550" t="s">
        <v>47</v>
      </c>
      <c r="K550" t="s">
        <v>48</v>
      </c>
      <c r="L550" t="s">
        <v>47</v>
      </c>
      <c r="M550" s="1">
        <v>46101</v>
      </c>
      <c r="N550" s="1">
        <v>46101</v>
      </c>
      <c r="O550" s="1">
        <v>46101</v>
      </c>
      <c r="P550" t="s">
        <v>49</v>
      </c>
      <c r="Q550" t="s">
        <v>50</v>
      </c>
      <c r="R550">
        <v>2</v>
      </c>
      <c r="S550" t="b">
        <v>0</v>
      </c>
      <c r="T550" t="s">
        <v>47</v>
      </c>
      <c r="U550" t="s">
        <v>47</v>
      </c>
      <c r="V550" t="s">
        <v>47</v>
      </c>
      <c r="W550" t="s">
        <v>47</v>
      </c>
      <c r="X550" t="s">
        <v>51</v>
      </c>
      <c r="Y550" t="b">
        <v>0</v>
      </c>
      <c r="Z550" t="s">
        <v>47</v>
      </c>
      <c r="AA550" t="s">
        <v>47</v>
      </c>
      <c r="AB550" t="s">
        <v>47</v>
      </c>
      <c r="AC550" t="b">
        <v>1</v>
      </c>
      <c r="AD550" t="s">
        <v>52</v>
      </c>
      <c r="AE550" t="s">
        <v>3770</v>
      </c>
      <c r="AF550" t="s">
        <v>3768</v>
      </c>
      <c r="AG550" t="s">
        <v>3611</v>
      </c>
      <c r="AH550" t="s">
        <v>87</v>
      </c>
      <c r="AI550" s="2">
        <v>46160.775243055556</v>
      </c>
      <c r="AJ550" t="s">
        <v>47</v>
      </c>
      <c r="AK550" t="s">
        <v>47</v>
      </c>
      <c r="AL550" s="2">
        <v>46160.775243055556</v>
      </c>
      <c r="AM550" s="2">
        <v>46160.775243055556</v>
      </c>
    </row>
    <row r="551" spans="1:39" x14ac:dyDescent="0.3">
      <c r="A551" t="s">
        <v>3672</v>
      </c>
      <c r="B551" t="s">
        <v>3673</v>
      </c>
      <c r="C551" t="s">
        <v>41</v>
      </c>
      <c r="D551" t="s">
        <v>3674</v>
      </c>
      <c r="E551" t="s">
        <v>3675</v>
      </c>
      <c r="F551" t="s">
        <v>47</v>
      </c>
      <c r="G551" t="s">
        <v>47</v>
      </c>
      <c r="H551" t="s">
        <v>85</v>
      </c>
      <c r="I551" t="s">
        <v>47</v>
      </c>
      <c r="J551" t="s">
        <v>47</v>
      </c>
      <c r="K551" t="s">
        <v>48</v>
      </c>
      <c r="L551" t="s">
        <v>47</v>
      </c>
      <c r="M551" s="1">
        <v>46101</v>
      </c>
      <c r="N551" s="1">
        <v>46101</v>
      </c>
      <c r="O551" s="1">
        <v>46101</v>
      </c>
      <c r="P551" t="s">
        <v>49</v>
      </c>
      <c r="Q551" t="s">
        <v>50</v>
      </c>
      <c r="R551">
        <v>2</v>
      </c>
      <c r="S551" t="b">
        <v>0</v>
      </c>
      <c r="T551" t="s">
        <v>47</v>
      </c>
      <c r="U551" t="s">
        <v>47</v>
      </c>
      <c r="V551" t="s">
        <v>47</v>
      </c>
      <c r="W551" t="s">
        <v>47</v>
      </c>
      <c r="X551" t="s">
        <v>51</v>
      </c>
      <c r="Y551" t="b">
        <v>0</v>
      </c>
      <c r="Z551" t="s">
        <v>47</v>
      </c>
      <c r="AA551" t="s">
        <v>47</v>
      </c>
      <c r="AB551" t="s">
        <v>47</v>
      </c>
      <c r="AC551" t="b">
        <v>1</v>
      </c>
      <c r="AD551" t="s">
        <v>52</v>
      </c>
      <c r="AE551" t="s">
        <v>3676</v>
      </c>
      <c r="AF551" t="s">
        <v>3674</v>
      </c>
      <c r="AG551" t="s">
        <v>3611</v>
      </c>
      <c r="AH551" t="s">
        <v>87</v>
      </c>
      <c r="AI551" s="2">
        <v>46160.775231481479</v>
      </c>
      <c r="AJ551" t="s">
        <v>47</v>
      </c>
      <c r="AK551" t="s">
        <v>47</v>
      </c>
      <c r="AL551" s="2">
        <v>46160.775231481479</v>
      </c>
      <c r="AM551" s="2">
        <v>46160.775231481479</v>
      </c>
    </row>
    <row r="552" spans="1:39" x14ac:dyDescent="0.3">
      <c r="A552" t="s">
        <v>3771</v>
      </c>
      <c r="B552" t="s">
        <v>3772</v>
      </c>
      <c r="C552" t="s">
        <v>41</v>
      </c>
      <c r="D552" t="s">
        <v>3773</v>
      </c>
      <c r="E552" t="s">
        <v>3774</v>
      </c>
      <c r="F552" t="s">
        <v>47</v>
      </c>
      <c r="G552" t="s">
        <v>47</v>
      </c>
      <c r="H552" t="s">
        <v>85</v>
      </c>
      <c r="I552" t="s">
        <v>47</v>
      </c>
      <c r="J552" t="s">
        <v>47</v>
      </c>
      <c r="K552" t="s">
        <v>48</v>
      </c>
      <c r="L552" t="s">
        <v>47</v>
      </c>
      <c r="M552" s="1">
        <v>46101</v>
      </c>
      <c r="N552" s="1">
        <v>46101</v>
      </c>
      <c r="O552" s="1">
        <v>46101</v>
      </c>
      <c r="P552" t="s">
        <v>49</v>
      </c>
      <c r="Q552" t="s">
        <v>50</v>
      </c>
      <c r="R552">
        <v>2</v>
      </c>
      <c r="S552" t="b">
        <v>0</v>
      </c>
      <c r="T552" t="s">
        <v>47</v>
      </c>
      <c r="U552" t="s">
        <v>47</v>
      </c>
      <c r="V552" t="s">
        <v>47</v>
      </c>
      <c r="W552" t="s">
        <v>47</v>
      </c>
      <c r="X552" t="s">
        <v>51</v>
      </c>
      <c r="Y552" t="b">
        <v>0</v>
      </c>
      <c r="Z552" t="s">
        <v>47</v>
      </c>
      <c r="AA552" t="s">
        <v>47</v>
      </c>
      <c r="AB552" t="s">
        <v>47</v>
      </c>
      <c r="AC552" t="b">
        <v>1</v>
      </c>
      <c r="AD552" t="s">
        <v>52</v>
      </c>
      <c r="AE552" t="s">
        <v>3775</v>
      </c>
      <c r="AF552" t="s">
        <v>3773</v>
      </c>
      <c r="AG552" t="s">
        <v>3611</v>
      </c>
      <c r="AH552" t="s">
        <v>87</v>
      </c>
      <c r="AI552" s="2">
        <v>46160.775243055556</v>
      </c>
      <c r="AJ552" t="s">
        <v>47</v>
      </c>
      <c r="AK552" t="s">
        <v>47</v>
      </c>
      <c r="AL552" s="2">
        <v>46160.775243055556</v>
      </c>
      <c r="AM552" s="2">
        <v>46160.775243055556</v>
      </c>
    </row>
    <row r="553" spans="1:39" x14ac:dyDescent="0.3">
      <c r="A553" s="14" t="s">
        <v>3373</v>
      </c>
      <c r="B553" s="14" t="s">
        <v>3374</v>
      </c>
      <c r="C553" s="14" t="s">
        <v>41</v>
      </c>
      <c r="D553" s="14" t="s">
        <v>3375</v>
      </c>
      <c r="E553" s="14" t="s">
        <v>3376</v>
      </c>
      <c r="F553" s="14" t="s">
        <v>83</v>
      </c>
      <c r="G553" s="14" t="s">
        <v>84</v>
      </c>
      <c r="H553" s="14" t="s">
        <v>85</v>
      </c>
      <c r="I553" s="14" t="s">
        <v>47</v>
      </c>
      <c r="J553" s="14" t="s">
        <v>47</v>
      </c>
      <c r="K553" s="14" t="s">
        <v>48</v>
      </c>
      <c r="L553" s="14" t="s">
        <v>47</v>
      </c>
      <c r="M553" s="1">
        <v>46101</v>
      </c>
      <c r="N553" s="1">
        <v>46101</v>
      </c>
      <c r="O553" s="1">
        <v>46101</v>
      </c>
      <c r="P553" s="14" t="s">
        <v>49</v>
      </c>
      <c r="Q553" s="14" t="s">
        <v>50</v>
      </c>
      <c r="R553">
        <v>2</v>
      </c>
      <c r="S553" t="b">
        <v>0</v>
      </c>
      <c r="T553" s="14" t="s">
        <v>47</v>
      </c>
      <c r="U553" s="14" t="s">
        <v>47</v>
      </c>
      <c r="V553" s="14" t="s">
        <v>47</v>
      </c>
      <c r="W553" s="14" t="s">
        <v>47</v>
      </c>
      <c r="X553" s="14" t="s">
        <v>51</v>
      </c>
      <c r="Y553" t="b">
        <v>0</v>
      </c>
      <c r="Z553" s="14" t="s">
        <v>47</v>
      </c>
      <c r="AA553" s="14" t="s">
        <v>47</v>
      </c>
      <c r="AB553" s="14" t="s">
        <v>47</v>
      </c>
      <c r="AC553" t="b">
        <v>1</v>
      </c>
      <c r="AD553" s="14" t="s">
        <v>52</v>
      </c>
      <c r="AE553" s="14" t="s">
        <v>3377</v>
      </c>
      <c r="AF553" s="14" t="s">
        <v>3375</v>
      </c>
      <c r="AG553" s="14" t="s">
        <v>47</v>
      </c>
      <c r="AH553" s="14" t="s">
        <v>87</v>
      </c>
      <c r="AI553" s="2">
        <v>46160.757939814815</v>
      </c>
      <c r="AJ553" s="14" t="s">
        <v>47</v>
      </c>
      <c r="AK553" s="14" t="s">
        <v>47</v>
      </c>
      <c r="AL553" s="2">
        <v>46160.757939814815</v>
      </c>
      <c r="AM553" s="2">
        <v>46160.757939814815</v>
      </c>
    </row>
    <row r="554" spans="1:39" x14ac:dyDescent="0.3">
      <c r="A554" s="14" t="s">
        <v>3378</v>
      </c>
      <c r="B554" s="14" t="s">
        <v>3379</v>
      </c>
      <c r="C554" s="14" t="s">
        <v>41</v>
      </c>
      <c r="D554" s="14" t="s">
        <v>3380</v>
      </c>
      <c r="E554" s="14" t="s">
        <v>3381</v>
      </c>
      <c r="F554" s="14" t="s">
        <v>83</v>
      </c>
      <c r="G554" s="14" t="s">
        <v>84</v>
      </c>
      <c r="H554" s="14" t="s">
        <v>85</v>
      </c>
      <c r="I554" s="14" t="s">
        <v>47</v>
      </c>
      <c r="J554" s="14" t="s">
        <v>47</v>
      </c>
      <c r="K554" s="14" t="s">
        <v>48</v>
      </c>
      <c r="L554" s="14" t="s">
        <v>47</v>
      </c>
      <c r="M554" s="1">
        <v>46101</v>
      </c>
      <c r="N554" s="1">
        <v>46101</v>
      </c>
      <c r="O554" s="1">
        <v>46101</v>
      </c>
      <c r="P554" s="14" t="s">
        <v>49</v>
      </c>
      <c r="Q554" s="14" t="s">
        <v>50</v>
      </c>
      <c r="R554">
        <v>2</v>
      </c>
      <c r="S554" t="b">
        <v>0</v>
      </c>
      <c r="T554" s="14" t="s">
        <v>47</v>
      </c>
      <c r="U554" s="14" t="s">
        <v>47</v>
      </c>
      <c r="V554" s="14" t="s">
        <v>47</v>
      </c>
      <c r="W554" s="14" t="s">
        <v>47</v>
      </c>
      <c r="X554" s="14" t="s">
        <v>51</v>
      </c>
      <c r="Y554" t="b">
        <v>0</v>
      </c>
      <c r="Z554" s="14" t="s">
        <v>47</v>
      </c>
      <c r="AA554" s="14" t="s">
        <v>47</v>
      </c>
      <c r="AB554" s="14" t="s">
        <v>47</v>
      </c>
      <c r="AC554" t="b">
        <v>1</v>
      </c>
      <c r="AD554" s="14" t="s">
        <v>52</v>
      </c>
      <c r="AE554" s="14" t="s">
        <v>3382</v>
      </c>
      <c r="AF554" s="14" t="s">
        <v>3380</v>
      </c>
      <c r="AG554" s="14" t="s">
        <v>47</v>
      </c>
      <c r="AH554" s="14" t="s">
        <v>87</v>
      </c>
      <c r="AI554" s="2">
        <v>46160.757939814815</v>
      </c>
      <c r="AJ554" s="14" t="s">
        <v>47</v>
      </c>
      <c r="AK554" s="14" t="s">
        <v>47</v>
      </c>
      <c r="AL554" s="2">
        <v>46160.757939814815</v>
      </c>
      <c r="AM554" s="2">
        <v>46160.757939814815</v>
      </c>
    </row>
    <row r="555" spans="1:39" x14ac:dyDescent="0.3">
      <c r="A555" s="14" t="s">
        <v>3383</v>
      </c>
      <c r="B555" s="14" t="s">
        <v>3384</v>
      </c>
      <c r="C555" s="14" t="s">
        <v>41</v>
      </c>
      <c r="D555" s="14" t="s">
        <v>3385</v>
      </c>
      <c r="E555" s="14" t="s">
        <v>3386</v>
      </c>
      <c r="F555" s="14" t="s">
        <v>83</v>
      </c>
      <c r="G555" s="14" t="s">
        <v>84</v>
      </c>
      <c r="H555" s="14" t="s">
        <v>85</v>
      </c>
      <c r="I555" s="14" t="s">
        <v>47</v>
      </c>
      <c r="J555" s="14" t="s">
        <v>47</v>
      </c>
      <c r="K555" s="14" t="s">
        <v>48</v>
      </c>
      <c r="L555" s="14" t="s">
        <v>47</v>
      </c>
      <c r="M555" s="1">
        <v>46101</v>
      </c>
      <c r="N555" s="1">
        <v>46101</v>
      </c>
      <c r="O555" s="1">
        <v>46101</v>
      </c>
      <c r="P555" s="14" t="s">
        <v>49</v>
      </c>
      <c r="Q555" s="14" t="s">
        <v>50</v>
      </c>
      <c r="R555">
        <v>2</v>
      </c>
      <c r="S555" t="b">
        <v>0</v>
      </c>
      <c r="T555" s="14" t="s">
        <v>47</v>
      </c>
      <c r="U555" s="14" t="s">
        <v>47</v>
      </c>
      <c r="V555" s="14" t="s">
        <v>47</v>
      </c>
      <c r="W555" s="14" t="s">
        <v>47</v>
      </c>
      <c r="X555" s="14" t="s">
        <v>51</v>
      </c>
      <c r="Y555" t="b">
        <v>0</v>
      </c>
      <c r="Z555" s="14" t="s">
        <v>47</v>
      </c>
      <c r="AA555" s="14" t="s">
        <v>47</v>
      </c>
      <c r="AB555" s="14" t="s">
        <v>47</v>
      </c>
      <c r="AC555" t="b">
        <v>1</v>
      </c>
      <c r="AD555" s="14" t="s">
        <v>52</v>
      </c>
      <c r="AE555" s="14" t="s">
        <v>3387</v>
      </c>
      <c r="AF555" s="14" t="s">
        <v>3385</v>
      </c>
      <c r="AG555" s="14" t="s">
        <v>47</v>
      </c>
      <c r="AH555" s="14" t="s">
        <v>87</v>
      </c>
      <c r="AI555" s="2">
        <v>46160.757939814815</v>
      </c>
      <c r="AJ555" s="14" t="s">
        <v>47</v>
      </c>
      <c r="AK555" s="14" t="s">
        <v>47</v>
      </c>
      <c r="AL555" s="2">
        <v>46160.757939814815</v>
      </c>
      <c r="AM555" s="2">
        <v>46160.757939814815</v>
      </c>
    </row>
    <row r="556" spans="1:39" x14ac:dyDescent="0.3">
      <c r="A556" s="14" t="s">
        <v>3388</v>
      </c>
      <c r="B556" s="14" t="s">
        <v>3389</v>
      </c>
      <c r="C556" s="14" t="s">
        <v>41</v>
      </c>
      <c r="D556" s="14" t="s">
        <v>3390</v>
      </c>
      <c r="E556" s="14" t="s">
        <v>3391</v>
      </c>
      <c r="F556" s="14" t="s">
        <v>83</v>
      </c>
      <c r="G556" s="14" t="s">
        <v>84</v>
      </c>
      <c r="H556" s="14" t="s">
        <v>85</v>
      </c>
      <c r="I556" s="14" t="s">
        <v>47</v>
      </c>
      <c r="J556" s="14" t="s">
        <v>47</v>
      </c>
      <c r="K556" s="14" t="s">
        <v>48</v>
      </c>
      <c r="L556" s="14" t="s">
        <v>47</v>
      </c>
      <c r="M556" s="1">
        <v>46101</v>
      </c>
      <c r="N556" s="1">
        <v>46101</v>
      </c>
      <c r="O556" s="1">
        <v>46101</v>
      </c>
      <c r="P556" s="14" t="s">
        <v>49</v>
      </c>
      <c r="Q556" s="14" t="s">
        <v>50</v>
      </c>
      <c r="R556">
        <v>2</v>
      </c>
      <c r="S556" t="b">
        <v>0</v>
      </c>
      <c r="T556" s="14" t="s">
        <v>47</v>
      </c>
      <c r="U556" s="14" t="s">
        <v>47</v>
      </c>
      <c r="V556" s="14" t="s">
        <v>47</v>
      </c>
      <c r="W556" s="14" t="s">
        <v>47</v>
      </c>
      <c r="X556" s="14" t="s">
        <v>51</v>
      </c>
      <c r="Y556" t="b">
        <v>0</v>
      </c>
      <c r="Z556" s="14" t="s">
        <v>47</v>
      </c>
      <c r="AA556" s="14" t="s">
        <v>47</v>
      </c>
      <c r="AB556" s="14" t="s">
        <v>47</v>
      </c>
      <c r="AC556" t="b">
        <v>1</v>
      </c>
      <c r="AD556" s="14" t="s">
        <v>52</v>
      </c>
      <c r="AE556" s="14" t="s">
        <v>3392</v>
      </c>
      <c r="AF556" s="14" t="s">
        <v>3390</v>
      </c>
      <c r="AG556" s="14" t="s">
        <v>47</v>
      </c>
      <c r="AH556" s="14" t="s">
        <v>87</v>
      </c>
      <c r="AI556" s="2">
        <v>46160.757939814815</v>
      </c>
      <c r="AJ556" s="14" t="s">
        <v>47</v>
      </c>
      <c r="AK556" s="14" t="s">
        <v>47</v>
      </c>
      <c r="AL556" s="2">
        <v>46160.757939814815</v>
      </c>
      <c r="AM556" s="2">
        <v>46160.757939814815</v>
      </c>
    </row>
    <row r="557" spans="1:39" x14ac:dyDescent="0.3">
      <c r="A557" s="14" t="s">
        <v>3200</v>
      </c>
      <c r="B557" s="14" t="s">
        <v>3201</v>
      </c>
      <c r="C557" s="14" t="s">
        <v>41</v>
      </c>
      <c r="D557" s="14" t="s">
        <v>3202</v>
      </c>
      <c r="E557" s="14" t="s">
        <v>3203</v>
      </c>
      <c r="F557" s="14" t="s">
        <v>3099</v>
      </c>
      <c r="G557" s="14" t="s">
        <v>3100</v>
      </c>
      <c r="H557" s="14" t="s">
        <v>3101</v>
      </c>
      <c r="I557" s="14" t="s">
        <v>47</v>
      </c>
      <c r="J557" s="14" t="s">
        <v>47</v>
      </c>
      <c r="K557" s="14" t="s">
        <v>47</v>
      </c>
      <c r="L557" s="14" t="s">
        <v>47</v>
      </c>
      <c r="M557" s="1">
        <v>46101</v>
      </c>
      <c r="N557" s="1">
        <v>46101</v>
      </c>
      <c r="O557" s="1">
        <v>46101</v>
      </c>
      <c r="P557" s="14" t="s">
        <v>183</v>
      </c>
      <c r="Q557" s="14" t="s">
        <v>184</v>
      </c>
      <c r="R557">
        <v>2</v>
      </c>
      <c r="S557" t="b">
        <v>0</v>
      </c>
      <c r="T557" s="14" t="s">
        <v>47</v>
      </c>
      <c r="U557" s="14" t="s">
        <v>47</v>
      </c>
      <c r="V557" s="14" t="s">
        <v>47</v>
      </c>
      <c r="W557" s="14" t="s">
        <v>47</v>
      </c>
      <c r="X557" s="14" t="s">
        <v>51</v>
      </c>
      <c r="Y557" t="b">
        <v>0</v>
      </c>
      <c r="Z557" s="14" t="s">
        <v>47</v>
      </c>
      <c r="AA557" s="14" t="s">
        <v>47</v>
      </c>
      <c r="AB557" s="14" t="s">
        <v>47</v>
      </c>
      <c r="AC557" t="b">
        <v>1</v>
      </c>
      <c r="AD557" s="14" t="s">
        <v>52</v>
      </c>
      <c r="AE557" s="14" t="s">
        <v>3204</v>
      </c>
      <c r="AF557" s="14" t="s">
        <v>3202</v>
      </c>
      <c r="AG557" s="14" t="s">
        <v>47</v>
      </c>
      <c r="AH557" s="14" t="s">
        <v>87</v>
      </c>
      <c r="AI557" s="2">
        <v>46160.752071759256</v>
      </c>
      <c r="AJ557" s="14" t="s">
        <v>47</v>
      </c>
      <c r="AK557" s="14" t="s">
        <v>47</v>
      </c>
      <c r="AL557" s="2">
        <v>46160.752071759256</v>
      </c>
      <c r="AM557" s="2">
        <v>46160.752071759256</v>
      </c>
    </row>
    <row r="558" spans="1:39" x14ac:dyDescent="0.3">
      <c r="A558" s="14" t="s">
        <v>3393</v>
      </c>
      <c r="B558" s="14" t="s">
        <v>3394</v>
      </c>
      <c r="C558" s="14" t="s">
        <v>41</v>
      </c>
      <c r="D558" s="14" t="s">
        <v>3395</v>
      </c>
      <c r="E558" s="14" t="s">
        <v>3396</v>
      </c>
      <c r="F558" s="14" t="s">
        <v>3099</v>
      </c>
      <c r="G558" s="14" t="s">
        <v>3100</v>
      </c>
      <c r="H558" s="14" t="s">
        <v>3101</v>
      </c>
      <c r="I558" s="14" t="s">
        <v>47</v>
      </c>
      <c r="J558" s="14" t="s">
        <v>47</v>
      </c>
      <c r="K558" s="14" t="s">
        <v>47</v>
      </c>
      <c r="L558" s="14" t="s">
        <v>47</v>
      </c>
      <c r="M558" s="1">
        <v>46101</v>
      </c>
      <c r="N558" s="1">
        <v>46101</v>
      </c>
      <c r="O558" s="1">
        <v>46101</v>
      </c>
      <c r="P558" s="14" t="s">
        <v>183</v>
      </c>
      <c r="Q558" s="14" t="s">
        <v>184</v>
      </c>
      <c r="R558">
        <v>2</v>
      </c>
      <c r="S558" t="b">
        <v>0</v>
      </c>
      <c r="T558" s="14" t="s">
        <v>47</v>
      </c>
      <c r="U558" s="14" t="s">
        <v>47</v>
      </c>
      <c r="V558" s="14" t="s">
        <v>47</v>
      </c>
      <c r="W558" s="14" t="s">
        <v>47</v>
      </c>
      <c r="X558" s="14" t="s">
        <v>51</v>
      </c>
      <c r="Y558" t="b">
        <v>0</v>
      </c>
      <c r="Z558" s="14" t="s">
        <v>47</v>
      </c>
      <c r="AA558" s="14" t="s">
        <v>47</v>
      </c>
      <c r="AB558" s="14" t="s">
        <v>47</v>
      </c>
      <c r="AC558" t="b">
        <v>1</v>
      </c>
      <c r="AD558" s="14" t="s">
        <v>52</v>
      </c>
      <c r="AE558" s="14" t="s">
        <v>3397</v>
      </c>
      <c r="AF558" s="14" t="s">
        <v>3395</v>
      </c>
      <c r="AG558" s="14" t="s">
        <v>47</v>
      </c>
      <c r="AH558" s="14" t="s">
        <v>87</v>
      </c>
      <c r="AI558" s="2">
        <v>46160.757939814815</v>
      </c>
      <c r="AJ558" s="14" t="s">
        <v>47</v>
      </c>
      <c r="AK558" s="14" t="s">
        <v>47</v>
      </c>
      <c r="AL558" s="2">
        <v>46160.757939814815</v>
      </c>
      <c r="AM558" s="2">
        <v>46160.757939814815</v>
      </c>
    </row>
    <row r="559" spans="1:39" x14ac:dyDescent="0.3">
      <c r="A559" s="14" t="s">
        <v>3205</v>
      </c>
      <c r="B559" s="14" t="s">
        <v>3206</v>
      </c>
      <c r="C559" s="14" t="s">
        <v>41</v>
      </c>
      <c r="D559" s="14" t="s">
        <v>3207</v>
      </c>
      <c r="E559" s="14" t="s">
        <v>3208</v>
      </c>
      <c r="F559" s="14" t="s">
        <v>3099</v>
      </c>
      <c r="G559" s="14" t="s">
        <v>3100</v>
      </c>
      <c r="H559" s="14" t="s">
        <v>3101</v>
      </c>
      <c r="I559" s="14" t="s">
        <v>47</v>
      </c>
      <c r="J559" s="14" t="s">
        <v>47</v>
      </c>
      <c r="K559" s="14" t="s">
        <v>47</v>
      </c>
      <c r="L559" s="14" t="s">
        <v>47</v>
      </c>
      <c r="M559" s="1">
        <v>46102</v>
      </c>
      <c r="N559" s="1">
        <v>46102</v>
      </c>
      <c r="O559" s="1">
        <v>46102</v>
      </c>
      <c r="P559" s="14" t="s">
        <v>183</v>
      </c>
      <c r="Q559" s="14" t="s">
        <v>184</v>
      </c>
      <c r="R559">
        <v>2</v>
      </c>
      <c r="S559" t="b">
        <v>0</v>
      </c>
      <c r="T559" s="14" t="s">
        <v>47</v>
      </c>
      <c r="U559" s="14" t="s">
        <v>47</v>
      </c>
      <c r="V559" s="14" t="s">
        <v>47</v>
      </c>
      <c r="W559" s="14" t="s">
        <v>47</v>
      </c>
      <c r="X559" s="14" t="s">
        <v>51</v>
      </c>
      <c r="Y559" t="b">
        <v>0</v>
      </c>
      <c r="Z559" s="14" t="s">
        <v>47</v>
      </c>
      <c r="AA559" s="14" t="s">
        <v>47</v>
      </c>
      <c r="AB559" s="14" t="s">
        <v>47</v>
      </c>
      <c r="AC559" t="b">
        <v>1</v>
      </c>
      <c r="AD559" s="14" t="s">
        <v>52</v>
      </c>
      <c r="AE559" s="14" t="s">
        <v>3209</v>
      </c>
      <c r="AF559" s="14" t="s">
        <v>3207</v>
      </c>
      <c r="AG559" s="14" t="s">
        <v>47</v>
      </c>
      <c r="AH559" s="14" t="s">
        <v>87</v>
      </c>
      <c r="AI559" s="2">
        <v>46160.752071759256</v>
      </c>
      <c r="AJ559" s="14" t="s">
        <v>47</v>
      </c>
      <c r="AK559" s="14" t="s">
        <v>47</v>
      </c>
      <c r="AL559" s="2">
        <v>46160.752071759256</v>
      </c>
      <c r="AM559" s="2">
        <v>46160.752071759256</v>
      </c>
    </row>
    <row r="560" spans="1:39" x14ac:dyDescent="0.3">
      <c r="A560" t="s">
        <v>3786</v>
      </c>
      <c r="B560" t="s">
        <v>3787</v>
      </c>
      <c r="C560" t="s">
        <v>41</v>
      </c>
      <c r="D560" t="s">
        <v>3788</v>
      </c>
      <c r="E560" t="s">
        <v>3789</v>
      </c>
      <c r="F560" t="s">
        <v>47</v>
      </c>
      <c r="G560" t="s">
        <v>47</v>
      </c>
      <c r="H560" t="s">
        <v>3790</v>
      </c>
      <c r="I560" t="s">
        <v>47</v>
      </c>
      <c r="J560" t="s">
        <v>47</v>
      </c>
      <c r="K560" t="s">
        <v>3791</v>
      </c>
      <c r="L560" t="s">
        <v>47</v>
      </c>
      <c r="M560" s="1">
        <v>46102</v>
      </c>
      <c r="N560" s="1">
        <v>46102</v>
      </c>
      <c r="O560" s="1">
        <v>46102</v>
      </c>
      <c r="P560" t="s">
        <v>3792</v>
      </c>
      <c r="Q560" t="s">
        <v>50</v>
      </c>
      <c r="R560">
        <v>4</v>
      </c>
      <c r="S560" t="b">
        <v>1</v>
      </c>
      <c r="T560" t="s">
        <v>47</v>
      </c>
      <c r="U560" t="s">
        <v>47</v>
      </c>
      <c r="V560" t="s">
        <v>47</v>
      </c>
      <c r="W560" t="s">
        <v>47</v>
      </c>
      <c r="X560" t="s">
        <v>51</v>
      </c>
      <c r="Y560" t="b">
        <v>0</v>
      </c>
      <c r="Z560" t="s">
        <v>47</v>
      </c>
      <c r="AA560" t="s">
        <v>47</v>
      </c>
      <c r="AB560" t="s">
        <v>47</v>
      </c>
      <c r="AC560" t="b">
        <v>1</v>
      </c>
      <c r="AD560" t="s">
        <v>52</v>
      </c>
      <c r="AE560" t="s">
        <v>3793</v>
      </c>
      <c r="AF560" t="s">
        <v>3788</v>
      </c>
      <c r="AG560" t="s">
        <v>3611</v>
      </c>
      <c r="AH560" t="s">
        <v>87</v>
      </c>
      <c r="AI560" s="2">
        <v>46160.775243055556</v>
      </c>
      <c r="AJ560" t="s">
        <v>47</v>
      </c>
      <c r="AK560" t="s">
        <v>47</v>
      </c>
      <c r="AL560" s="2">
        <v>46160.775243055556</v>
      </c>
      <c r="AM560" s="2">
        <v>46160.775243055556</v>
      </c>
    </row>
    <row r="561" spans="1:39" x14ac:dyDescent="0.3">
      <c r="A561" s="14" t="s">
        <v>3210</v>
      </c>
      <c r="B561" s="14" t="s">
        <v>3211</v>
      </c>
      <c r="C561" s="14" t="s">
        <v>41</v>
      </c>
      <c r="D561" s="14" t="s">
        <v>3212</v>
      </c>
      <c r="E561" s="14" t="s">
        <v>3213</v>
      </c>
      <c r="F561" s="14" t="s">
        <v>3136</v>
      </c>
      <c r="G561" s="14" t="s">
        <v>3137</v>
      </c>
      <c r="H561" s="14" t="s">
        <v>3138</v>
      </c>
      <c r="I561" s="14" t="s">
        <v>47</v>
      </c>
      <c r="J561" s="14" t="s">
        <v>47</v>
      </c>
      <c r="K561" s="14" t="s">
        <v>369</v>
      </c>
      <c r="L561" s="14" t="s">
        <v>47</v>
      </c>
      <c r="M561" s="1">
        <v>46102</v>
      </c>
      <c r="N561" s="1">
        <v>46102</v>
      </c>
      <c r="O561" s="1">
        <v>46102</v>
      </c>
      <c r="P561" s="14" t="s">
        <v>370</v>
      </c>
      <c r="Q561" s="14" t="s">
        <v>371</v>
      </c>
      <c r="R561">
        <v>5</v>
      </c>
      <c r="S561" t="b">
        <v>1</v>
      </c>
      <c r="T561" s="14" t="s">
        <v>47</v>
      </c>
      <c r="U561" s="14" t="s">
        <v>47</v>
      </c>
      <c r="V561" s="14" t="s">
        <v>47</v>
      </c>
      <c r="W561" s="14" t="s">
        <v>47</v>
      </c>
      <c r="X561" s="14" t="s">
        <v>51</v>
      </c>
      <c r="Y561" t="b">
        <v>0</v>
      </c>
      <c r="Z561" s="14" t="s">
        <v>47</v>
      </c>
      <c r="AA561" s="14" t="s">
        <v>47</v>
      </c>
      <c r="AB561" s="14" t="s">
        <v>47</v>
      </c>
      <c r="AC561" t="b">
        <v>1</v>
      </c>
      <c r="AD561" s="14" t="s">
        <v>52</v>
      </c>
      <c r="AE561" s="14" t="s">
        <v>3214</v>
      </c>
      <c r="AF561" s="14" t="s">
        <v>3212</v>
      </c>
      <c r="AG561" s="14" t="s">
        <v>47</v>
      </c>
      <c r="AH561" s="14" t="s">
        <v>87</v>
      </c>
      <c r="AI561" s="2">
        <v>46160.752071759256</v>
      </c>
      <c r="AJ561" s="14" t="s">
        <v>47</v>
      </c>
      <c r="AK561" s="14" t="s">
        <v>47</v>
      </c>
      <c r="AL561" s="2">
        <v>46160.752071759256</v>
      </c>
      <c r="AM561" s="2">
        <v>46160.752071759256</v>
      </c>
    </row>
    <row r="562" spans="1:39" x14ac:dyDescent="0.3">
      <c r="A562" s="14" t="s">
        <v>3581</v>
      </c>
      <c r="B562" s="14" t="s">
        <v>3582</v>
      </c>
      <c r="C562" s="14" t="s">
        <v>41</v>
      </c>
      <c r="D562" s="14" t="s">
        <v>3583</v>
      </c>
      <c r="E562" s="14" t="s">
        <v>3584</v>
      </c>
      <c r="F562" s="14" t="s">
        <v>1759</v>
      </c>
      <c r="G562" s="14" t="s">
        <v>1760</v>
      </c>
      <c r="H562" s="14" t="s">
        <v>1761</v>
      </c>
      <c r="I562" s="14" t="s">
        <v>47</v>
      </c>
      <c r="J562" s="14" t="s">
        <v>47</v>
      </c>
      <c r="K562" s="14" t="s">
        <v>1128</v>
      </c>
      <c r="L562" s="14" t="s">
        <v>47</v>
      </c>
      <c r="M562" s="1">
        <v>46104</v>
      </c>
      <c r="N562" s="1">
        <v>46104</v>
      </c>
      <c r="O562" s="1">
        <v>46104</v>
      </c>
      <c r="P562" s="14" t="s">
        <v>465</v>
      </c>
      <c r="Q562" s="14" t="s">
        <v>371</v>
      </c>
      <c r="R562">
        <v>4</v>
      </c>
      <c r="S562" t="b">
        <v>1</v>
      </c>
      <c r="T562" s="14" t="s">
        <v>47</v>
      </c>
      <c r="U562" s="14" t="s">
        <v>47</v>
      </c>
      <c r="V562" s="14" t="s">
        <v>47</v>
      </c>
      <c r="W562" s="14" t="s">
        <v>47</v>
      </c>
      <c r="X562" s="14" t="s">
        <v>51</v>
      </c>
      <c r="Y562" t="b">
        <v>0</v>
      </c>
      <c r="Z562" s="14" t="s">
        <v>47</v>
      </c>
      <c r="AA562" s="14" t="s">
        <v>47</v>
      </c>
      <c r="AB562" s="14" t="s">
        <v>47</v>
      </c>
      <c r="AC562" t="b">
        <v>1</v>
      </c>
      <c r="AD562" s="14" t="s">
        <v>52</v>
      </c>
      <c r="AE562" s="14" t="s">
        <v>3585</v>
      </c>
      <c r="AF562" s="14" t="s">
        <v>3583</v>
      </c>
      <c r="AG562" s="14" t="s">
        <v>47</v>
      </c>
      <c r="AH562" s="14" t="s">
        <v>87</v>
      </c>
      <c r="AI562" s="2">
        <v>46160.757951388892</v>
      </c>
      <c r="AJ562" s="14" t="s">
        <v>47</v>
      </c>
      <c r="AK562" s="14" t="s">
        <v>47</v>
      </c>
      <c r="AL562" s="2">
        <v>46160.757951388892</v>
      </c>
      <c r="AM562" s="2">
        <v>46160.757951388892</v>
      </c>
    </row>
    <row r="563" spans="1:39" x14ac:dyDescent="0.3">
      <c r="A563" s="14" t="s">
        <v>3398</v>
      </c>
      <c r="B563" s="14" t="s">
        <v>3399</v>
      </c>
      <c r="C563" s="14" t="s">
        <v>41</v>
      </c>
      <c r="D563" s="14" t="s">
        <v>3400</v>
      </c>
      <c r="E563" s="14" t="s">
        <v>3401</v>
      </c>
      <c r="F563" s="14" t="s">
        <v>3099</v>
      </c>
      <c r="G563" s="14" t="s">
        <v>3100</v>
      </c>
      <c r="H563" s="14" t="s">
        <v>3101</v>
      </c>
      <c r="I563" s="14" t="s">
        <v>47</v>
      </c>
      <c r="J563" s="14" t="s">
        <v>47</v>
      </c>
      <c r="K563" s="14" t="s">
        <v>47</v>
      </c>
      <c r="L563" s="14" t="s">
        <v>47</v>
      </c>
      <c r="M563" s="1">
        <v>46104</v>
      </c>
      <c r="N563" s="1">
        <v>46104</v>
      </c>
      <c r="O563" s="1">
        <v>46104</v>
      </c>
      <c r="P563" s="14" t="s">
        <v>183</v>
      </c>
      <c r="Q563" s="14" t="s">
        <v>184</v>
      </c>
      <c r="R563">
        <v>2</v>
      </c>
      <c r="S563" t="b">
        <v>0</v>
      </c>
      <c r="T563" s="14" t="s">
        <v>47</v>
      </c>
      <c r="U563" s="14" t="s">
        <v>47</v>
      </c>
      <c r="V563" s="14" t="s">
        <v>47</v>
      </c>
      <c r="W563" s="14" t="s">
        <v>47</v>
      </c>
      <c r="X563" s="14" t="s">
        <v>51</v>
      </c>
      <c r="Y563" t="b">
        <v>0</v>
      </c>
      <c r="Z563" s="14" t="s">
        <v>47</v>
      </c>
      <c r="AA563" s="14" t="s">
        <v>47</v>
      </c>
      <c r="AB563" s="14" t="s">
        <v>47</v>
      </c>
      <c r="AC563" t="b">
        <v>1</v>
      </c>
      <c r="AD563" s="14" t="s">
        <v>52</v>
      </c>
      <c r="AE563" s="14" t="s">
        <v>3402</v>
      </c>
      <c r="AF563" s="14" t="s">
        <v>3400</v>
      </c>
      <c r="AG563" s="14" t="s">
        <v>47</v>
      </c>
      <c r="AH563" s="14" t="s">
        <v>87</v>
      </c>
      <c r="AI563" s="2">
        <v>46160.757951388892</v>
      </c>
      <c r="AJ563" s="14" t="s">
        <v>47</v>
      </c>
      <c r="AK563" s="14" t="s">
        <v>47</v>
      </c>
      <c r="AL563" s="2">
        <v>46160.757951388892</v>
      </c>
      <c r="AM563" s="2">
        <v>46160.757951388892</v>
      </c>
    </row>
    <row r="564" spans="1:39" x14ac:dyDescent="0.3">
      <c r="A564" t="s">
        <v>3834</v>
      </c>
      <c r="B564" t="s">
        <v>3835</v>
      </c>
      <c r="C564" t="s">
        <v>41</v>
      </c>
      <c r="D564" t="s">
        <v>3836</v>
      </c>
      <c r="E564" t="s">
        <v>3837</v>
      </c>
      <c r="F564" t="s">
        <v>47</v>
      </c>
      <c r="G564" t="s">
        <v>47</v>
      </c>
      <c r="H564" t="s">
        <v>286</v>
      </c>
      <c r="I564" t="s">
        <v>47</v>
      </c>
      <c r="J564" t="s">
        <v>47</v>
      </c>
      <c r="K564" t="s">
        <v>287</v>
      </c>
      <c r="L564" t="s">
        <v>47</v>
      </c>
      <c r="M564" s="1">
        <v>46104</v>
      </c>
      <c r="N564" s="1">
        <v>46104</v>
      </c>
      <c r="O564" s="1">
        <v>46104</v>
      </c>
      <c r="P564" t="s">
        <v>288</v>
      </c>
      <c r="Q564" t="s">
        <v>237</v>
      </c>
      <c r="R564">
        <v>2</v>
      </c>
      <c r="S564" t="b">
        <v>0</v>
      </c>
      <c r="T564" t="s">
        <v>47</v>
      </c>
      <c r="U564" t="s">
        <v>47</v>
      </c>
      <c r="V564" t="s">
        <v>47</v>
      </c>
      <c r="W564" t="s">
        <v>47</v>
      </c>
      <c r="X564" t="s">
        <v>51</v>
      </c>
      <c r="Y564" t="b">
        <v>0</v>
      </c>
      <c r="Z564" t="s">
        <v>47</v>
      </c>
      <c r="AA564" t="s">
        <v>47</v>
      </c>
      <c r="AB564" t="s">
        <v>47</v>
      </c>
      <c r="AC564" t="b">
        <v>1</v>
      </c>
      <c r="AD564" t="s">
        <v>52</v>
      </c>
      <c r="AE564" t="s">
        <v>3838</v>
      </c>
      <c r="AF564" t="s">
        <v>3836</v>
      </c>
      <c r="AG564" t="s">
        <v>3611</v>
      </c>
      <c r="AH564" t="s">
        <v>87</v>
      </c>
      <c r="AI564" s="2">
        <v>46160.775243055556</v>
      </c>
      <c r="AJ564" t="s">
        <v>47</v>
      </c>
      <c r="AK564" t="s">
        <v>47</v>
      </c>
      <c r="AL564" s="2">
        <v>46160.775243055556</v>
      </c>
      <c r="AM564" s="2">
        <v>46160.775243055556</v>
      </c>
    </row>
    <row r="565" spans="1:39" x14ac:dyDescent="0.3">
      <c r="A565" t="s">
        <v>3799</v>
      </c>
      <c r="B565" t="s">
        <v>3800</v>
      </c>
      <c r="C565" t="s">
        <v>41</v>
      </c>
      <c r="D565" t="s">
        <v>3801</v>
      </c>
      <c r="E565" t="s">
        <v>3802</v>
      </c>
      <c r="F565" t="s">
        <v>47</v>
      </c>
      <c r="G565" t="s">
        <v>47</v>
      </c>
      <c r="H565" t="s">
        <v>85</v>
      </c>
      <c r="I565" t="s">
        <v>47</v>
      </c>
      <c r="J565" t="s">
        <v>47</v>
      </c>
      <c r="K565" t="s">
        <v>48</v>
      </c>
      <c r="L565" t="s">
        <v>47</v>
      </c>
      <c r="M565" s="1">
        <v>46104</v>
      </c>
      <c r="N565" s="1">
        <v>46104</v>
      </c>
      <c r="O565" s="1">
        <v>46104</v>
      </c>
      <c r="P565" t="s">
        <v>49</v>
      </c>
      <c r="Q565" t="s">
        <v>50</v>
      </c>
      <c r="R565">
        <v>2</v>
      </c>
      <c r="S565" t="b">
        <v>0</v>
      </c>
      <c r="T565" t="s">
        <v>47</v>
      </c>
      <c r="U565" t="s">
        <v>47</v>
      </c>
      <c r="V565" t="s">
        <v>47</v>
      </c>
      <c r="W565" t="s">
        <v>47</v>
      </c>
      <c r="X565" t="s">
        <v>51</v>
      </c>
      <c r="Y565" t="b">
        <v>0</v>
      </c>
      <c r="Z565" t="s">
        <v>47</v>
      </c>
      <c r="AA565" t="s">
        <v>47</v>
      </c>
      <c r="AB565" t="s">
        <v>47</v>
      </c>
      <c r="AC565" t="b">
        <v>1</v>
      </c>
      <c r="AD565" t="s">
        <v>52</v>
      </c>
      <c r="AE565" t="s">
        <v>3803</v>
      </c>
      <c r="AF565" t="s">
        <v>3801</v>
      </c>
      <c r="AG565" t="s">
        <v>3611</v>
      </c>
      <c r="AH565" t="s">
        <v>87</v>
      </c>
      <c r="AI565" s="2">
        <v>46160.775243055556</v>
      </c>
      <c r="AJ565" t="s">
        <v>47</v>
      </c>
      <c r="AK565" t="s">
        <v>47</v>
      </c>
      <c r="AL565" s="2">
        <v>46160.775243055556</v>
      </c>
      <c r="AM565" s="2">
        <v>46160.775243055556</v>
      </c>
    </row>
    <row r="566" spans="1:39" x14ac:dyDescent="0.3">
      <c r="A566" t="s">
        <v>3819</v>
      </c>
      <c r="B566" t="s">
        <v>3820</v>
      </c>
      <c r="C566" t="s">
        <v>41</v>
      </c>
      <c r="D566" t="s">
        <v>3821</v>
      </c>
      <c r="E566" t="s">
        <v>3822</v>
      </c>
      <c r="F566" t="s">
        <v>47</v>
      </c>
      <c r="G566" t="s">
        <v>47</v>
      </c>
      <c r="H566" t="s">
        <v>174</v>
      </c>
      <c r="I566" t="s">
        <v>47</v>
      </c>
      <c r="J566" t="s">
        <v>47</v>
      </c>
      <c r="K566" t="s">
        <v>130</v>
      </c>
      <c r="L566" t="s">
        <v>47</v>
      </c>
      <c r="M566" s="1">
        <v>46104</v>
      </c>
      <c r="N566" s="1">
        <v>46104</v>
      </c>
      <c r="O566" s="1">
        <v>46104</v>
      </c>
      <c r="P566" t="s">
        <v>49</v>
      </c>
      <c r="Q566" t="s">
        <v>50</v>
      </c>
      <c r="R566">
        <v>3</v>
      </c>
      <c r="S566" t="b">
        <v>1</v>
      </c>
      <c r="T566" t="s">
        <v>47</v>
      </c>
      <c r="U566" t="s">
        <v>47</v>
      </c>
      <c r="V566" t="s">
        <v>47</v>
      </c>
      <c r="W566" t="s">
        <v>47</v>
      </c>
      <c r="X566" t="s">
        <v>51</v>
      </c>
      <c r="Y566" t="b">
        <v>0</v>
      </c>
      <c r="Z566" t="s">
        <v>47</v>
      </c>
      <c r="AA566" t="s">
        <v>47</v>
      </c>
      <c r="AB566" t="s">
        <v>47</v>
      </c>
      <c r="AC566" t="b">
        <v>1</v>
      </c>
      <c r="AD566" t="s">
        <v>52</v>
      </c>
      <c r="AE566" t="s">
        <v>3823</v>
      </c>
      <c r="AF566" t="s">
        <v>3821</v>
      </c>
      <c r="AG566" t="s">
        <v>3611</v>
      </c>
      <c r="AH566" t="s">
        <v>87</v>
      </c>
      <c r="AI566" s="2">
        <v>46160.775243055556</v>
      </c>
      <c r="AJ566" t="s">
        <v>47</v>
      </c>
      <c r="AK566" t="s">
        <v>47</v>
      </c>
      <c r="AL566" s="2">
        <v>46160.775243055556</v>
      </c>
      <c r="AM566" s="2">
        <v>46160.775243055556</v>
      </c>
    </row>
    <row r="567" spans="1:39" x14ac:dyDescent="0.3">
      <c r="A567" s="14" t="s">
        <v>3403</v>
      </c>
      <c r="B567" s="14" t="s">
        <v>3404</v>
      </c>
      <c r="C567" s="14" t="s">
        <v>41</v>
      </c>
      <c r="D567" s="14" t="s">
        <v>3405</v>
      </c>
      <c r="E567" s="14" t="s">
        <v>3406</v>
      </c>
      <c r="F567" s="14" t="s">
        <v>349</v>
      </c>
      <c r="G567" s="14" t="s">
        <v>350</v>
      </c>
      <c r="H567" s="14" t="s">
        <v>351</v>
      </c>
      <c r="I567" s="14" t="s">
        <v>47</v>
      </c>
      <c r="J567" s="14" t="s">
        <v>47</v>
      </c>
      <c r="K567" s="14" t="s">
        <v>352</v>
      </c>
      <c r="L567" s="14" t="s">
        <v>47</v>
      </c>
      <c r="M567" s="1">
        <v>46105</v>
      </c>
      <c r="N567" s="1">
        <v>46105</v>
      </c>
      <c r="O567" s="1">
        <v>46105</v>
      </c>
      <c r="P567" s="14" t="s">
        <v>353</v>
      </c>
      <c r="Q567" s="14" t="s">
        <v>76</v>
      </c>
      <c r="R567">
        <v>4</v>
      </c>
      <c r="S567" t="b">
        <v>1</v>
      </c>
      <c r="T567" s="14" t="s">
        <v>47</v>
      </c>
      <c r="U567" s="14" t="s">
        <v>47</v>
      </c>
      <c r="V567" s="14" t="s">
        <v>47</v>
      </c>
      <c r="W567" s="14" t="s">
        <v>47</v>
      </c>
      <c r="X567" s="14" t="s">
        <v>51</v>
      </c>
      <c r="Y567" t="b">
        <v>0</v>
      </c>
      <c r="Z567" s="14" t="s">
        <v>47</v>
      </c>
      <c r="AA567" s="14" t="s">
        <v>47</v>
      </c>
      <c r="AB567" s="14" t="s">
        <v>47</v>
      </c>
      <c r="AC567" t="b">
        <v>1</v>
      </c>
      <c r="AD567" s="14" t="s">
        <v>52</v>
      </c>
      <c r="AE567" s="14" t="s">
        <v>3407</v>
      </c>
      <c r="AF567" s="14" t="s">
        <v>3405</v>
      </c>
      <c r="AG567" s="14" t="s">
        <v>47</v>
      </c>
      <c r="AH567" s="14" t="s">
        <v>87</v>
      </c>
      <c r="AI567" s="2">
        <v>46160.757951388892</v>
      </c>
      <c r="AJ567" s="14" t="s">
        <v>47</v>
      </c>
      <c r="AK567" s="14" t="s">
        <v>47</v>
      </c>
      <c r="AL567" s="2">
        <v>46160.757951388892</v>
      </c>
      <c r="AM567" s="2">
        <v>46160.757951388892</v>
      </c>
    </row>
    <row r="568" spans="1:39" x14ac:dyDescent="0.3">
      <c r="A568" s="14" t="s">
        <v>3215</v>
      </c>
      <c r="B568" s="14" t="s">
        <v>3216</v>
      </c>
      <c r="C568" s="14" t="s">
        <v>41</v>
      </c>
      <c r="D568" s="14" t="s">
        <v>3217</v>
      </c>
      <c r="E568" s="14" t="s">
        <v>3218</v>
      </c>
      <c r="F568" s="14" t="s">
        <v>83</v>
      </c>
      <c r="G568" s="14" t="s">
        <v>84</v>
      </c>
      <c r="H568" s="14" t="s">
        <v>85</v>
      </c>
      <c r="I568" s="14" t="s">
        <v>47</v>
      </c>
      <c r="J568" s="14" t="s">
        <v>47</v>
      </c>
      <c r="K568" s="14" t="s">
        <v>48</v>
      </c>
      <c r="L568" s="14" t="s">
        <v>47</v>
      </c>
      <c r="M568" s="1">
        <v>46105</v>
      </c>
      <c r="N568" s="1">
        <v>46105</v>
      </c>
      <c r="O568" s="1">
        <v>46105</v>
      </c>
      <c r="P568" s="14" t="s">
        <v>49</v>
      </c>
      <c r="Q568" s="14" t="s">
        <v>50</v>
      </c>
      <c r="R568">
        <v>2</v>
      </c>
      <c r="S568" t="b">
        <v>0</v>
      </c>
      <c r="T568" s="14" t="s">
        <v>47</v>
      </c>
      <c r="U568" s="14" t="s">
        <v>47</v>
      </c>
      <c r="V568" s="14" t="s">
        <v>47</v>
      </c>
      <c r="W568" s="14" t="s">
        <v>47</v>
      </c>
      <c r="X568" s="14" t="s">
        <v>51</v>
      </c>
      <c r="Y568" t="b">
        <v>0</v>
      </c>
      <c r="Z568" s="14" t="s">
        <v>47</v>
      </c>
      <c r="AA568" s="14" t="s">
        <v>47</v>
      </c>
      <c r="AB568" s="14" t="s">
        <v>47</v>
      </c>
      <c r="AC568" t="b">
        <v>1</v>
      </c>
      <c r="AD568" s="14" t="s">
        <v>52</v>
      </c>
      <c r="AE568" s="14" t="s">
        <v>3219</v>
      </c>
      <c r="AF568" s="14" t="s">
        <v>3217</v>
      </c>
      <c r="AG568" s="14" t="s">
        <v>47</v>
      </c>
      <c r="AH568" s="14" t="s">
        <v>87</v>
      </c>
      <c r="AI568" s="2">
        <v>46160.752071759256</v>
      </c>
      <c r="AJ568" s="14" t="s">
        <v>47</v>
      </c>
      <c r="AK568" s="14" t="s">
        <v>47</v>
      </c>
      <c r="AL568" s="2">
        <v>46160.752071759256</v>
      </c>
      <c r="AM568" s="2">
        <v>46160.752071759256</v>
      </c>
    </row>
    <row r="569" spans="1:39" x14ac:dyDescent="0.3">
      <c r="A569" s="14" t="s">
        <v>3220</v>
      </c>
      <c r="B569" s="14" t="s">
        <v>3221</v>
      </c>
      <c r="C569" s="14" t="s">
        <v>41</v>
      </c>
      <c r="D569" s="14" t="s">
        <v>3222</v>
      </c>
      <c r="E569" s="14" t="s">
        <v>3223</v>
      </c>
      <c r="F569" s="14" t="s">
        <v>3224</v>
      </c>
      <c r="G569" s="14" t="s">
        <v>3225</v>
      </c>
      <c r="H569" s="14" t="s">
        <v>3226</v>
      </c>
      <c r="I569" s="14" t="s">
        <v>47</v>
      </c>
      <c r="J569" s="14" t="s">
        <v>47</v>
      </c>
      <c r="K569" s="14" t="s">
        <v>47</v>
      </c>
      <c r="L569" s="14" t="s">
        <v>47</v>
      </c>
      <c r="M569" s="1">
        <v>46105</v>
      </c>
      <c r="N569" s="1">
        <v>46105</v>
      </c>
      <c r="O569" s="1">
        <v>46105</v>
      </c>
      <c r="P569" s="14" t="s">
        <v>1771</v>
      </c>
      <c r="Q569" s="14" t="s">
        <v>184</v>
      </c>
      <c r="R569">
        <v>2</v>
      </c>
      <c r="S569" t="b">
        <v>1</v>
      </c>
      <c r="T569" s="14" t="s">
        <v>47</v>
      </c>
      <c r="U569" s="14" t="s">
        <v>47</v>
      </c>
      <c r="V569" s="14" t="s">
        <v>47</v>
      </c>
      <c r="W569" s="14" t="s">
        <v>47</v>
      </c>
      <c r="X569" s="14" t="s">
        <v>51</v>
      </c>
      <c r="Y569" t="b">
        <v>0</v>
      </c>
      <c r="Z569" s="14" t="s">
        <v>47</v>
      </c>
      <c r="AA569" s="14" t="s">
        <v>47</v>
      </c>
      <c r="AB569" s="14" t="s">
        <v>47</v>
      </c>
      <c r="AC569" t="b">
        <v>1</v>
      </c>
      <c r="AD569" s="14" t="s">
        <v>52</v>
      </c>
      <c r="AE569" s="14" t="s">
        <v>3227</v>
      </c>
      <c r="AF569" s="14" t="s">
        <v>3222</v>
      </c>
      <c r="AG569" s="14" t="s">
        <v>47</v>
      </c>
      <c r="AH569" s="14" t="s">
        <v>87</v>
      </c>
      <c r="AI569" s="2">
        <v>46160.752071759256</v>
      </c>
      <c r="AJ569" s="14" t="s">
        <v>47</v>
      </c>
      <c r="AK569" s="14" t="s">
        <v>47</v>
      </c>
      <c r="AL569" s="2">
        <v>46160.752071759256</v>
      </c>
      <c r="AM569" s="2">
        <v>46160.752071759256</v>
      </c>
    </row>
    <row r="570" spans="1:39" x14ac:dyDescent="0.3">
      <c r="A570" t="s">
        <v>3854</v>
      </c>
      <c r="B570" t="s">
        <v>3855</v>
      </c>
      <c r="C570" t="s">
        <v>41</v>
      </c>
      <c r="D570" t="s">
        <v>3856</v>
      </c>
      <c r="E570" t="s">
        <v>3857</v>
      </c>
      <c r="F570" t="s">
        <v>47</v>
      </c>
      <c r="G570" t="s">
        <v>47</v>
      </c>
      <c r="H570" t="s">
        <v>3858</v>
      </c>
      <c r="I570" t="s">
        <v>47</v>
      </c>
      <c r="J570" t="s">
        <v>47</v>
      </c>
      <c r="K570" t="s">
        <v>3859</v>
      </c>
      <c r="L570" t="s">
        <v>47</v>
      </c>
      <c r="M570" s="1">
        <v>46107</v>
      </c>
      <c r="N570" s="1">
        <v>46107</v>
      </c>
      <c r="O570" s="1">
        <v>46107</v>
      </c>
      <c r="P570" t="s">
        <v>1771</v>
      </c>
      <c r="Q570" t="s">
        <v>371</v>
      </c>
      <c r="R570">
        <v>5</v>
      </c>
      <c r="S570" t="b">
        <v>1</v>
      </c>
      <c r="T570" t="s">
        <v>47</v>
      </c>
      <c r="U570" t="s">
        <v>47</v>
      </c>
      <c r="V570" t="s">
        <v>47</v>
      </c>
      <c r="W570" t="s">
        <v>47</v>
      </c>
      <c r="X570" t="s">
        <v>51</v>
      </c>
      <c r="Y570" t="b">
        <v>0</v>
      </c>
      <c r="Z570" t="s">
        <v>47</v>
      </c>
      <c r="AA570" t="s">
        <v>47</v>
      </c>
      <c r="AB570" t="s">
        <v>47</v>
      </c>
      <c r="AC570" t="b">
        <v>1</v>
      </c>
      <c r="AD570" t="s">
        <v>52</v>
      </c>
      <c r="AE570" t="s">
        <v>3860</v>
      </c>
      <c r="AF570" t="s">
        <v>3856</v>
      </c>
      <c r="AG570" t="s">
        <v>3611</v>
      </c>
      <c r="AH570" t="s">
        <v>87</v>
      </c>
      <c r="AI570" s="2">
        <v>46160.775243055556</v>
      </c>
      <c r="AJ570" t="s">
        <v>47</v>
      </c>
      <c r="AK570" t="s">
        <v>47</v>
      </c>
      <c r="AL570" s="2">
        <v>46160.775243055556</v>
      </c>
      <c r="AM570" s="2">
        <v>46160.775243055556</v>
      </c>
    </row>
    <row r="571" spans="1:39" x14ac:dyDescent="0.3">
      <c r="A571" s="14" t="s">
        <v>3586</v>
      </c>
      <c r="B571" s="14" t="s">
        <v>3587</v>
      </c>
      <c r="C571" s="14" t="s">
        <v>41</v>
      </c>
      <c r="D571" s="14" t="s">
        <v>3588</v>
      </c>
      <c r="E571" s="14" t="s">
        <v>3589</v>
      </c>
      <c r="F571" s="14" t="s">
        <v>172</v>
      </c>
      <c r="G571" s="14" t="s">
        <v>173</v>
      </c>
      <c r="H571" s="14" t="s">
        <v>174</v>
      </c>
      <c r="I571" s="14" t="s">
        <v>47</v>
      </c>
      <c r="J571" s="14" t="s">
        <v>47</v>
      </c>
      <c r="K571" s="14" t="s">
        <v>130</v>
      </c>
      <c r="L571" s="14" t="s">
        <v>47</v>
      </c>
      <c r="M571" s="1">
        <v>46107</v>
      </c>
      <c r="N571" s="1">
        <v>46107</v>
      </c>
      <c r="O571" s="1">
        <v>46107</v>
      </c>
      <c r="P571" s="14" t="s">
        <v>49</v>
      </c>
      <c r="Q571" s="14" t="s">
        <v>50</v>
      </c>
      <c r="R571">
        <v>3</v>
      </c>
      <c r="S571" t="b">
        <v>1</v>
      </c>
      <c r="T571" s="14" t="s">
        <v>47</v>
      </c>
      <c r="U571" s="14" t="s">
        <v>47</v>
      </c>
      <c r="V571" s="14" t="s">
        <v>47</v>
      </c>
      <c r="W571" s="14" t="s">
        <v>47</v>
      </c>
      <c r="X571" s="14" t="s">
        <v>51</v>
      </c>
      <c r="Y571" t="b">
        <v>0</v>
      </c>
      <c r="Z571" s="14" t="s">
        <v>47</v>
      </c>
      <c r="AA571" s="14" t="s">
        <v>47</v>
      </c>
      <c r="AB571" s="14" t="s">
        <v>47</v>
      </c>
      <c r="AC571" t="b">
        <v>1</v>
      </c>
      <c r="AD571" s="14" t="s">
        <v>52</v>
      </c>
      <c r="AE571" s="14" t="s">
        <v>3590</v>
      </c>
      <c r="AF571" s="14" t="s">
        <v>3588</v>
      </c>
      <c r="AG571" s="14" t="s">
        <v>47</v>
      </c>
      <c r="AH571" s="14" t="s">
        <v>87</v>
      </c>
      <c r="AI571" s="2">
        <v>46160.757951388892</v>
      </c>
      <c r="AJ571" s="14" t="s">
        <v>47</v>
      </c>
      <c r="AK571" s="14" t="s">
        <v>47</v>
      </c>
      <c r="AL571" s="2">
        <v>46160.757951388892</v>
      </c>
      <c r="AM571" s="2">
        <v>46160.757951388892</v>
      </c>
    </row>
    <row r="572" spans="1:39" x14ac:dyDescent="0.3">
      <c r="A572" s="14" t="s">
        <v>3408</v>
      </c>
      <c r="B572" s="14" t="s">
        <v>3409</v>
      </c>
      <c r="C572" s="14" t="s">
        <v>41</v>
      </c>
      <c r="D572" s="14" t="s">
        <v>3410</v>
      </c>
      <c r="E572" s="14" t="s">
        <v>3411</v>
      </c>
      <c r="F572" s="14" t="s">
        <v>3099</v>
      </c>
      <c r="G572" s="14" t="s">
        <v>3100</v>
      </c>
      <c r="H572" s="14" t="s">
        <v>3101</v>
      </c>
      <c r="I572" s="14" t="s">
        <v>47</v>
      </c>
      <c r="J572" s="14" t="s">
        <v>47</v>
      </c>
      <c r="K572" s="14" t="s">
        <v>47</v>
      </c>
      <c r="L572" s="14" t="s">
        <v>47</v>
      </c>
      <c r="M572" s="1">
        <v>46107</v>
      </c>
      <c r="N572" s="1">
        <v>46107</v>
      </c>
      <c r="O572" s="1">
        <v>46107</v>
      </c>
      <c r="P572" s="14" t="s">
        <v>183</v>
      </c>
      <c r="Q572" s="14" t="s">
        <v>184</v>
      </c>
      <c r="R572">
        <v>2</v>
      </c>
      <c r="S572" t="b">
        <v>0</v>
      </c>
      <c r="T572" s="14" t="s">
        <v>47</v>
      </c>
      <c r="U572" s="14" t="s">
        <v>47</v>
      </c>
      <c r="V572" s="14" t="s">
        <v>47</v>
      </c>
      <c r="W572" s="14" t="s">
        <v>47</v>
      </c>
      <c r="X572" s="14" t="s">
        <v>51</v>
      </c>
      <c r="Y572" t="b">
        <v>0</v>
      </c>
      <c r="Z572" s="14" t="s">
        <v>47</v>
      </c>
      <c r="AA572" s="14" t="s">
        <v>47</v>
      </c>
      <c r="AB572" s="14" t="s">
        <v>47</v>
      </c>
      <c r="AC572" t="b">
        <v>1</v>
      </c>
      <c r="AD572" s="14" t="s">
        <v>52</v>
      </c>
      <c r="AE572" s="14" t="s">
        <v>3412</v>
      </c>
      <c r="AF572" s="14" t="s">
        <v>3410</v>
      </c>
      <c r="AG572" s="14" t="s">
        <v>47</v>
      </c>
      <c r="AH572" s="14" t="s">
        <v>87</v>
      </c>
      <c r="AI572" s="2">
        <v>46160.757951388892</v>
      </c>
      <c r="AJ572" s="14" t="s">
        <v>47</v>
      </c>
      <c r="AK572" s="14" t="s">
        <v>47</v>
      </c>
      <c r="AL572" s="2">
        <v>46160.757951388892</v>
      </c>
      <c r="AM572" s="2">
        <v>46160.757951388892</v>
      </c>
    </row>
    <row r="573" spans="1:39" x14ac:dyDescent="0.3">
      <c r="A573" s="14" t="s">
        <v>3413</v>
      </c>
      <c r="B573" s="14" t="s">
        <v>3414</v>
      </c>
      <c r="C573" s="14" t="s">
        <v>41</v>
      </c>
      <c r="D573" s="14" t="s">
        <v>3415</v>
      </c>
      <c r="E573" s="14" t="s">
        <v>3416</v>
      </c>
      <c r="F573" s="14" t="s">
        <v>3076</v>
      </c>
      <c r="G573" s="14" t="s">
        <v>3077</v>
      </c>
      <c r="H573" s="14" t="s">
        <v>3078</v>
      </c>
      <c r="I573" s="14" t="s">
        <v>47</v>
      </c>
      <c r="J573" s="14" t="s">
        <v>47</v>
      </c>
      <c r="K573" s="14" t="s">
        <v>3079</v>
      </c>
      <c r="L573" s="14" t="s">
        <v>47</v>
      </c>
      <c r="M573" s="1">
        <v>46107</v>
      </c>
      <c r="N573" s="1">
        <v>46107</v>
      </c>
      <c r="O573" s="1">
        <v>46107</v>
      </c>
      <c r="P573" s="14" t="s">
        <v>64</v>
      </c>
      <c r="Q573" s="14" t="s">
        <v>50</v>
      </c>
      <c r="R573">
        <v>2</v>
      </c>
      <c r="S573" t="b">
        <v>0</v>
      </c>
      <c r="T573" s="14" t="s">
        <v>47</v>
      </c>
      <c r="U573" s="14" t="s">
        <v>47</v>
      </c>
      <c r="V573" s="14" t="s">
        <v>47</v>
      </c>
      <c r="W573" s="14" t="s">
        <v>47</v>
      </c>
      <c r="X573" s="14" t="s">
        <v>51</v>
      </c>
      <c r="Y573" t="b">
        <v>0</v>
      </c>
      <c r="Z573" s="14" t="s">
        <v>47</v>
      </c>
      <c r="AA573" s="14" t="s">
        <v>47</v>
      </c>
      <c r="AB573" s="14" t="s">
        <v>47</v>
      </c>
      <c r="AC573" t="b">
        <v>1</v>
      </c>
      <c r="AD573" s="14" t="s">
        <v>52</v>
      </c>
      <c r="AE573" s="14" t="s">
        <v>3417</v>
      </c>
      <c r="AF573" s="14" t="s">
        <v>3415</v>
      </c>
      <c r="AG573" s="14" t="s">
        <v>47</v>
      </c>
      <c r="AH573" s="14" t="s">
        <v>87</v>
      </c>
      <c r="AI573" s="2">
        <v>46160.757951388892</v>
      </c>
      <c r="AJ573" s="14" t="s">
        <v>47</v>
      </c>
      <c r="AK573" s="14" t="s">
        <v>47</v>
      </c>
      <c r="AL573" s="2">
        <v>46160.757951388892</v>
      </c>
      <c r="AM573" s="2">
        <v>46160.757951388892</v>
      </c>
    </row>
    <row r="574" spans="1:39" x14ac:dyDescent="0.3">
      <c r="A574" t="s">
        <v>3804</v>
      </c>
      <c r="B574" t="s">
        <v>3805</v>
      </c>
      <c r="C574" t="s">
        <v>41</v>
      </c>
      <c r="D574" t="s">
        <v>3806</v>
      </c>
      <c r="E574" t="s">
        <v>3807</v>
      </c>
      <c r="F574" t="s">
        <v>47</v>
      </c>
      <c r="G574" t="s">
        <v>47</v>
      </c>
      <c r="H574" t="s">
        <v>85</v>
      </c>
      <c r="I574" t="s">
        <v>47</v>
      </c>
      <c r="J574" t="s">
        <v>47</v>
      </c>
      <c r="K574" t="s">
        <v>48</v>
      </c>
      <c r="L574" t="s">
        <v>47</v>
      </c>
      <c r="M574" s="1">
        <v>46104</v>
      </c>
      <c r="N574" s="1">
        <v>46104</v>
      </c>
      <c r="O574" s="1">
        <v>46104</v>
      </c>
      <c r="P574" t="s">
        <v>49</v>
      </c>
      <c r="Q574" t="s">
        <v>50</v>
      </c>
      <c r="R574">
        <v>2</v>
      </c>
      <c r="S574" t="b">
        <v>0</v>
      </c>
      <c r="T574" t="s">
        <v>47</v>
      </c>
      <c r="U574" t="s">
        <v>47</v>
      </c>
      <c r="V574" t="s">
        <v>47</v>
      </c>
      <c r="W574" t="s">
        <v>47</v>
      </c>
      <c r="X574" t="s">
        <v>51</v>
      </c>
      <c r="Y574" t="b">
        <v>0</v>
      </c>
      <c r="Z574" t="s">
        <v>47</v>
      </c>
      <c r="AA574" t="s">
        <v>47</v>
      </c>
      <c r="AB574" t="s">
        <v>47</v>
      </c>
      <c r="AC574" t="b">
        <v>1</v>
      </c>
      <c r="AD574" t="s">
        <v>52</v>
      </c>
      <c r="AE574" t="s">
        <v>3808</v>
      </c>
      <c r="AF574" t="s">
        <v>3806</v>
      </c>
      <c r="AG574" t="s">
        <v>3611</v>
      </c>
      <c r="AH574" t="s">
        <v>87</v>
      </c>
      <c r="AI574" s="2">
        <v>46160.775243055556</v>
      </c>
      <c r="AJ574" t="s">
        <v>47</v>
      </c>
      <c r="AK574" t="s">
        <v>47</v>
      </c>
      <c r="AL574" s="2">
        <v>46160.775243055556</v>
      </c>
      <c r="AM574" s="2">
        <v>46160.775243055556</v>
      </c>
    </row>
    <row r="575" spans="1:39" x14ac:dyDescent="0.3">
      <c r="A575" s="14" t="s">
        <v>3418</v>
      </c>
      <c r="B575" s="14" t="s">
        <v>3419</v>
      </c>
      <c r="C575" s="14" t="s">
        <v>41</v>
      </c>
      <c r="D575" s="14" t="s">
        <v>3420</v>
      </c>
      <c r="E575" s="14" t="s">
        <v>3421</v>
      </c>
      <c r="F575" s="14" t="s">
        <v>172</v>
      </c>
      <c r="G575" s="14" t="s">
        <v>173</v>
      </c>
      <c r="H575" s="14" t="s">
        <v>174</v>
      </c>
      <c r="I575" s="14" t="s">
        <v>47</v>
      </c>
      <c r="J575" s="14" t="s">
        <v>47</v>
      </c>
      <c r="K575" s="14" t="s">
        <v>130</v>
      </c>
      <c r="L575" s="14" t="s">
        <v>47</v>
      </c>
      <c r="M575" s="1">
        <v>46107</v>
      </c>
      <c r="N575" s="1">
        <v>46107</v>
      </c>
      <c r="O575" s="1">
        <v>46107</v>
      </c>
      <c r="P575" s="14" t="s">
        <v>49</v>
      </c>
      <c r="Q575" s="14" t="s">
        <v>50</v>
      </c>
      <c r="R575">
        <v>3</v>
      </c>
      <c r="S575" t="b">
        <v>1</v>
      </c>
      <c r="T575" s="14" t="s">
        <v>47</v>
      </c>
      <c r="U575" s="14" t="s">
        <v>47</v>
      </c>
      <c r="V575" s="14" t="s">
        <v>47</v>
      </c>
      <c r="W575" s="14" t="s">
        <v>47</v>
      </c>
      <c r="X575" s="14" t="s">
        <v>51</v>
      </c>
      <c r="Y575" t="b">
        <v>0</v>
      </c>
      <c r="Z575" s="14" t="s">
        <v>47</v>
      </c>
      <c r="AA575" s="14" t="s">
        <v>47</v>
      </c>
      <c r="AB575" s="14" t="s">
        <v>47</v>
      </c>
      <c r="AC575" t="b">
        <v>1</v>
      </c>
      <c r="AD575" s="14" t="s">
        <v>52</v>
      </c>
      <c r="AE575" s="14" t="s">
        <v>3422</v>
      </c>
      <c r="AF575" s="14" t="s">
        <v>3420</v>
      </c>
      <c r="AG575" s="14" t="s">
        <v>47</v>
      </c>
      <c r="AH575" s="14" t="s">
        <v>87</v>
      </c>
      <c r="AI575" s="2">
        <v>46160.757951388892</v>
      </c>
      <c r="AJ575" s="14" t="s">
        <v>47</v>
      </c>
      <c r="AK575" s="14" t="s">
        <v>47</v>
      </c>
      <c r="AL575" s="2">
        <v>46160.757951388892</v>
      </c>
      <c r="AM575" s="2">
        <v>46160.757951388892</v>
      </c>
    </row>
    <row r="576" spans="1:39" x14ac:dyDescent="0.3">
      <c r="A576" s="14" t="s">
        <v>3423</v>
      </c>
      <c r="B576" s="14" t="s">
        <v>3424</v>
      </c>
      <c r="C576" s="14" t="s">
        <v>41</v>
      </c>
      <c r="D576" s="14" t="s">
        <v>3425</v>
      </c>
      <c r="E576" s="14" t="s">
        <v>3426</v>
      </c>
      <c r="F576" s="14" t="s">
        <v>3099</v>
      </c>
      <c r="G576" s="14" t="s">
        <v>3100</v>
      </c>
      <c r="H576" s="14" t="s">
        <v>3101</v>
      </c>
      <c r="I576" s="14" t="s">
        <v>47</v>
      </c>
      <c r="J576" s="14" t="s">
        <v>47</v>
      </c>
      <c r="K576" s="14" t="s">
        <v>47</v>
      </c>
      <c r="L576" s="14" t="s">
        <v>47</v>
      </c>
      <c r="M576" s="1">
        <v>46107</v>
      </c>
      <c r="N576" s="1">
        <v>46107</v>
      </c>
      <c r="O576" s="1">
        <v>46107</v>
      </c>
      <c r="P576" s="14" t="s">
        <v>183</v>
      </c>
      <c r="Q576" s="14" t="s">
        <v>184</v>
      </c>
      <c r="R576">
        <v>2</v>
      </c>
      <c r="S576" t="b">
        <v>0</v>
      </c>
      <c r="T576" s="14" t="s">
        <v>47</v>
      </c>
      <c r="U576" s="14" t="s">
        <v>47</v>
      </c>
      <c r="V576" s="14" t="s">
        <v>47</v>
      </c>
      <c r="W576" s="14" t="s">
        <v>47</v>
      </c>
      <c r="X576" s="14" t="s">
        <v>51</v>
      </c>
      <c r="Y576" t="b">
        <v>0</v>
      </c>
      <c r="Z576" s="14" t="s">
        <v>47</v>
      </c>
      <c r="AA576" s="14" t="s">
        <v>47</v>
      </c>
      <c r="AB576" s="14" t="s">
        <v>47</v>
      </c>
      <c r="AC576" t="b">
        <v>1</v>
      </c>
      <c r="AD576" s="14" t="s">
        <v>52</v>
      </c>
      <c r="AE576" s="14" t="s">
        <v>3427</v>
      </c>
      <c r="AF576" s="14" t="s">
        <v>3425</v>
      </c>
      <c r="AG576" s="14" t="s">
        <v>47</v>
      </c>
      <c r="AH576" s="14" t="s">
        <v>87</v>
      </c>
      <c r="AI576" s="2">
        <v>46160.757951388892</v>
      </c>
      <c r="AJ576" s="14" t="s">
        <v>47</v>
      </c>
      <c r="AK576" s="14" t="s">
        <v>47</v>
      </c>
      <c r="AL576" s="2">
        <v>46160.757951388892</v>
      </c>
      <c r="AM576" s="2">
        <v>46160.757951388892</v>
      </c>
    </row>
    <row r="577" spans="1:39" x14ac:dyDescent="0.3">
      <c r="A577" s="14" t="s">
        <v>3428</v>
      </c>
      <c r="B577" s="14" t="s">
        <v>3429</v>
      </c>
      <c r="C577" s="14" t="s">
        <v>41</v>
      </c>
      <c r="D577" s="14" t="s">
        <v>3430</v>
      </c>
      <c r="E577" s="14" t="s">
        <v>3431</v>
      </c>
      <c r="F577" s="14" t="s">
        <v>3099</v>
      </c>
      <c r="G577" s="14" t="s">
        <v>3100</v>
      </c>
      <c r="H577" s="14" t="s">
        <v>3101</v>
      </c>
      <c r="I577" s="14" t="s">
        <v>47</v>
      </c>
      <c r="J577" s="14" t="s">
        <v>47</v>
      </c>
      <c r="K577" s="14" t="s">
        <v>47</v>
      </c>
      <c r="L577" s="14" t="s">
        <v>47</v>
      </c>
      <c r="M577" s="1">
        <v>46108</v>
      </c>
      <c r="N577" s="1">
        <v>46108</v>
      </c>
      <c r="O577" s="1">
        <v>46108</v>
      </c>
      <c r="P577" s="14" t="s">
        <v>183</v>
      </c>
      <c r="Q577" s="14" t="s">
        <v>184</v>
      </c>
      <c r="R577">
        <v>2</v>
      </c>
      <c r="S577" t="b">
        <v>0</v>
      </c>
      <c r="T577" s="14" t="s">
        <v>47</v>
      </c>
      <c r="U577" s="14" t="s">
        <v>47</v>
      </c>
      <c r="V577" s="14" t="s">
        <v>47</v>
      </c>
      <c r="W577" s="14" t="s">
        <v>47</v>
      </c>
      <c r="X577" s="14" t="s">
        <v>51</v>
      </c>
      <c r="Y577" t="b">
        <v>0</v>
      </c>
      <c r="Z577" s="14" t="s">
        <v>47</v>
      </c>
      <c r="AA577" s="14" t="s">
        <v>47</v>
      </c>
      <c r="AB577" s="14" t="s">
        <v>47</v>
      </c>
      <c r="AC577" t="b">
        <v>1</v>
      </c>
      <c r="AD577" s="14" t="s">
        <v>52</v>
      </c>
      <c r="AE577" s="14" t="s">
        <v>3432</v>
      </c>
      <c r="AF577" s="14" t="s">
        <v>3430</v>
      </c>
      <c r="AG577" s="14" t="s">
        <v>47</v>
      </c>
      <c r="AH577" s="14" t="s">
        <v>87</v>
      </c>
      <c r="AI577" s="2">
        <v>46160.757951388892</v>
      </c>
      <c r="AJ577" s="14" t="s">
        <v>47</v>
      </c>
      <c r="AK577" s="14" t="s">
        <v>47</v>
      </c>
      <c r="AL577" s="2">
        <v>46160.757951388892</v>
      </c>
      <c r="AM577" s="2">
        <v>46160.757951388892</v>
      </c>
    </row>
    <row r="578" spans="1:39" x14ac:dyDescent="0.3">
      <c r="A578" s="14" t="s">
        <v>3228</v>
      </c>
      <c r="B578" s="14" t="s">
        <v>3229</v>
      </c>
      <c r="C578" s="14" t="s">
        <v>41</v>
      </c>
      <c r="D578" s="14" t="s">
        <v>3230</v>
      </c>
      <c r="E578" s="14" t="s">
        <v>3231</v>
      </c>
      <c r="F578" s="14" t="s">
        <v>172</v>
      </c>
      <c r="G578" s="14" t="s">
        <v>173</v>
      </c>
      <c r="H578" s="14" t="s">
        <v>174</v>
      </c>
      <c r="I578" s="14" t="s">
        <v>47</v>
      </c>
      <c r="J578" s="14" t="s">
        <v>47</v>
      </c>
      <c r="K578" s="14" t="s">
        <v>130</v>
      </c>
      <c r="L578" s="14" t="s">
        <v>47</v>
      </c>
      <c r="M578" s="1">
        <v>46108</v>
      </c>
      <c r="N578" s="1">
        <v>46108</v>
      </c>
      <c r="O578" s="1">
        <v>46108</v>
      </c>
      <c r="P578" s="14" t="s">
        <v>49</v>
      </c>
      <c r="Q578" s="14" t="s">
        <v>50</v>
      </c>
      <c r="R578">
        <v>3</v>
      </c>
      <c r="S578" t="b">
        <v>1</v>
      </c>
      <c r="T578" s="14" t="s">
        <v>47</v>
      </c>
      <c r="U578" s="14" t="s">
        <v>47</v>
      </c>
      <c r="V578" s="14" t="s">
        <v>47</v>
      </c>
      <c r="W578" s="14" t="s">
        <v>47</v>
      </c>
      <c r="X578" s="14" t="s">
        <v>51</v>
      </c>
      <c r="Y578" t="b">
        <v>0</v>
      </c>
      <c r="Z578" s="14" t="s">
        <v>47</v>
      </c>
      <c r="AA578" s="14" t="s">
        <v>47</v>
      </c>
      <c r="AB578" s="14" t="s">
        <v>47</v>
      </c>
      <c r="AC578" t="b">
        <v>1</v>
      </c>
      <c r="AD578" s="14" t="s">
        <v>52</v>
      </c>
      <c r="AE578" s="14" t="s">
        <v>3232</v>
      </c>
      <c r="AF578" s="14" t="s">
        <v>3230</v>
      </c>
      <c r="AG578" s="14" t="s">
        <v>47</v>
      </c>
      <c r="AH578" s="14" t="s">
        <v>87</v>
      </c>
      <c r="AI578" s="2">
        <v>46160.752071759256</v>
      </c>
      <c r="AJ578" s="14" t="s">
        <v>47</v>
      </c>
      <c r="AK578" s="14" t="s">
        <v>47</v>
      </c>
      <c r="AL578" s="2">
        <v>46160.752071759256</v>
      </c>
      <c r="AM578" s="2">
        <v>46160.752071759256</v>
      </c>
    </row>
    <row r="579" spans="1:39" x14ac:dyDescent="0.3">
      <c r="A579" s="14" t="s">
        <v>3233</v>
      </c>
      <c r="B579" s="14" t="s">
        <v>3234</v>
      </c>
      <c r="C579" s="14" t="s">
        <v>41</v>
      </c>
      <c r="D579" s="14" t="s">
        <v>3235</v>
      </c>
      <c r="E579" s="14" t="s">
        <v>3236</v>
      </c>
      <c r="F579" s="14" t="s">
        <v>3099</v>
      </c>
      <c r="G579" s="14" t="s">
        <v>3100</v>
      </c>
      <c r="H579" s="14" t="s">
        <v>3101</v>
      </c>
      <c r="I579" s="14" t="s">
        <v>47</v>
      </c>
      <c r="J579" s="14" t="s">
        <v>47</v>
      </c>
      <c r="K579" s="14" t="s">
        <v>47</v>
      </c>
      <c r="L579" s="14" t="s">
        <v>47</v>
      </c>
      <c r="M579" s="1">
        <v>46108</v>
      </c>
      <c r="N579" s="1">
        <v>46108</v>
      </c>
      <c r="O579" s="1">
        <v>46108</v>
      </c>
      <c r="P579" s="14" t="s">
        <v>183</v>
      </c>
      <c r="Q579" s="14" t="s">
        <v>184</v>
      </c>
      <c r="R579">
        <v>2</v>
      </c>
      <c r="S579" t="b">
        <v>0</v>
      </c>
      <c r="T579" s="14" t="s">
        <v>47</v>
      </c>
      <c r="U579" s="14" t="s">
        <v>47</v>
      </c>
      <c r="V579" s="14" t="s">
        <v>47</v>
      </c>
      <c r="W579" s="14" t="s">
        <v>47</v>
      </c>
      <c r="X579" s="14" t="s">
        <v>51</v>
      </c>
      <c r="Y579" t="b">
        <v>0</v>
      </c>
      <c r="Z579" s="14" t="s">
        <v>47</v>
      </c>
      <c r="AA579" s="14" t="s">
        <v>47</v>
      </c>
      <c r="AB579" s="14" t="s">
        <v>47</v>
      </c>
      <c r="AC579" t="b">
        <v>1</v>
      </c>
      <c r="AD579" s="14" t="s">
        <v>52</v>
      </c>
      <c r="AE579" s="14" t="s">
        <v>3237</v>
      </c>
      <c r="AF579" s="14" t="s">
        <v>3235</v>
      </c>
      <c r="AG579" s="14" t="s">
        <v>47</v>
      </c>
      <c r="AH579" s="14" t="s">
        <v>87</v>
      </c>
      <c r="AI579" s="2">
        <v>46160.752071759256</v>
      </c>
      <c r="AJ579" s="14" t="s">
        <v>47</v>
      </c>
      <c r="AK579" s="14" t="s">
        <v>47</v>
      </c>
      <c r="AL579" s="2">
        <v>46160.752071759256</v>
      </c>
      <c r="AM579" s="2">
        <v>46160.752071759256</v>
      </c>
    </row>
    <row r="580" spans="1:39" x14ac:dyDescent="0.3">
      <c r="A580" s="14" t="s">
        <v>3433</v>
      </c>
      <c r="B580" s="14" t="s">
        <v>3434</v>
      </c>
      <c r="C580" s="14" t="s">
        <v>41</v>
      </c>
      <c r="D580" s="14" t="s">
        <v>3435</v>
      </c>
      <c r="E580" s="14" t="s">
        <v>3436</v>
      </c>
      <c r="F580" s="14" t="s">
        <v>172</v>
      </c>
      <c r="G580" s="14" t="s">
        <v>173</v>
      </c>
      <c r="H580" s="14" t="s">
        <v>174</v>
      </c>
      <c r="I580" s="14" t="s">
        <v>47</v>
      </c>
      <c r="J580" s="14" t="s">
        <v>47</v>
      </c>
      <c r="K580" s="14" t="s">
        <v>130</v>
      </c>
      <c r="L580" s="14" t="s">
        <v>47</v>
      </c>
      <c r="M580" s="1">
        <v>46108</v>
      </c>
      <c r="N580" s="1">
        <v>46108</v>
      </c>
      <c r="O580" s="1">
        <v>46108</v>
      </c>
      <c r="P580" s="14" t="s">
        <v>49</v>
      </c>
      <c r="Q580" s="14" t="s">
        <v>50</v>
      </c>
      <c r="R580">
        <v>3</v>
      </c>
      <c r="S580" t="b">
        <v>1</v>
      </c>
      <c r="T580" s="14" t="s">
        <v>47</v>
      </c>
      <c r="U580" s="14" t="s">
        <v>47</v>
      </c>
      <c r="V580" s="14" t="s">
        <v>47</v>
      </c>
      <c r="W580" s="14" t="s">
        <v>47</v>
      </c>
      <c r="X580" s="14" t="s">
        <v>51</v>
      </c>
      <c r="Y580" t="b">
        <v>0</v>
      </c>
      <c r="Z580" s="14" t="s">
        <v>47</v>
      </c>
      <c r="AA580" s="14" t="s">
        <v>47</v>
      </c>
      <c r="AB580" s="14" t="s">
        <v>47</v>
      </c>
      <c r="AC580" t="b">
        <v>1</v>
      </c>
      <c r="AD580" s="14" t="s">
        <v>52</v>
      </c>
      <c r="AE580" s="14" t="s">
        <v>3437</v>
      </c>
      <c r="AF580" s="14" t="s">
        <v>3435</v>
      </c>
      <c r="AG580" s="14" t="s">
        <v>47</v>
      </c>
      <c r="AH580" s="14" t="s">
        <v>87</v>
      </c>
      <c r="AI580" s="2">
        <v>46160.757951388892</v>
      </c>
      <c r="AJ580" s="14" t="s">
        <v>47</v>
      </c>
      <c r="AK580" s="14" t="s">
        <v>47</v>
      </c>
      <c r="AL580" s="2">
        <v>46160.757951388892</v>
      </c>
      <c r="AM580" s="2">
        <v>46160.757951388892</v>
      </c>
    </row>
    <row r="581" spans="1:39" x14ac:dyDescent="0.3">
      <c r="A581" s="14" t="s">
        <v>3438</v>
      </c>
      <c r="B581" s="14" t="s">
        <v>3439</v>
      </c>
      <c r="C581" s="14" t="s">
        <v>41</v>
      </c>
      <c r="D581" s="14" t="s">
        <v>3440</v>
      </c>
      <c r="E581" s="14" t="s">
        <v>3441</v>
      </c>
      <c r="F581" s="14" t="s">
        <v>172</v>
      </c>
      <c r="G581" s="14" t="s">
        <v>173</v>
      </c>
      <c r="H581" s="14" t="s">
        <v>174</v>
      </c>
      <c r="I581" s="14" t="s">
        <v>47</v>
      </c>
      <c r="J581" s="14" t="s">
        <v>47</v>
      </c>
      <c r="K581" s="14" t="s">
        <v>130</v>
      </c>
      <c r="L581" s="14" t="s">
        <v>47</v>
      </c>
      <c r="M581" s="1">
        <v>46108</v>
      </c>
      <c r="N581" s="1">
        <v>46108</v>
      </c>
      <c r="O581" s="1">
        <v>46108</v>
      </c>
      <c r="P581" s="14" t="s">
        <v>49</v>
      </c>
      <c r="Q581" s="14" t="s">
        <v>50</v>
      </c>
      <c r="R581">
        <v>3</v>
      </c>
      <c r="S581" t="b">
        <v>1</v>
      </c>
      <c r="T581" s="14" t="s">
        <v>47</v>
      </c>
      <c r="U581" s="14" t="s">
        <v>47</v>
      </c>
      <c r="V581" s="14" t="s">
        <v>47</v>
      </c>
      <c r="W581" s="14" t="s">
        <v>47</v>
      </c>
      <c r="X581" s="14" t="s">
        <v>51</v>
      </c>
      <c r="Y581" t="b">
        <v>0</v>
      </c>
      <c r="Z581" s="14" t="s">
        <v>47</v>
      </c>
      <c r="AA581" s="14" t="s">
        <v>47</v>
      </c>
      <c r="AB581" s="14" t="s">
        <v>47</v>
      </c>
      <c r="AC581" t="b">
        <v>1</v>
      </c>
      <c r="AD581" s="14" t="s">
        <v>52</v>
      </c>
      <c r="AE581" s="14" t="s">
        <v>3442</v>
      </c>
      <c r="AF581" s="14" t="s">
        <v>3440</v>
      </c>
      <c r="AG581" s="14" t="s">
        <v>47</v>
      </c>
      <c r="AH581" s="14" t="s">
        <v>87</v>
      </c>
      <c r="AI581" s="2">
        <v>46160.757951388892</v>
      </c>
      <c r="AJ581" s="14" t="s">
        <v>47</v>
      </c>
      <c r="AK581" s="14" t="s">
        <v>47</v>
      </c>
      <c r="AL581" s="2">
        <v>46160.757951388892</v>
      </c>
      <c r="AM581" s="2">
        <v>46160.757951388892</v>
      </c>
    </row>
    <row r="582" spans="1:39" x14ac:dyDescent="0.3">
      <c r="A582" s="14" t="s">
        <v>3443</v>
      </c>
      <c r="B582" s="14" t="s">
        <v>3444</v>
      </c>
      <c r="C582" s="14" t="s">
        <v>41</v>
      </c>
      <c r="D582" s="14" t="s">
        <v>3445</v>
      </c>
      <c r="E582" s="14" t="s">
        <v>3446</v>
      </c>
      <c r="F582" s="14" t="s">
        <v>1759</v>
      </c>
      <c r="G582" s="14" t="s">
        <v>1760</v>
      </c>
      <c r="H582" s="14" t="s">
        <v>1761</v>
      </c>
      <c r="I582" s="14" t="s">
        <v>47</v>
      </c>
      <c r="J582" s="14" t="s">
        <v>47</v>
      </c>
      <c r="K582" s="14" t="s">
        <v>1128</v>
      </c>
      <c r="L582" s="14" t="s">
        <v>47</v>
      </c>
      <c r="M582" s="1">
        <v>46108</v>
      </c>
      <c r="N582" s="1">
        <v>46108</v>
      </c>
      <c r="O582" s="1">
        <v>46108</v>
      </c>
      <c r="P582" s="14" t="s">
        <v>465</v>
      </c>
      <c r="Q582" s="14" t="s">
        <v>371</v>
      </c>
      <c r="R582">
        <v>4</v>
      </c>
      <c r="S582" t="b">
        <v>1</v>
      </c>
      <c r="T582" s="14" t="s">
        <v>47</v>
      </c>
      <c r="U582" s="14" t="s">
        <v>47</v>
      </c>
      <c r="V582" s="14" t="s">
        <v>47</v>
      </c>
      <c r="W582" s="14" t="s">
        <v>47</v>
      </c>
      <c r="X582" s="14" t="s">
        <v>51</v>
      </c>
      <c r="Y582" t="b">
        <v>0</v>
      </c>
      <c r="Z582" s="14" t="s">
        <v>47</v>
      </c>
      <c r="AA582" s="14" t="s">
        <v>47</v>
      </c>
      <c r="AB582" s="14" t="s">
        <v>47</v>
      </c>
      <c r="AC582" t="b">
        <v>1</v>
      </c>
      <c r="AD582" s="14" t="s">
        <v>52</v>
      </c>
      <c r="AE582" s="14" t="s">
        <v>3447</v>
      </c>
      <c r="AF582" s="14" t="s">
        <v>3445</v>
      </c>
      <c r="AG582" s="14" t="s">
        <v>47</v>
      </c>
      <c r="AH582" s="14" t="s">
        <v>87</v>
      </c>
      <c r="AI582" s="2">
        <v>46160.757951388892</v>
      </c>
      <c r="AJ582" s="14" t="s">
        <v>47</v>
      </c>
      <c r="AK582" s="14" t="s">
        <v>47</v>
      </c>
      <c r="AL582" s="2">
        <v>46160.757951388892</v>
      </c>
      <c r="AM582" s="2">
        <v>46160.757951388892</v>
      </c>
    </row>
    <row r="583" spans="1:39" x14ac:dyDescent="0.3">
      <c r="A583" s="14" t="s">
        <v>3448</v>
      </c>
      <c r="B583" s="14" t="s">
        <v>3449</v>
      </c>
      <c r="C583" s="14" t="s">
        <v>41</v>
      </c>
      <c r="D583" s="14" t="s">
        <v>3450</v>
      </c>
      <c r="E583" s="14" t="s">
        <v>3451</v>
      </c>
      <c r="F583" s="14" t="s">
        <v>3099</v>
      </c>
      <c r="G583" s="14" t="s">
        <v>3100</v>
      </c>
      <c r="H583" s="14" t="s">
        <v>3101</v>
      </c>
      <c r="I583" s="14" t="s">
        <v>47</v>
      </c>
      <c r="J583" s="14" t="s">
        <v>47</v>
      </c>
      <c r="K583" s="14" t="s">
        <v>47</v>
      </c>
      <c r="L583" s="14" t="s">
        <v>47</v>
      </c>
      <c r="M583" s="1">
        <v>46108</v>
      </c>
      <c r="N583" s="1">
        <v>46108</v>
      </c>
      <c r="O583" s="1">
        <v>46108</v>
      </c>
      <c r="P583" s="14" t="s">
        <v>183</v>
      </c>
      <c r="Q583" s="14" t="s">
        <v>184</v>
      </c>
      <c r="R583">
        <v>2</v>
      </c>
      <c r="S583" t="b">
        <v>0</v>
      </c>
      <c r="T583" s="14" t="s">
        <v>47</v>
      </c>
      <c r="U583" s="14" t="s">
        <v>47</v>
      </c>
      <c r="V583" s="14" t="s">
        <v>47</v>
      </c>
      <c r="W583" s="14" t="s">
        <v>47</v>
      </c>
      <c r="X583" s="14" t="s">
        <v>51</v>
      </c>
      <c r="Y583" t="b">
        <v>0</v>
      </c>
      <c r="Z583" s="14" t="s">
        <v>47</v>
      </c>
      <c r="AA583" s="14" t="s">
        <v>47</v>
      </c>
      <c r="AB583" s="14" t="s">
        <v>47</v>
      </c>
      <c r="AC583" t="b">
        <v>1</v>
      </c>
      <c r="AD583" s="14" t="s">
        <v>52</v>
      </c>
      <c r="AE583" s="14" t="s">
        <v>3452</v>
      </c>
      <c r="AF583" s="14" t="s">
        <v>3450</v>
      </c>
      <c r="AG583" s="14" t="s">
        <v>47</v>
      </c>
      <c r="AH583" s="14" t="s">
        <v>87</v>
      </c>
      <c r="AI583" s="2">
        <v>46160.757951388892</v>
      </c>
      <c r="AJ583" s="14" t="s">
        <v>47</v>
      </c>
      <c r="AK583" s="14" t="s">
        <v>47</v>
      </c>
      <c r="AL583" s="2">
        <v>46160.757951388892</v>
      </c>
      <c r="AM583" s="2">
        <v>46160.757951388892</v>
      </c>
    </row>
    <row r="584" spans="1:39" x14ac:dyDescent="0.3">
      <c r="A584" t="s">
        <v>3751</v>
      </c>
      <c r="B584" t="s">
        <v>3752</v>
      </c>
      <c r="C584" t="s">
        <v>41</v>
      </c>
      <c r="D584" t="s">
        <v>3753</v>
      </c>
      <c r="E584" t="s">
        <v>3754</v>
      </c>
      <c r="F584" t="s">
        <v>47</v>
      </c>
      <c r="G584" t="s">
        <v>47</v>
      </c>
      <c r="H584" t="s">
        <v>720</v>
      </c>
      <c r="I584" t="s">
        <v>47</v>
      </c>
      <c r="J584" t="s">
        <v>47</v>
      </c>
      <c r="K584" t="s">
        <v>721</v>
      </c>
      <c r="L584" t="s">
        <v>47</v>
      </c>
      <c r="M584" s="1">
        <v>46108</v>
      </c>
      <c r="N584" s="1">
        <v>46108</v>
      </c>
      <c r="O584" s="1">
        <v>46108</v>
      </c>
      <c r="P584" t="s">
        <v>722</v>
      </c>
      <c r="Q584" t="s">
        <v>50</v>
      </c>
      <c r="R584">
        <v>3</v>
      </c>
      <c r="S584" t="b">
        <v>1</v>
      </c>
      <c r="T584" t="s">
        <v>47</v>
      </c>
      <c r="U584" t="s">
        <v>47</v>
      </c>
      <c r="V584" t="s">
        <v>47</v>
      </c>
      <c r="W584" t="s">
        <v>47</v>
      </c>
      <c r="X584" t="s">
        <v>51</v>
      </c>
      <c r="Y584" t="b">
        <v>0</v>
      </c>
      <c r="Z584" t="s">
        <v>47</v>
      </c>
      <c r="AA584" t="s">
        <v>47</v>
      </c>
      <c r="AB584" t="s">
        <v>47</v>
      </c>
      <c r="AC584" t="b">
        <v>1</v>
      </c>
      <c r="AD584" t="s">
        <v>52</v>
      </c>
      <c r="AE584" t="s">
        <v>3755</v>
      </c>
      <c r="AF584" t="s">
        <v>3753</v>
      </c>
      <c r="AG584" t="s">
        <v>3611</v>
      </c>
      <c r="AH584" t="s">
        <v>87</v>
      </c>
      <c r="AI584" s="2">
        <v>46160.775243055556</v>
      </c>
      <c r="AJ584" t="s">
        <v>47</v>
      </c>
      <c r="AK584" t="s">
        <v>47</v>
      </c>
      <c r="AL584" s="2">
        <v>46160.775243055556</v>
      </c>
      <c r="AM584" s="2">
        <v>46160.775243055556</v>
      </c>
    </row>
    <row r="585" spans="1:39" x14ac:dyDescent="0.3">
      <c r="A585" s="14" t="s">
        <v>3238</v>
      </c>
      <c r="B585" s="14" t="s">
        <v>3239</v>
      </c>
      <c r="C585" s="14" t="s">
        <v>41</v>
      </c>
      <c r="D585" s="14" t="s">
        <v>3240</v>
      </c>
      <c r="E585" s="14" t="s">
        <v>3241</v>
      </c>
      <c r="F585" s="14" t="s">
        <v>3242</v>
      </c>
      <c r="G585" s="14" t="s">
        <v>3243</v>
      </c>
      <c r="H585" s="14" t="s">
        <v>3244</v>
      </c>
      <c r="I585" s="14" t="s">
        <v>47</v>
      </c>
      <c r="J585" s="14" t="s">
        <v>47</v>
      </c>
      <c r="K585" s="14" t="s">
        <v>1651</v>
      </c>
      <c r="L585" s="14" t="s">
        <v>47</v>
      </c>
      <c r="M585" s="1">
        <v>46109</v>
      </c>
      <c r="N585" s="1">
        <v>46109</v>
      </c>
      <c r="O585" s="1">
        <v>46109</v>
      </c>
      <c r="P585" s="14" t="s">
        <v>353</v>
      </c>
      <c r="Q585" s="14" t="s">
        <v>76</v>
      </c>
      <c r="R585">
        <v>5</v>
      </c>
      <c r="S585" t="b">
        <v>1</v>
      </c>
      <c r="T585" s="14" t="s">
        <v>47</v>
      </c>
      <c r="U585" s="14" t="s">
        <v>47</v>
      </c>
      <c r="V585" s="14" t="s">
        <v>47</v>
      </c>
      <c r="W585" s="14" t="s">
        <v>47</v>
      </c>
      <c r="X585" s="14" t="s">
        <v>51</v>
      </c>
      <c r="Y585" t="b">
        <v>0</v>
      </c>
      <c r="Z585" s="14" t="s">
        <v>47</v>
      </c>
      <c r="AA585" s="14" t="s">
        <v>47</v>
      </c>
      <c r="AB585" s="14" t="s">
        <v>47</v>
      </c>
      <c r="AC585" t="b">
        <v>1</v>
      </c>
      <c r="AD585" s="14" t="s">
        <v>52</v>
      </c>
      <c r="AE585" s="14" t="s">
        <v>3245</v>
      </c>
      <c r="AF585" s="14" t="s">
        <v>3240</v>
      </c>
      <c r="AG585" s="14" t="s">
        <v>47</v>
      </c>
      <c r="AH585" s="14" t="s">
        <v>87</v>
      </c>
      <c r="AI585" s="2">
        <v>46160.752071759256</v>
      </c>
      <c r="AJ585" s="14" t="s">
        <v>47</v>
      </c>
      <c r="AK585" s="14" t="s">
        <v>47</v>
      </c>
      <c r="AL585" s="2">
        <v>46160.752071759256</v>
      </c>
      <c r="AM585" s="2">
        <v>46160.752071759256</v>
      </c>
    </row>
    <row r="586" spans="1:39" x14ac:dyDescent="0.3">
      <c r="A586" s="14" t="s">
        <v>3453</v>
      </c>
      <c r="B586" s="14" t="s">
        <v>3454</v>
      </c>
      <c r="C586" s="14" t="s">
        <v>41</v>
      </c>
      <c r="D586" s="14" t="s">
        <v>3455</v>
      </c>
      <c r="E586" s="14" t="s">
        <v>3456</v>
      </c>
      <c r="F586" s="14" t="s">
        <v>3099</v>
      </c>
      <c r="G586" s="14" t="s">
        <v>3100</v>
      </c>
      <c r="H586" s="14" t="s">
        <v>3101</v>
      </c>
      <c r="I586" s="14" t="s">
        <v>47</v>
      </c>
      <c r="J586" s="14" t="s">
        <v>47</v>
      </c>
      <c r="K586" s="14" t="s">
        <v>47</v>
      </c>
      <c r="L586" s="14" t="s">
        <v>47</v>
      </c>
      <c r="M586" s="1">
        <v>46109</v>
      </c>
      <c r="N586" s="1">
        <v>46109</v>
      </c>
      <c r="O586" s="1">
        <v>46109</v>
      </c>
      <c r="P586" s="14" t="s">
        <v>183</v>
      </c>
      <c r="Q586" s="14" t="s">
        <v>184</v>
      </c>
      <c r="R586">
        <v>2</v>
      </c>
      <c r="S586" t="b">
        <v>0</v>
      </c>
      <c r="T586" s="14" t="s">
        <v>47</v>
      </c>
      <c r="U586" s="14" t="s">
        <v>47</v>
      </c>
      <c r="V586" s="14" t="s">
        <v>47</v>
      </c>
      <c r="W586" s="14" t="s">
        <v>47</v>
      </c>
      <c r="X586" s="14" t="s">
        <v>51</v>
      </c>
      <c r="Y586" t="b">
        <v>0</v>
      </c>
      <c r="Z586" s="14" t="s">
        <v>47</v>
      </c>
      <c r="AA586" s="14" t="s">
        <v>47</v>
      </c>
      <c r="AB586" s="14" t="s">
        <v>47</v>
      </c>
      <c r="AC586" t="b">
        <v>1</v>
      </c>
      <c r="AD586" s="14" t="s">
        <v>52</v>
      </c>
      <c r="AE586" s="14" t="s">
        <v>3457</v>
      </c>
      <c r="AF586" s="14" t="s">
        <v>3455</v>
      </c>
      <c r="AG586" s="14" t="s">
        <v>47</v>
      </c>
      <c r="AH586" s="14" t="s">
        <v>87</v>
      </c>
      <c r="AI586" s="2">
        <v>46160.757951388892</v>
      </c>
      <c r="AJ586" s="14" t="s">
        <v>47</v>
      </c>
      <c r="AK586" s="14" t="s">
        <v>47</v>
      </c>
      <c r="AL586" s="2">
        <v>46160.757951388892</v>
      </c>
      <c r="AM586" s="2">
        <v>46160.757951388892</v>
      </c>
    </row>
    <row r="587" spans="1:39" x14ac:dyDescent="0.3">
      <c r="A587" s="14" t="s">
        <v>3458</v>
      </c>
      <c r="B587" s="14" t="s">
        <v>3459</v>
      </c>
      <c r="C587" s="14" t="s">
        <v>41</v>
      </c>
      <c r="D587" s="14" t="s">
        <v>3460</v>
      </c>
      <c r="E587" s="14" t="s">
        <v>3461</v>
      </c>
      <c r="F587" s="14" t="s">
        <v>83</v>
      </c>
      <c r="G587" s="14" t="s">
        <v>84</v>
      </c>
      <c r="H587" s="14" t="s">
        <v>85</v>
      </c>
      <c r="I587" s="14" t="s">
        <v>47</v>
      </c>
      <c r="J587" s="14" t="s">
        <v>47</v>
      </c>
      <c r="K587" s="14" t="s">
        <v>48</v>
      </c>
      <c r="L587" s="14" t="s">
        <v>47</v>
      </c>
      <c r="M587" s="1">
        <v>46109</v>
      </c>
      <c r="N587" s="1">
        <v>46109</v>
      </c>
      <c r="O587" s="1">
        <v>46109</v>
      </c>
      <c r="P587" s="14" t="s">
        <v>49</v>
      </c>
      <c r="Q587" s="14" t="s">
        <v>50</v>
      </c>
      <c r="R587">
        <v>2</v>
      </c>
      <c r="S587" t="b">
        <v>0</v>
      </c>
      <c r="T587" s="14" t="s">
        <v>47</v>
      </c>
      <c r="U587" s="14" t="s">
        <v>47</v>
      </c>
      <c r="V587" s="14" t="s">
        <v>47</v>
      </c>
      <c r="W587" s="14" t="s">
        <v>47</v>
      </c>
      <c r="X587" s="14" t="s">
        <v>51</v>
      </c>
      <c r="Y587" t="b">
        <v>0</v>
      </c>
      <c r="Z587" s="14" t="s">
        <v>47</v>
      </c>
      <c r="AA587" s="14" t="s">
        <v>47</v>
      </c>
      <c r="AB587" s="14" t="s">
        <v>47</v>
      </c>
      <c r="AC587" t="b">
        <v>1</v>
      </c>
      <c r="AD587" s="14" t="s">
        <v>52</v>
      </c>
      <c r="AE587" s="14" t="s">
        <v>3462</v>
      </c>
      <c r="AF587" s="14" t="s">
        <v>3460</v>
      </c>
      <c r="AG587" s="14" t="s">
        <v>47</v>
      </c>
      <c r="AH587" s="14" t="s">
        <v>87</v>
      </c>
      <c r="AI587" s="2">
        <v>46160.757951388892</v>
      </c>
      <c r="AJ587" s="14" t="s">
        <v>47</v>
      </c>
      <c r="AK587" s="14" t="s">
        <v>47</v>
      </c>
      <c r="AL587" s="2">
        <v>46160.757951388892</v>
      </c>
      <c r="AM587" s="2">
        <v>46160.757951388892</v>
      </c>
    </row>
    <row r="588" spans="1:39" x14ac:dyDescent="0.3">
      <c r="A588" s="14" t="s">
        <v>3463</v>
      </c>
      <c r="B588" s="14" t="s">
        <v>3464</v>
      </c>
      <c r="C588" s="14" t="s">
        <v>41</v>
      </c>
      <c r="D588" s="14" t="s">
        <v>3465</v>
      </c>
      <c r="E588" s="14" t="s">
        <v>3466</v>
      </c>
      <c r="F588" s="14" t="s">
        <v>83</v>
      </c>
      <c r="G588" s="14" t="s">
        <v>84</v>
      </c>
      <c r="H588" s="14" t="s">
        <v>85</v>
      </c>
      <c r="I588" s="14" t="s">
        <v>47</v>
      </c>
      <c r="J588" s="14" t="s">
        <v>47</v>
      </c>
      <c r="K588" s="14" t="s">
        <v>48</v>
      </c>
      <c r="L588" s="14" t="s">
        <v>47</v>
      </c>
      <c r="M588" s="1">
        <v>46109</v>
      </c>
      <c r="N588" s="1">
        <v>46109</v>
      </c>
      <c r="O588" s="1">
        <v>46109</v>
      </c>
      <c r="P588" s="14" t="s">
        <v>49</v>
      </c>
      <c r="Q588" s="14" t="s">
        <v>50</v>
      </c>
      <c r="R588">
        <v>2</v>
      </c>
      <c r="S588" t="b">
        <v>0</v>
      </c>
      <c r="T588" s="14" t="s">
        <v>47</v>
      </c>
      <c r="U588" s="14" t="s">
        <v>47</v>
      </c>
      <c r="V588" s="14" t="s">
        <v>47</v>
      </c>
      <c r="W588" s="14" t="s">
        <v>47</v>
      </c>
      <c r="X588" s="14" t="s">
        <v>51</v>
      </c>
      <c r="Y588" t="b">
        <v>0</v>
      </c>
      <c r="Z588" s="14" t="s">
        <v>47</v>
      </c>
      <c r="AA588" s="14" t="s">
        <v>47</v>
      </c>
      <c r="AB588" s="14" t="s">
        <v>47</v>
      </c>
      <c r="AC588" t="b">
        <v>1</v>
      </c>
      <c r="AD588" s="14" t="s">
        <v>52</v>
      </c>
      <c r="AE588" s="14" t="s">
        <v>3467</v>
      </c>
      <c r="AF588" s="14" t="s">
        <v>3465</v>
      </c>
      <c r="AG588" s="14" t="s">
        <v>47</v>
      </c>
      <c r="AH588" s="14" t="s">
        <v>87</v>
      </c>
      <c r="AI588" s="2">
        <v>46160.757951388892</v>
      </c>
      <c r="AJ588" s="14" t="s">
        <v>47</v>
      </c>
      <c r="AK588" s="14" t="s">
        <v>47</v>
      </c>
      <c r="AL588" s="2">
        <v>46160.757951388892</v>
      </c>
      <c r="AM588" s="2">
        <v>46160.757951388892</v>
      </c>
    </row>
    <row r="589" spans="1:39" x14ac:dyDescent="0.3">
      <c r="A589" t="s">
        <v>3637</v>
      </c>
      <c r="B589" t="s">
        <v>3638</v>
      </c>
      <c r="C589" t="s">
        <v>41</v>
      </c>
      <c r="D589" t="s">
        <v>3639</v>
      </c>
      <c r="E589" t="s">
        <v>3640</v>
      </c>
      <c r="F589" t="s">
        <v>47</v>
      </c>
      <c r="G589" t="s">
        <v>47</v>
      </c>
      <c r="H589" t="s">
        <v>85</v>
      </c>
      <c r="I589" t="s">
        <v>47</v>
      </c>
      <c r="J589" t="s">
        <v>47</v>
      </c>
      <c r="K589" t="s">
        <v>48</v>
      </c>
      <c r="L589" t="s">
        <v>47</v>
      </c>
      <c r="M589" s="1">
        <v>46109</v>
      </c>
      <c r="N589" s="1">
        <v>46109</v>
      </c>
      <c r="O589" s="1">
        <v>46109</v>
      </c>
      <c r="P589" t="s">
        <v>49</v>
      </c>
      <c r="Q589" t="s">
        <v>50</v>
      </c>
      <c r="R589">
        <v>2</v>
      </c>
      <c r="S589" t="b">
        <v>0</v>
      </c>
      <c r="T589" t="s">
        <v>47</v>
      </c>
      <c r="U589" t="s">
        <v>47</v>
      </c>
      <c r="V589" t="s">
        <v>47</v>
      </c>
      <c r="W589" t="s">
        <v>47</v>
      </c>
      <c r="X589" t="s">
        <v>51</v>
      </c>
      <c r="Y589" t="b">
        <v>0</v>
      </c>
      <c r="Z589" t="s">
        <v>47</v>
      </c>
      <c r="AA589" t="s">
        <v>47</v>
      </c>
      <c r="AB589" t="s">
        <v>47</v>
      </c>
      <c r="AC589" t="b">
        <v>1</v>
      </c>
      <c r="AD589" t="s">
        <v>52</v>
      </c>
      <c r="AE589" t="s">
        <v>3641</v>
      </c>
      <c r="AF589" t="s">
        <v>3639</v>
      </c>
      <c r="AG589" t="s">
        <v>3611</v>
      </c>
      <c r="AH589" t="s">
        <v>87</v>
      </c>
      <c r="AI589" s="2">
        <v>46160.775231481479</v>
      </c>
      <c r="AJ589" t="s">
        <v>47</v>
      </c>
      <c r="AK589" t="s">
        <v>47</v>
      </c>
      <c r="AL589" s="2">
        <v>46160.775231481479</v>
      </c>
      <c r="AM589" s="2">
        <v>46160.775231481479</v>
      </c>
    </row>
    <row r="590" spans="1:39" x14ac:dyDescent="0.3">
      <c r="A590" s="14" t="s">
        <v>3468</v>
      </c>
      <c r="B590" s="14" t="s">
        <v>3469</v>
      </c>
      <c r="C590" s="14" t="s">
        <v>41</v>
      </c>
      <c r="D590" s="14" t="s">
        <v>3470</v>
      </c>
      <c r="E590" s="14" t="s">
        <v>3471</v>
      </c>
      <c r="F590" s="14" t="s">
        <v>83</v>
      </c>
      <c r="G590" s="14" t="s">
        <v>84</v>
      </c>
      <c r="H590" s="14" t="s">
        <v>85</v>
      </c>
      <c r="I590" s="14" t="s">
        <v>47</v>
      </c>
      <c r="J590" s="14" t="s">
        <v>47</v>
      </c>
      <c r="K590" s="14" t="s">
        <v>48</v>
      </c>
      <c r="L590" s="14" t="s">
        <v>47</v>
      </c>
      <c r="M590" s="1">
        <v>46109</v>
      </c>
      <c r="N590" s="1">
        <v>46109</v>
      </c>
      <c r="O590" s="1">
        <v>46109</v>
      </c>
      <c r="P590" s="14" t="s">
        <v>49</v>
      </c>
      <c r="Q590" s="14" t="s">
        <v>50</v>
      </c>
      <c r="R590">
        <v>2</v>
      </c>
      <c r="S590" t="b">
        <v>0</v>
      </c>
      <c r="T590" s="14" t="s">
        <v>47</v>
      </c>
      <c r="U590" s="14" t="s">
        <v>47</v>
      </c>
      <c r="V590" s="14" t="s">
        <v>47</v>
      </c>
      <c r="W590" s="14" t="s">
        <v>47</v>
      </c>
      <c r="X590" s="14" t="s">
        <v>51</v>
      </c>
      <c r="Y590" t="b">
        <v>0</v>
      </c>
      <c r="Z590" s="14" t="s">
        <v>47</v>
      </c>
      <c r="AA590" s="14" t="s">
        <v>47</v>
      </c>
      <c r="AB590" s="14" t="s">
        <v>47</v>
      </c>
      <c r="AC590" t="b">
        <v>1</v>
      </c>
      <c r="AD590" s="14" t="s">
        <v>52</v>
      </c>
      <c r="AE590" s="14" t="s">
        <v>3472</v>
      </c>
      <c r="AF590" s="14" t="s">
        <v>3470</v>
      </c>
      <c r="AG590" s="14" t="s">
        <v>47</v>
      </c>
      <c r="AH590" s="14" t="s">
        <v>87</v>
      </c>
      <c r="AI590" s="2">
        <v>46160.757951388892</v>
      </c>
      <c r="AJ590" s="14" t="s">
        <v>47</v>
      </c>
      <c r="AK590" s="14" t="s">
        <v>47</v>
      </c>
      <c r="AL590" s="2">
        <v>46160.757951388892</v>
      </c>
      <c r="AM590" s="2">
        <v>46160.757951388892</v>
      </c>
    </row>
    <row r="591" spans="1:39" x14ac:dyDescent="0.3">
      <c r="A591" s="14" t="s">
        <v>3473</v>
      </c>
      <c r="B591" s="14" t="s">
        <v>3474</v>
      </c>
      <c r="C591" s="14" t="s">
        <v>41</v>
      </c>
      <c r="D591" s="14" t="s">
        <v>3475</v>
      </c>
      <c r="E591" s="14" t="s">
        <v>3476</v>
      </c>
      <c r="F591" s="14" t="s">
        <v>83</v>
      </c>
      <c r="G591" s="14" t="s">
        <v>84</v>
      </c>
      <c r="H591" s="14" t="s">
        <v>85</v>
      </c>
      <c r="I591" s="14" t="s">
        <v>47</v>
      </c>
      <c r="J591" s="14" t="s">
        <v>47</v>
      </c>
      <c r="K591" s="14" t="s">
        <v>48</v>
      </c>
      <c r="L591" s="14" t="s">
        <v>47</v>
      </c>
      <c r="M591" s="1">
        <v>46109</v>
      </c>
      <c r="N591" s="1">
        <v>46109</v>
      </c>
      <c r="O591" s="1">
        <v>46109</v>
      </c>
      <c r="P591" s="14" t="s">
        <v>49</v>
      </c>
      <c r="Q591" s="14" t="s">
        <v>50</v>
      </c>
      <c r="R591">
        <v>2</v>
      </c>
      <c r="S591" t="b">
        <v>0</v>
      </c>
      <c r="T591" s="14" t="s">
        <v>47</v>
      </c>
      <c r="U591" s="14" t="s">
        <v>47</v>
      </c>
      <c r="V591" s="14" t="s">
        <v>47</v>
      </c>
      <c r="W591" s="14" t="s">
        <v>47</v>
      </c>
      <c r="X591" s="14" t="s">
        <v>51</v>
      </c>
      <c r="Y591" t="b">
        <v>0</v>
      </c>
      <c r="Z591" s="14" t="s">
        <v>47</v>
      </c>
      <c r="AA591" s="14" t="s">
        <v>47</v>
      </c>
      <c r="AB591" s="14" t="s">
        <v>47</v>
      </c>
      <c r="AC591" t="b">
        <v>1</v>
      </c>
      <c r="AD591" s="14" t="s">
        <v>52</v>
      </c>
      <c r="AE591" s="14" t="s">
        <v>3477</v>
      </c>
      <c r="AF591" s="14" t="s">
        <v>3475</v>
      </c>
      <c r="AG591" s="14" t="s">
        <v>47</v>
      </c>
      <c r="AH591" s="14" t="s">
        <v>87</v>
      </c>
      <c r="AI591" s="2">
        <v>46160.757951388892</v>
      </c>
      <c r="AJ591" s="14" t="s">
        <v>47</v>
      </c>
      <c r="AK591" s="14" t="s">
        <v>47</v>
      </c>
      <c r="AL591" s="2">
        <v>46160.757951388892</v>
      </c>
      <c r="AM591" s="2">
        <v>46160.757951388892</v>
      </c>
    </row>
    <row r="592" spans="1:39" x14ac:dyDescent="0.3">
      <c r="A592" s="14" t="s">
        <v>3478</v>
      </c>
      <c r="B592" s="14" t="s">
        <v>3479</v>
      </c>
      <c r="C592" s="14" t="s">
        <v>41</v>
      </c>
      <c r="D592" s="14" t="s">
        <v>3480</v>
      </c>
      <c r="E592" s="14" t="s">
        <v>3481</v>
      </c>
      <c r="F592" s="14" t="s">
        <v>83</v>
      </c>
      <c r="G592" s="14" t="s">
        <v>84</v>
      </c>
      <c r="H592" s="14" t="s">
        <v>85</v>
      </c>
      <c r="I592" s="14" t="s">
        <v>47</v>
      </c>
      <c r="J592" s="14" t="s">
        <v>47</v>
      </c>
      <c r="K592" s="14" t="s">
        <v>48</v>
      </c>
      <c r="L592" s="14" t="s">
        <v>47</v>
      </c>
      <c r="M592" s="1">
        <v>46109</v>
      </c>
      <c r="N592" s="1">
        <v>46109</v>
      </c>
      <c r="O592" s="1">
        <v>46109</v>
      </c>
      <c r="P592" s="14" t="s">
        <v>49</v>
      </c>
      <c r="Q592" s="14" t="s">
        <v>50</v>
      </c>
      <c r="R592">
        <v>2</v>
      </c>
      <c r="S592" t="b">
        <v>0</v>
      </c>
      <c r="T592" s="14" t="s">
        <v>47</v>
      </c>
      <c r="U592" s="14" t="s">
        <v>47</v>
      </c>
      <c r="V592" s="14" t="s">
        <v>47</v>
      </c>
      <c r="W592" s="14" t="s">
        <v>47</v>
      </c>
      <c r="X592" s="14" t="s">
        <v>51</v>
      </c>
      <c r="Y592" t="b">
        <v>0</v>
      </c>
      <c r="Z592" s="14" t="s">
        <v>47</v>
      </c>
      <c r="AA592" s="14" t="s">
        <v>47</v>
      </c>
      <c r="AB592" s="14" t="s">
        <v>47</v>
      </c>
      <c r="AC592" t="b">
        <v>1</v>
      </c>
      <c r="AD592" s="14" t="s">
        <v>52</v>
      </c>
      <c r="AE592" s="14" t="s">
        <v>3482</v>
      </c>
      <c r="AF592" s="14" t="s">
        <v>3480</v>
      </c>
      <c r="AG592" s="14" t="s">
        <v>47</v>
      </c>
      <c r="AH592" s="14" t="s">
        <v>87</v>
      </c>
      <c r="AI592" s="2">
        <v>46160.757951388892</v>
      </c>
      <c r="AJ592" s="14" t="s">
        <v>47</v>
      </c>
      <c r="AK592" s="14" t="s">
        <v>47</v>
      </c>
      <c r="AL592" s="2">
        <v>46160.757951388892</v>
      </c>
      <c r="AM592" s="2">
        <v>46160.757951388892</v>
      </c>
    </row>
    <row r="593" spans="1:39" x14ac:dyDescent="0.3">
      <c r="A593" s="14" t="s">
        <v>3591</v>
      </c>
      <c r="B593" s="14" t="s">
        <v>3592</v>
      </c>
      <c r="C593" s="14" t="s">
        <v>41</v>
      </c>
      <c r="D593" s="14" t="s">
        <v>3593</v>
      </c>
      <c r="E593" s="14" t="s">
        <v>3594</v>
      </c>
      <c r="F593" s="14" t="s">
        <v>83</v>
      </c>
      <c r="G593" s="14" t="s">
        <v>84</v>
      </c>
      <c r="H593" s="14" t="s">
        <v>85</v>
      </c>
      <c r="I593" s="14" t="s">
        <v>47</v>
      </c>
      <c r="J593" s="14" t="s">
        <v>47</v>
      </c>
      <c r="K593" s="14" t="s">
        <v>48</v>
      </c>
      <c r="L593" s="14" t="s">
        <v>47</v>
      </c>
      <c r="M593" s="1">
        <v>46109</v>
      </c>
      <c r="N593" s="1">
        <v>46109</v>
      </c>
      <c r="O593" s="1">
        <v>46109</v>
      </c>
      <c r="P593" s="14" t="s">
        <v>49</v>
      </c>
      <c r="Q593" s="14" t="s">
        <v>50</v>
      </c>
      <c r="R593">
        <v>2</v>
      </c>
      <c r="S593" t="b">
        <v>0</v>
      </c>
      <c r="T593" s="14" t="s">
        <v>47</v>
      </c>
      <c r="U593" s="14" t="s">
        <v>47</v>
      </c>
      <c r="V593" s="14" t="s">
        <v>47</v>
      </c>
      <c r="W593" s="14" t="s">
        <v>47</v>
      </c>
      <c r="X593" s="14" t="s">
        <v>51</v>
      </c>
      <c r="Y593" t="b">
        <v>0</v>
      </c>
      <c r="Z593" s="14" t="s">
        <v>47</v>
      </c>
      <c r="AA593" s="14" t="s">
        <v>47</v>
      </c>
      <c r="AB593" s="14" t="s">
        <v>47</v>
      </c>
      <c r="AC593" t="b">
        <v>1</v>
      </c>
      <c r="AD593" s="14" t="s">
        <v>52</v>
      </c>
      <c r="AE593" s="14" t="s">
        <v>3595</v>
      </c>
      <c r="AF593" s="14" t="s">
        <v>3593</v>
      </c>
      <c r="AG593" s="14" t="s">
        <v>47</v>
      </c>
      <c r="AH593" s="14" t="s">
        <v>87</v>
      </c>
      <c r="AI593" s="2">
        <v>46160.757951388892</v>
      </c>
      <c r="AJ593" s="14" t="s">
        <v>47</v>
      </c>
      <c r="AK593" s="14" t="s">
        <v>47</v>
      </c>
      <c r="AL593" s="2">
        <v>46160.757951388892</v>
      </c>
      <c r="AM593" s="2">
        <v>46160.757951388892</v>
      </c>
    </row>
    <row r="594" spans="1:39" x14ac:dyDescent="0.3">
      <c r="A594" s="14" t="s">
        <v>3596</v>
      </c>
      <c r="B594" s="14" t="s">
        <v>3597</v>
      </c>
      <c r="C594" s="14" t="s">
        <v>41</v>
      </c>
      <c r="D594" s="14" t="s">
        <v>3598</v>
      </c>
      <c r="E594" s="14" t="s">
        <v>3599</v>
      </c>
      <c r="F594" s="14" t="s">
        <v>83</v>
      </c>
      <c r="G594" s="14" t="s">
        <v>84</v>
      </c>
      <c r="H594" s="14" t="s">
        <v>85</v>
      </c>
      <c r="I594" s="14" t="s">
        <v>47</v>
      </c>
      <c r="J594" s="14" t="s">
        <v>47</v>
      </c>
      <c r="K594" s="14" t="s">
        <v>48</v>
      </c>
      <c r="L594" s="14" t="s">
        <v>47</v>
      </c>
      <c r="M594" s="1">
        <v>46109</v>
      </c>
      <c r="N594" s="1">
        <v>46109</v>
      </c>
      <c r="O594" s="1">
        <v>46109</v>
      </c>
      <c r="P594" s="14" t="s">
        <v>49</v>
      </c>
      <c r="Q594" s="14" t="s">
        <v>50</v>
      </c>
      <c r="R594">
        <v>2</v>
      </c>
      <c r="S594" t="b">
        <v>0</v>
      </c>
      <c r="T594" s="14" t="s">
        <v>47</v>
      </c>
      <c r="U594" s="14" t="s">
        <v>47</v>
      </c>
      <c r="V594" s="14" t="s">
        <v>47</v>
      </c>
      <c r="W594" s="14" t="s">
        <v>47</v>
      </c>
      <c r="X594" s="14" t="s">
        <v>51</v>
      </c>
      <c r="Y594" t="b">
        <v>0</v>
      </c>
      <c r="Z594" s="14" t="s">
        <v>47</v>
      </c>
      <c r="AA594" s="14" t="s">
        <v>47</v>
      </c>
      <c r="AB594" s="14" t="s">
        <v>47</v>
      </c>
      <c r="AC594" t="b">
        <v>1</v>
      </c>
      <c r="AD594" s="14" t="s">
        <v>52</v>
      </c>
      <c r="AE594" s="14" t="s">
        <v>3600</v>
      </c>
      <c r="AF594" s="14" t="s">
        <v>3598</v>
      </c>
      <c r="AG594" s="14" t="s">
        <v>47</v>
      </c>
      <c r="AH594" s="14" t="s">
        <v>87</v>
      </c>
      <c r="AI594" s="2">
        <v>46160.757951388892</v>
      </c>
      <c r="AJ594" s="14" t="s">
        <v>47</v>
      </c>
      <c r="AK594" s="14" t="s">
        <v>47</v>
      </c>
      <c r="AL594" s="2">
        <v>46160.757951388892</v>
      </c>
      <c r="AM594" s="2">
        <v>46160.757951388892</v>
      </c>
    </row>
    <row r="595" spans="1:39" x14ac:dyDescent="0.3">
      <c r="A595" s="14" t="s">
        <v>3601</v>
      </c>
      <c r="B595" s="14" t="s">
        <v>3602</v>
      </c>
      <c r="C595" s="14" t="s">
        <v>41</v>
      </c>
      <c r="D595" s="14" t="s">
        <v>3603</v>
      </c>
      <c r="E595" s="14" t="s">
        <v>3604</v>
      </c>
      <c r="F595" s="14" t="s">
        <v>83</v>
      </c>
      <c r="G595" s="14" t="s">
        <v>84</v>
      </c>
      <c r="H595" s="14" t="s">
        <v>1190</v>
      </c>
      <c r="I595" s="14" t="s">
        <v>47</v>
      </c>
      <c r="J595" s="14" t="s">
        <v>47</v>
      </c>
      <c r="K595" s="14" t="s">
        <v>48</v>
      </c>
      <c r="L595" s="14" t="s">
        <v>47</v>
      </c>
      <c r="M595" s="1">
        <v>46109</v>
      </c>
      <c r="N595" s="1">
        <v>46109</v>
      </c>
      <c r="O595" s="1">
        <v>46109</v>
      </c>
      <c r="P595" s="14" t="s">
        <v>49</v>
      </c>
      <c r="Q595" s="14" t="s">
        <v>50</v>
      </c>
      <c r="R595">
        <v>2</v>
      </c>
      <c r="S595" t="b">
        <v>0</v>
      </c>
      <c r="T595" s="14" t="s">
        <v>47</v>
      </c>
      <c r="U595" s="14" t="s">
        <v>47</v>
      </c>
      <c r="V595" s="14" t="s">
        <v>47</v>
      </c>
      <c r="W595" s="14" t="s">
        <v>47</v>
      </c>
      <c r="X595" s="14" t="s">
        <v>51</v>
      </c>
      <c r="Y595" t="b">
        <v>0</v>
      </c>
      <c r="Z595" s="14" t="s">
        <v>47</v>
      </c>
      <c r="AA595" s="14" t="s">
        <v>47</v>
      </c>
      <c r="AB595" s="14" t="s">
        <v>47</v>
      </c>
      <c r="AC595" t="b">
        <v>1</v>
      </c>
      <c r="AD595" s="14" t="s">
        <v>52</v>
      </c>
      <c r="AE595" s="14" t="s">
        <v>3605</v>
      </c>
      <c r="AF595" s="14" t="s">
        <v>3603</v>
      </c>
      <c r="AG595" s="14" t="s">
        <v>47</v>
      </c>
      <c r="AH595" s="14" t="s">
        <v>87</v>
      </c>
      <c r="AI595" s="2">
        <v>46160.757951388892</v>
      </c>
      <c r="AJ595" s="14" t="s">
        <v>47</v>
      </c>
      <c r="AK595" s="14" t="s">
        <v>47</v>
      </c>
      <c r="AL595" s="2">
        <v>46160.757951388892</v>
      </c>
      <c r="AM595" s="2">
        <v>46160.757951388892</v>
      </c>
    </row>
    <row r="596" spans="1:39" x14ac:dyDescent="0.3">
      <c r="A596" t="s">
        <v>3726</v>
      </c>
      <c r="B596" t="s">
        <v>3727</v>
      </c>
      <c r="C596" t="s">
        <v>41</v>
      </c>
      <c r="D596" t="s">
        <v>3728</v>
      </c>
      <c r="E596" t="s">
        <v>3729</v>
      </c>
      <c r="F596" t="s">
        <v>47</v>
      </c>
      <c r="G596" t="s">
        <v>47</v>
      </c>
      <c r="H596" t="s">
        <v>85</v>
      </c>
      <c r="I596" t="s">
        <v>47</v>
      </c>
      <c r="J596" t="s">
        <v>47</v>
      </c>
      <c r="K596" t="s">
        <v>48</v>
      </c>
      <c r="L596" t="s">
        <v>47</v>
      </c>
      <c r="M596" s="1">
        <v>46109</v>
      </c>
      <c r="N596" s="1">
        <v>46109</v>
      </c>
      <c r="O596" s="1">
        <v>46109</v>
      </c>
      <c r="P596" t="s">
        <v>49</v>
      </c>
      <c r="Q596" t="s">
        <v>50</v>
      </c>
      <c r="R596">
        <v>2</v>
      </c>
      <c r="S596" t="b">
        <v>0</v>
      </c>
      <c r="T596" t="s">
        <v>47</v>
      </c>
      <c r="U596" t="s">
        <v>47</v>
      </c>
      <c r="V596" t="s">
        <v>47</v>
      </c>
      <c r="W596" t="s">
        <v>47</v>
      </c>
      <c r="X596" t="s">
        <v>51</v>
      </c>
      <c r="Y596" t="b">
        <v>0</v>
      </c>
      <c r="Z596" t="s">
        <v>47</v>
      </c>
      <c r="AA596" t="s">
        <v>47</v>
      </c>
      <c r="AB596" t="s">
        <v>47</v>
      </c>
      <c r="AC596" t="b">
        <v>1</v>
      </c>
      <c r="AD596" t="s">
        <v>52</v>
      </c>
      <c r="AE596" t="s">
        <v>3730</v>
      </c>
      <c r="AF596" t="s">
        <v>3728</v>
      </c>
      <c r="AG596" t="s">
        <v>3611</v>
      </c>
      <c r="AH596" t="s">
        <v>87</v>
      </c>
      <c r="AI596" s="2">
        <v>46160.775231481479</v>
      </c>
      <c r="AJ596" t="s">
        <v>47</v>
      </c>
      <c r="AK596" t="s">
        <v>47</v>
      </c>
      <c r="AL596" s="2">
        <v>46160.775231481479</v>
      </c>
      <c r="AM596" s="2">
        <v>46160.775231481479</v>
      </c>
    </row>
    <row r="597" spans="1:39" x14ac:dyDescent="0.3">
      <c r="A597" t="s">
        <v>3642</v>
      </c>
      <c r="B597" t="s">
        <v>3643</v>
      </c>
      <c r="C597" t="s">
        <v>41</v>
      </c>
      <c r="D597" t="s">
        <v>3644</v>
      </c>
      <c r="E597" t="s">
        <v>3645</v>
      </c>
      <c r="F597" t="s">
        <v>47</v>
      </c>
      <c r="G597" t="s">
        <v>47</v>
      </c>
      <c r="H597" t="s">
        <v>85</v>
      </c>
      <c r="I597" t="s">
        <v>47</v>
      </c>
      <c r="J597" t="s">
        <v>47</v>
      </c>
      <c r="K597" t="s">
        <v>48</v>
      </c>
      <c r="L597" t="s">
        <v>47</v>
      </c>
      <c r="M597" s="1">
        <v>46109</v>
      </c>
      <c r="N597" s="1">
        <v>46109</v>
      </c>
      <c r="O597" s="1">
        <v>46109</v>
      </c>
      <c r="P597" t="s">
        <v>49</v>
      </c>
      <c r="Q597" t="s">
        <v>50</v>
      </c>
      <c r="R597">
        <v>2</v>
      </c>
      <c r="S597" t="b">
        <v>0</v>
      </c>
      <c r="T597" t="s">
        <v>47</v>
      </c>
      <c r="U597" t="s">
        <v>47</v>
      </c>
      <c r="V597" t="s">
        <v>47</v>
      </c>
      <c r="W597" t="s">
        <v>47</v>
      </c>
      <c r="X597" t="s">
        <v>51</v>
      </c>
      <c r="Y597" t="b">
        <v>0</v>
      </c>
      <c r="Z597" t="s">
        <v>47</v>
      </c>
      <c r="AA597" t="s">
        <v>47</v>
      </c>
      <c r="AB597" t="s">
        <v>47</v>
      </c>
      <c r="AC597" t="b">
        <v>1</v>
      </c>
      <c r="AD597" t="s">
        <v>52</v>
      </c>
      <c r="AE597" t="s">
        <v>3646</v>
      </c>
      <c r="AF597" t="s">
        <v>3644</v>
      </c>
      <c r="AG597" t="s">
        <v>3611</v>
      </c>
      <c r="AH597" t="s">
        <v>87</v>
      </c>
      <c r="AI597" s="2">
        <v>46160.775231481479</v>
      </c>
      <c r="AJ597" t="s">
        <v>47</v>
      </c>
      <c r="AK597" t="s">
        <v>47</v>
      </c>
      <c r="AL597" s="2">
        <v>46160.775231481479</v>
      </c>
      <c r="AM597" s="2">
        <v>46160.775231481479</v>
      </c>
    </row>
    <row r="598" spans="1:39" x14ac:dyDescent="0.3">
      <c r="A598" s="14" t="s">
        <v>3483</v>
      </c>
      <c r="B598" s="14" t="s">
        <v>3484</v>
      </c>
      <c r="C598" s="14" t="s">
        <v>41</v>
      </c>
      <c r="D598" s="14" t="s">
        <v>3485</v>
      </c>
      <c r="E598" s="14" t="s">
        <v>3486</v>
      </c>
      <c r="F598" s="14" t="s">
        <v>83</v>
      </c>
      <c r="G598" s="14" t="s">
        <v>84</v>
      </c>
      <c r="H598" s="14" t="s">
        <v>85</v>
      </c>
      <c r="I598" s="14" t="s">
        <v>47</v>
      </c>
      <c r="J598" s="14" t="s">
        <v>47</v>
      </c>
      <c r="K598" s="14" t="s">
        <v>48</v>
      </c>
      <c r="L598" s="14" t="s">
        <v>47</v>
      </c>
      <c r="M598" s="1">
        <v>41207</v>
      </c>
      <c r="N598" s="1">
        <v>41207</v>
      </c>
      <c r="O598" s="1">
        <v>41207</v>
      </c>
      <c r="P598" s="14" t="s">
        <v>49</v>
      </c>
      <c r="Q598" s="14" t="s">
        <v>50</v>
      </c>
      <c r="R598">
        <v>2</v>
      </c>
      <c r="S598" t="b">
        <v>0</v>
      </c>
      <c r="T598" s="14" t="s">
        <v>47</v>
      </c>
      <c r="U598" s="14" t="s">
        <v>47</v>
      </c>
      <c r="V598" s="14" t="s">
        <v>47</v>
      </c>
      <c r="W598" s="14" t="s">
        <v>47</v>
      </c>
      <c r="X598" s="14" t="s">
        <v>51</v>
      </c>
      <c r="Y598" t="b">
        <v>0</v>
      </c>
      <c r="Z598" s="14" t="s">
        <v>47</v>
      </c>
      <c r="AA598" s="14" t="s">
        <v>47</v>
      </c>
      <c r="AB598" s="14" t="s">
        <v>47</v>
      </c>
      <c r="AC598" t="b">
        <v>1</v>
      </c>
      <c r="AD598" s="14" t="s">
        <v>52</v>
      </c>
      <c r="AE598" s="14" t="s">
        <v>3487</v>
      </c>
      <c r="AF598" s="14" t="s">
        <v>3485</v>
      </c>
      <c r="AG598" s="14" t="s">
        <v>47</v>
      </c>
      <c r="AH598" s="14" t="s">
        <v>87</v>
      </c>
      <c r="AI598" s="2">
        <v>46160.757951388892</v>
      </c>
      <c r="AJ598" s="14" t="s">
        <v>47</v>
      </c>
      <c r="AK598" s="14" t="s">
        <v>47</v>
      </c>
      <c r="AL598" s="2">
        <v>46160.757951388892</v>
      </c>
      <c r="AM598" s="2">
        <v>46160.757951388892</v>
      </c>
    </row>
    <row r="599" spans="1:39" x14ac:dyDescent="0.3">
      <c r="A599" s="14" t="s">
        <v>3488</v>
      </c>
      <c r="B599" s="14" t="s">
        <v>3489</v>
      </c>
      <c r="C599" s="14" t="s">
        <v>41</v>
      </c>
      <c r="D599" s="14" t="s">
        <v>3490</v>
      </c>
      <c r="E599" s="14" t="s">
        <v>3491</v>
      </c>
      <c r="F599" s="14" t="s">
        <v>83</v>
      </c>
      <c r="G599" s="14" t="s">
        <v>84</v>
      </c>
      <c r="H599" s="14" t="s">
        <v>85</v>
      </c>
      <c r="I599" s="14" t="s">
        <v>47</v>
      </c>
      <c r="J599" s="14" t="s">
        <v>47</v>
      </c>
      <c r="K599" s="14" t="s">
        <v>48</v>
      </c>
      <c r="L599" s="14" t="s">
        <v>47</v>
      </c>
      <c r="M599" s="1">
        <v>46109</v>
      </c>
      <c r="N599" s="1">
        <v>46109</v>
      </c>
      <c r="O599" s="1">
        <v>46109</v>
      </c>
      <c r="P599" s="14" t="s">
        <v>49</v>
      </c>
      <c r="Q599" s="14" t="s">
        <v>50</v>
      </c>
      <c r="R599">
        <v>2</v>
      </c>
      <c r="S599" t="b">
        <v>0</v>
      </c>
      <c r="T599" s="14" t="s">
        <v>47</v>
      </c>
      <c r="U599" s="14" t="s">
        <v>47</v>
      </c>
      <c r="V599" s="14" t="s">
        <v>47</v>
      </c>
      <c r="W599" s="14" t="s">
        <v>47</v>
      </c>
      <c r="X599" s="14" t="s">
        <v>51</v>
      </c>
      <c r="Y599" t="b">
        <v>0</v>
      </c>
      <c r="Z599" s="14" t="s">
        <v>47</v>
      </c>
      <c r="AA599" s="14" t="s">
        <v>47</v>
      </c>
      <c r="AB599" s="14" t="s">
        <v>47</v>
      </c>
      <c r="AC599" t="b">
        <v>1</v>
      </c>
      <c r="AD599" s="14" t="s">
        <v>52</v>
      </c>
      <c r="AE599" s="14" t="s">
        <v>3492</v>
      </c>
      <c r="AF599" s="14" t="s">
        <v>3490</v>
      </c>
      <c r="AG599" s="14" t="s">
        <v>47</v>
      </c>
      <c r="AH599" s="14" t="s">
        <v>87</v>
      </c>
      <c r="AI599" s="2">
        <v>46160.757951388892</v>
      </c>
      <c r="AJ599" s="14" t="s">
        <v>47</v>
      </c>
      <c r="AK599" s="14" t="s">
        <v>47</v>
      </c>
      <c r="AL599" s="2">
        <v>46160.757951388892</v>
      </c>
      <c r="AM599" s="2">
        <v>46160.757951388892</v>
      </c>
    </row>
    <row r="600" spans="1:39" x14ac:dyDescent="0.3">
      <c r="A600" t="s">
        <v>3824</v>
      </c>
      <c r="B600" t="s">
        <v>3825</v>
      </c>
      <c r="C600" t="s">
        <v>41</v>
      </c>
      <c r="D600" t="s">
        <v>3826</v>
      </c>
      <c r="E600" t="s">
        <v>3827</v>
      </c>
      <c r="F600" t="s">
        <v>47</v>
      </c>
      <c r="G600" t="s">
        <v>47</v>
      </c>
      <c r="H600" t="s">
        <v>85</v>
      </c>
      <c r="I600" t="s">
        <v>47</v>
      </c>
      <c r="J600" t="s">
        <v>47</v>
      </c>
      <c r="K600" t="s">
        <v>48</v>
      </c>
      <c r="L600" t="s">
        <v>47</v>
      </c>
      <c r="M600" s="1">
        <v>46111</v>
      </c>
      <c r="N600" s="1">
        <v>46111</v>
      </c>
      <c r="O600" s="1">
        <v>46111</v>
      </c>
      <c r="P600" t="s">
        <v>49</v>
      </c>
      <c r="Q600" t="s">
        <v>50</v>
      </c>
      <c r="R600">
        <v>2</v>
      </c>
      <c r="S600" t="b">
        <v>0</v>
      </c>
      <c r="T600" t="s">
        <v>47</v>
      </c>
      <c r="U600" t="s">
        <v>47</v>
      </c>
      <c r="V600" t="s">
        <v>47</v>
      </c>
      <c r="W600" t="s">
        <v>47</v>
      </c>
      <c r="X600" t="s">
        <v>51</v>
      </c>
      <c r="Y600" t="b">
        <v>0</v>
      </c>
      <c r="Z600" t="s">
        <v>47</v>
      </c>
      <c r="AA600" t="s">
        <v>47</v>
      </c>
      <c r="AB600" t="s">
        <v>47</v>
      </c>
      <c r="AC600" t="b">
        <v>1</v>
      </c>
      <c r="AD600" t="s">
        <v>52</v>
      </c>
      <c r="AE600" t="s">
        <v>3828</v>
      </c>
      <c r="AF600" t="s">
        <v>3826</v>
      </c>
      <c r="AG600" t="s">
        <v>3611</v>
      </c>
      <c r="AH600" t="s">
        <v>87</v>
      </c>
      <c r="AI600" s="2">
        <v>46160.775243055556</v>
      </c>
      <c r="AJ600" t="s">
        <v>47</v>
      </c>
      <c r="AK600" t="s">
        <v>47</v>
      </c>
      <c r="AL600" s="2">
        <v>46160.775243055556</v>
      </c>
      <c r="AM600" s="2">
        <v>46160.775243055556</v>
      </c>
    </row>
    <row r="601" spans="1:39" x14ac:dyDescent="0.3">
      <c r="A601" t="s">
        <v>3829</v>
      </c>
      <c r="B601" t="s">
        <v>3830</v>
      </c>
      <c r="C601" t="s">
        <v>41</v>
      </c>
      <c r="D601" t="s">
        <v>3831</v>
      </c>
      <c r="E601" t="s">
        <v>3832</v>
      </c>
      <c r="F601" t="s">
        <v>47</v>
      </c>
      <c r="G601" t="s">
        <v>47</v>
      </c>
      <c r="H601" t="s">
        <v>560</v>
      </c>
      <c r="I601" t="s">
        <v>47</v>
      </c>
      <c r="J601" t="s">
        <v>47</v>
      </c>
      <c r="K601" t="s">
        <v>253</v>
      </c>
      <c r="L601" t="s">
        <v>47</v>
      </c>
      <c r="M601" s="1">
        <v>46111</v>
      </c>
      <c r="N601" s="1">
        <v>46111</v>
      </c>
      <c r="O601" s="1">
        <v>46111</v>
      </c>
      <c r="P601" t="s">
        <v>254</v>
      </c>
      <c r="Q601" t="s">
        <v>50</v>
      </c>
      <c r="R601">
        <v>1</v>
      </c>
      <c r="S601" t="b">
        <v>0</v>
      </c>
      <c r="T601" t="s">
        <v>47</v>
      </c>
      <c r="U601" t="s">
        <v>47</v>
      </c>
      <c r="V601" t="s">
        <v>47</v>
      </c>
      <c r="W601" t="s">
        <v>47</v>
      </c>
      <c r="X601" t="s">
        <v>51</v>
      </c>
      <c r="Y601" t="b">
        <v>0</v>
      </c>
      <c r="Z601" t="s">
        <v>47</v>
      </c>
      <c r="AA601" t="s">
        <v>47</v>
      </c>
      <c r="AB601" t="s">
        <v>47</v>
      </c>
      <c r="AC601" t="b">
        <v>1</v>
      </c>
      <c r="AD601" t="s">
        <v>52</v>
      </c>
      <c r="AE601" t="s">
        <v>3833</v>
      </c>
      <c r="AF601" t="s">
        <v>3831</v>
      </c>
      <c r="AG601" t="s">
        <v>3611</v>
      </c>
      <c r="AH601" t="s">
        <v>87</v>
      </c>
      <c r="AI601" s="2">
        <v>46160.775243055556</v>
      </c>
      <c r="AJ601" t="s">
        <v>47</v>
      </c>
      <c r="AK601" t="s">
        <v>47</v>
      </c>
      <c r="AL601" s="2">
        <v>46160.775243055556</v>
      </c>
      <c r="AM601" s="2">
        <v>46160.775243055556</v>
      </c>
    </row>
    <row r="602" spans="1:39" x14ac:dyDescent="0.3">
      <c r="A602" s="14" t="s">
        <v>3246</v>
      </c>
      <c r="B602" s="14" t="s">
        <v>3247</v>
      </c>
      <c r="C602" s="14" t="s">
        <v>41</v>
      </c>
      <c r="D602" s="14" t="s">
        <v>3248</v>
      </c>
      <c r="E602" s="14" t="s">
        <v>3249</v>
      </c>
      <c r="F602" s="14" t="s">
        <v>3250</v>
      </c>
      <c r="G602" s="14" t="s">
        <v>3251</v>
      </c>
      <c r="H602" s="14" t="s">
        <v>3252</v>
      </c>
      <c r="I602" s="14" t="s">
        <v>47</v>
      </c>
      <c r="J602" s="14" t="s">
        <v>47</v>
      </c>
      <c r="K602" s="14" t="s">
        <v>3253</v>
      </c>
      <c r="L602" s="14" t="s">
        <v>47</v>
      </c>
      <c r="M602" s="1">
        <v>46111</v>
      </c>
      <c r="N602" s="1">
        <v>46111</v>
      </c>
      <c r="O602" s="1">
        <v>46111</v>
      </c>
      <c r="P602" s="14" t="s">
        <v>75</v>
      </c>
      <c r="Q602" s="14" t="s">
        <v>76</v>
      </c>
      <c r="R602">
        <v>4</v>
      </c>
      <c r="S602" t="b">
        <v>1</v>
      </c>
      <c r="T602" s="14" t="s">
        <v>47</v>
      </c>
      <c r="U602" s="14" t="s">
        <v>47</v>
      </c>
      <c r="V602" s="14" t="s">
        <v>47</v>
      </c>
      <c r="W602" s="14" t="s">
        <v>47</v>
      </c>
      <c r="X602" s="14" t="s">
        <v>51</v>
      </c>
      <c r="Y602" t="b">
        <v>0</v>
      </c>
      <c r="Z602" s="14" t="s">
        <v>47</v>
      </c>
      <c r="AA602" s="14" t="s">
        <v>47</v>
      </c>
      <c r="AB602" s="14" t="s">
        <v>47</v>
      </c>
      <c r="AC602" t="b">
        <v>1</v>
      </c>
      <c r="AD602" s="14" t="s">
        <v>52</v>
      </c>
      <c r="AE602" s="14" t="s">
        <v>3254</v>
      </c>
      <c r="AF602" s="14" t="s">
        <v>3248</v>
      </c>
      <c r="AG602" s="14" t="s">
        <v>47</v>
      </c>
      <c r="AH602" s="14" t="s">
        <v>87</v>
      </c>
      <c r="AI602" s="2">
        <v>46160.752071759256</v>
      </c>
      <c r="AJ602" s="14" t="s">
        <v>47</v>
      </c>
      <c r="AK602" s="14" t="s">
        <v>47</v>
      </c>
      <c r="AL602" s="2">
        <v>46160.752071759256</v>
      </c>
      <c r="AM602" s="2">
        <v>46160.752071759256</v>
      </c>
    </row>
    <row r="603" spans="1:39" x14ac:dyDescent="0.3">
      <c r="A603" s="14" t="s">
        <v>3255</v>
      </c>
      <c r="B603" s="14" t="s">
        <v>3256</v>
      </c>
      <c r="C603" s="14" t="s">
        <v>41</v>
      </c>
      <c r="D603" s="14" t="s">
        <v>3257</v>
      </c>
      <c r="E603" s="14" t="s">
        <v>3258</v>
      </c>
      <c r="F603" s="14" t="s">
        <v>3076</v>
      </c>
      <c r="G603" s="14" t="s">
        <v>3077</v>
      </c>
      <c r="H603" s="14" t="s">
        <v>3078</v>
      </c>
      <c r="I603" s="14" t="s">
        <v>47</v>
      </c>
      <c r="J603" s="14" t="s">
        <v>47</v>
      </c>
      <c r="K603" s="14" t="s">
        <v>3079</v>
      </c>
      <c r="L603" s="14" t="s">
        <v>47</v>
      </c>
      <c r="M603" s="1">
        <v>46112</v>
      </c>
      <c r="N603" s="1">
        <v>46112</v>
      </c>
      <c r="O603" s="1">
        <v>46112</v>
      </c>
      <c r="P603" s="14" t="s">
        <v>64</v>
      </c>
      <c r="Q603" s="14" t="s">
        <v>50</v>
      </c>
      <c r="R603">
        <v>2</v>
      </c>
      <c r="S603" t="b">
        <v>0</v>
      </c>
      <c r="T603" s="14" t="s">
        <v>47</v>
      </c>
      <c r="U603" s="14" t="s">
        <v>47</v>
      </c>
      <c r="V603" s="14" t="s">
        <v>47</v>
      </c>
      <c r="W603" s="14" t="s">
        <v>47</v>
      </c>
      <c r="X603" s="14" t="s">
        <v>51</v>
      </c>
      <c r="Y603" t="b">
        <v>0</v>
      </c>
      <c r="Z603" s="14" t="s">
        <v>47</v>
      </c>
      <c r="AA603" s="14" t="s">
        <v>47</v>
      </c>
      <c r="AB603" s="14" t="s">
        <v>47</v>
      </c>
      <c r="AC603" t="b">
        <v>1</v>
      </c>
      <c r="AD603" s="14" t="s">
        <v>52</v>
      </c>
      <c r="AE603" s="14" t="s">
        <v>3259</v>
      </c>
      <c r="AF603" s="14" t="s">
        <v>3257</v>
      </c>
      <c r="AG603" s="14" t="s">
        <v>47</v>
      </c>
      <c r="AH603" s="14" t="s">
        <v>87</v>
      </c>
      <c r="AI603" s="2">
        <v>46160.752071759256</v>
      </c>
      <c r="AJ603" s="14" t="s">
        <v>47</v>
      </c>
      <c r="AK603" s="14" t="s">
        <v>47</v>
      </c>
      <c r="AL603" s="2">
        <v>46160.752071759256</v>
      </c>
      <c r="AM603" s="2">
        <v>46160.752071759256</v>
      </c>
    </row>
    <row r="604" spans="1:39" x14ac:dyDescent="0.3">
      <c r="A604" t="s">
        <v>3871</v>
      </c>
      <c r="B604" t="s">
        <v>3872</v>
      </c>
      <c r="C604" t="s">
        <v>41</v>
      </c>
      <c r="D604" t="s">
        <v>3873</v>
      </c>
      <c r="E604" t="s">
        <v>3874</v>
      </c>
      <c r="F604" t="s">
        <v>47</v>
      </c>
      <c r="G604" t="s">
        <v>47</v>
      </c>
      <c r="H604" t="s">
        <v>3101</v>
      </c>
      <c r="I604" t="s">
        <v>47</v>
      </c>
      <c r="J604" t="s">
        <v>47</v>
      </c>
      <c r="K604" t="s">
        <v>47</v>
      </c>
      <c r="L604" t="s">
        <v>47</v>
      </c>
      <c r="M604" s="1">
        <v>46112</v>
      </c>
      <c r="N604" s="1">
        <v>46112</v>
      </c>
      <c r="O604" s="1">
        <v>46112</v>
      </c>
      <c r="P604" t="s">
        <v>183</v>
      </c>
      <c r="Q604" t="s">
        <v>184</v>
      </c>
      <c r="R604">
        <v>2</v>
      </c>
      <c r="S604" t="b">
        <v>0</v>
      </c>
      <c r="T604" t="s">
        <v>47</v>
      </c>
      <c r="U604" t="s">
        <v>47</v>
      </c>
      <c r="V604" t="s">
        <v>47</v>
      </c>
      <c r="W604" t="s">
        <v>47</v>
      </c>
      <c r="X604" t="s">
        <v>51</v>
      </c>
      <c r="Y604" t="b">
        <v>0</v>
      </c>
      <c r="Z604" t="s">
        <v>47</v>
      </c>
      <c r="AA604" t="s">
        <v>47</v>
      </c>
      <c r="AB604" t="s">
        <v>47</v>
      </c>
      <c r="AC604" t="b">
        <v>1</v>
      </c>
      <c r="AD604" t="s">
        <v>52</v>
      </c>
      <c r="AE604" t="s">
        <v>3875</v>
      </c>
      <c r="AF604" t="s">
        <v>3873</v>
      </c>
      <c r="AG604" t="s">
        <v>3611</v>
      </c>
      <c r="AH604" t="s">
        <v>87</v>
      </c>
      <c r="AI604" s="2">
        <v>46160.775243055556</v>
      </c>
      <c r="AJ604" t="s">
        <v>47</v>
      </c>
      <c r="AK604" t="s">
        <v>47</v>
      </c>
      <c r="AL604" s="2">
        <v>46160.775243055556</v>
      </c>
      <c r="AM604" s="2">
        <v>46160.775243055556</v>
      </c>
    </row>
    <row r="605" spans="1:39" x14ac:dyDescent="0.3">
      <c r="A605" t="s">
        <v>3677</v>
      </c>
      <c r="B605" t="s">
        <v>3678</v>
      </c>
      <c r="C605" t="s">
        <v>41</v>
      </c>
      <c r="D605" t="s">
        <v>3679</v>
      </c>
      <c r="E605" t="s">
        <v>3680</v>
      </c>
      <c r="F605" t="s">
        <v>47</v>
      </c>
      <c r="G605" t="s">
        <v>47</v>
      </c>
      <c r="H605" t="s">
        <v>3681</v>
      </c>
      <c r="I605" t="s">
        <v>47</v>
      </c>
      <c r="J605" t="s">
        <v>47</v>
      </c>
      <c r="K605" t="s">
        <v>3682</v>
      </c>
      <c r="L605" t="s">
        <v>47</v>
      </c>
      <c r="M605" s="1">
        <v>46112</v>
      </c>
      <c r="N605" s="1">
        <v>46112</v>
      </c>
      <c r="O605" s="1">
        <v>46112</v>
      </c>
      <c r="P605" t="s">
        <v>315</v>
      </c>
      <c r="Q605" t="s">
        <v>237</v>
      </c>
      <c r="R605">
        <v>2</v>
      </c>
      <c r="S605" t="b">
        <v>0</v>
      </c>
      <c r="T605" t="s">
        <v>47</v>
      </c>
      <c r="U605" t="s">
        <v>47</v>
      </c>
      <c r="V605" t="s">
        <v>47</v>
      </c>
      <c r="W605" t="s">
        <v>47</v>
      </c>
      <c r="X605" t="s">
        <v>51</v>
      </c>
      <c r="Y605" t="b">
        <v>0</v>
      </c>
      <c r="Z605" t="s">
        <v>47</v>
      </c>
      <c r="AA605" t="s">
        <v>47</v>
      </c>
      <c r="AB605" t="s">
        <v>47</v>
      </c>
      <c r="AC605" t="b">
        <v>1</v>
      </c>
      <c r="AD605" t="s">
        <v>52</v>
      </c>
      <c r="AE605" t="s">
        <v>3683</v>
      </c>
      <c r="AF605" t="s">
        <v>3679</v>
      </c>
      <c r="AG605" t="s">
        <v>3611</v>
      </c>
      <c r="AH605" t="s">
        <v>87</v>
      </c>
      <c r="AI605" s="2">
        <v>46160.775231481479</v>
      </c>
      <c r="AJ605" t="s">
        <v>47</v>
      </c>
      <c r="AK605" t="s">
        <v>47</v>
      </c>
      <c r="AL605" s="2">
        <v>46160.775231481479</v>
      </c>
      <c r="AM605" s="2">
        <v>46160.775231481479</v>
      </c>
    </row>
    <row r="606" spans="1:39" x14ac:dyDescent="0.3">
      <c r="A606" s="14" t="s">
        <v>3493</v>
      </c>
      <c r="B606" s="14" t="s">
        <v>3494</v>
      </c>
      <c r="C606" s="14" t="s">
        <v>41</v>
      </c>
      <c r="D606" s="14" t="s">
        <v>3495</v>
      </c>
      <c r="E606" s="14" t="s">
        <v>3496</v>
      </c>
      <c r="F606" s="14" t="s">
        <v>3099</v>
      </c>
      <c r="G606" s="14" t="s">
        <v>3100</v>
      </c>
      <c r="H606" s="14" t="s">
        <v>3101</v>
      </c>
      <c r="I606" s="14" t="s">
        <v>47</v>
      </c>
      <c r="J606" s="14" t="s">
        <v>47</v>
      </c>
      <c r="K606" s="14" t="s">
        <v>47</v>
      </c>
      <c r="L606" s="14" t="s">
        <v>47</v>
      </c>
      <c r="M606" s="1">
        <v>46112</v>
      </c>
      <c r="N606" s="1">
        <v>46112</v>
      </c>
      <c r="O606" s="1">
        <v>46112</v>
      </c>
      <c r="P606" s="14" t="s">
        <v>183</v>
      </c>
      <c r="Q606" s="14" t="s">
        <v>184</v>
      </c>
      <c r="R606">
        <v>2</v>
      </c>
      <c r="S606" t="b">
        <v>0</v>
      </c>
      <c r="T606" s="14" t="s">
        <v>47</v>
      </c>
      <c r="U606" s="14" t="s">
        <v>47</v>
      </c>
      <c r="V606" s="14" t="s">
        <v>47</v>
      </c>
      <c r="W606" s="14" t="s">
        <v>47</v>
      </c>
      <c r="X606" s="14" t="s">
        <v>51</v>
      </c>
      <c r="Y606" t="b">
        <v>0</v>
      </c>
      <c r="Z606" s="14" t="s">
        <v>47</v>
      </c>
      <c r="AA606" s="14" t="s">
        <v>47</v>
      </c>
      <c r="AB606" s="14" t="s">
        <v>47</v>
      </c>
      <c r="AC606" t="b">
        <v>1</v>
      </c>
      <c r="AD606" s="14" t="s">
        <v>52</v>
      </c>
      <c r="AE606" s="14" t="s">
        <v>3497</v>
      </c>
      <c r="AF606" s="14" t="s">
        <v>3495</v>
      </c>
      <c r="AG606" s="14" t="s">
        <v>47</v>
      </c>
      <c r="AH606" s="14" t="s">
        <v>87</v>
      </c>
      <c r="AI606" s="2">
        <v>46160.757951388892</v>
      </c>
      <c r="AJ606" s="14" t="s">
        <v>47</v>
      </c>
      <c r="AK606" s="14" t="s">
        <v>47</v>
      </c>
      <c r="AL606" s="2">
        <v>46160.757951388892</v>
      </c>
      <c r="AM606" s="2">
        <v>46160.757951388892</v>
      </c>
    </row>
    <row r="607" spans="1:39" x14ac:dyDescent="0.3">
      <c r="A607" t="s">
        <v>3884</v>
      </c>
      <c r="B607" t="s">
        <v>3885</v>
      </c>
      <c r="C607" t="s">
        <v>41</v>
      </c>
      <c r="D607" t="s">
        <v>3886</v>
      </c>
      <c r="E607" t="s">
        <v>4085</v>
      </c>
      <c r="F607" t="s">
        <v>47</v>
      </c>
      <c r="G607" t="s">
        <v>47</v>
      </c>
      <c r="H607" t="s">
        <v>3507</v>
      </c>
      <c r="I607" t="s">
        <v>47</v>
      </c>
      <c r="J607" t="s">
        <v>47</v>
      </c>
      <c r="K607" t="s">
        <v>3508</v>
      </c>
      <c r="L607" t="s">
        <v>47</v>
      </c>
      <c r="M607" s="1">
        <v>46111</v>
      </c>
      <c r="N607" s="1">
        <v>46111</v>
      </c>
      <c r="O607" s="1">
        <v>46111</v>
      </c>
      <c r="P607" t="s">
        <v>465</v>
      </c>
      <c r="Q607" t="s">
        <v>371</v>
      </c>
      <c r="R607">
        <v>4</v>
      </c>
      <c r="S607" t="b">
        <v>1</v>
      </c>
      <c r="T607" t="s">
        <v>47</v>
      </c>
      <c r="U607" t="s">
        <v>47</v>
      </c>
      <c r="V607" t="s">
        <v>47</v>
      </c>
      <c r="W607" t="s">
        <v>47</v>
      </c>
      <c r="X607" t="s">
        <v>51</v>
      </c>
      <c r="Y607" t="b">
        <v>0</v>
      </c>
      <c r="Z607" t="s">
        <v>47</v>
      </c>
      <c r="AA607" t="s">
        <v>47</v>
      </c>
      <c r="AB607" t="s">
        <v>47</v>
      </c>
      <c r="AC607" t="b">
        <v>1</v>
      </c>
      <c r="AD607" t="s">
        <v>52</v>
      </c>
      <c r="AE607" t="s">
        <v>3887</v>
      </c>
      <c r="AF607" t="s">
        <v>3886</v>
      </c>
      <c r="AG607" t="s">
        <v>47</v>
      </c>
      <c r="AH607" t="s">
        <v>87</v>
      </c>
      <c r="AI607" s="2">
        <v>46160.762928240743</v>
      </c>
      <c r="AJ607" t="s">
        <v>47</v>
      </c>
      <c r="AK607" s="2"/>
      <c r="AL607" s="2">
        <v>46160.762928240743</v>
      </c>
      <c r="AM607" s="2">
        <v>46160.762928240743</v>
      </c>
    </row>
    <row r="608" spans="1:39" x14ac:dyDescent="0.3">
      <c r="A608" t="s">
        <v>3888</v>
      </c>
      <c r="B608" t="s">
        <v>3889</v>
      </c>
      <c r="C608" t="s">
        <v>41</v>
      </c>
      <c r="D608" t="s">
        <v>3890</v>
      </c>
      <c r="E608" t="s">
        <v>4086</v>
      </c>
      <c r="F608" t="s">
        <v>172</v>
      </c>
      <c r="G608" t="s">
        <v>173</v>
      </c>
      <c r="H608" t="s">
        <v>174</v>
      </c>
      <c r="I608" t="s">
        <v>47</v>
      </c>
      <c r="J608" t="s">
        <v>47</v>
      </c>
      <c r="K608" t="s">
        <v>130</v>
      </c>
      <c r="L608" t="s">
        <v>47</v>
      </c>
      <c r="M608" s="1">
        <v>46085</v>
      </c>
      <c r="N608" s="1">
        <v>46085</v>
      </c>
      <c r="O608" s="1">
        <v>46085</v>
      </c>
      <c r="P608" t="s">
        <v>49</v>
      </c>
      <c r="Q608" t="s">
        <v>50</v>
      </c>
      <c r="R608">
        <v>3</v>
      </c>
      <c r="S608" t="b">
        <v>1</v>
      </c>
      <c r="T608" t="s">
        <v>47</v>
      </c>
      <c r="U608" t="s">
        <v>47</v>
      </c>
      <c r="V608" t="s">
        <v>47</v>
      </c>
      <c r="W608" t="s">
        <v>47</v>
      </c>
      <c r="X608" t="s">
        <v>51</v>
      </c>
      <c r="Y608" t="b">
        <v>0</v>
      </c>
      <c r="Z608" t="s">
        <v>47</v>
      </c>
      <c r="AA608" t="s">
        <v>47</v>
      </c>
      <c r="AB608" t="s">
        <v>47</v>
      </c>
      <c r="AC608" t="b">
        <v>1</v>
      </c>
      <c r="AD608" t="s">
        <v>52</v>
      </c>
      <c r="AE608" t="s">
        <v>3891</v>
      </c>
      <c r="AF608" t="s">
        <v>3890</v>
      </c>
      <c r="AG608" t="s">
        <v>47</v>
      </c>
      <c r="AH608" t="s">
        <v>87</v>
      </c>
      <c r="AI608" s="2">
        <v>46160.762928240743</v>
      </c>
      <c r="AJ608" t="s">
        <v>47</v>
      </c>
      <c r="AK608" s="2"/>
      <c r="AL608" s="2">
        <v>46160.762928240743</v>
      </c>
      <c r="AM608" s="2">
        <v>46160.762928240743</v>
      </c>
    </row>
    <row r="609" spans="1:39" x14ac:dyDescent="0.3">
      <c r="A609" t="s">
        <v>3892</v>
      </c>
      <c r="B609" t="s">
        <v>3893</v>
      </c>
      <c r="C609" t="s">
        <v>41</v>
      </c>
      <c r="D609" t="s">
        <v>3894</v>
      </c>
      <c r="E609" t="s">
        <v>4087</v>
      </c>
      <c r="F609" t="s">
        <v>83</v>
      </c>
      <c r="G609" t="s">
        <v>84</v>
      </c>
      <c r="H609" t="s">
        <v>85</v>
      </c>
      <c r="I609" t="s">
        <v>47</v>
      </c>
      <c r="J609" t="s">
        <v>47</v>
      </c>
      <c r="K609" t="s">
        <v>48</v>
      </c>
      <c r="L609" t="s">
        <v>47</v>
      </c>
      <c r="M609" s="1">
        <v>46090</v>
      </c>
      <c r="N609" s="1">
        <v>46090</v>
      </c>
      <c r="O609" s="1">
        <v>46090</v>
      </c>
      <c r="P609" t="s">
        <v>49</v>
      </c>
      <c r="Q609" t="s">
        <v>50</v>
      </c>
      <c r="R609">
        <v>2</v>
      </c>
      <c r="S609" t="b">
        <v>0</v>
      </c>
      <c r="T609" t="s">
        <v>47</v>
      </c>
      <c r="U609" t="s">
        <v>47</v>
      </c>
      <c r="V609" t="s">
        <v>47</v>
      </c>
      <c r="W609" t="s">
        <v>47</v>
      </c>
      <c r="X609" t="s">
        <v>51</v>
      </c>
      <c r="Y609" t="b">
        <v>0</v>
      </c>
      <c r="Z609" t="s">
        <v>47</v>
      </c>
      <c r="AA609" t="s">
        <v>47</v>
      </c>
      <c r="AB609" t="s">
        <v>47</v>
      </c>
      <c r="AC609" t="b">
        <v>1</v>
      </c>
      <c r="AD609" t="s">
        <v>52</v>
      </c>
      <c r="AE609" t="s">
        <v>3895</v>
      </c>
      <c r="AF609" t="s">
        <v>3894</v>
      </c>
      <c r="AG609" t="s">
        <v>47</v>
      </c>
      <c r="AH609" t="s">
        <v>87</v>
      </c>
      <c r="AI609" s="2">
        <v>46160.762928240743</v>
      </c>
      <c r="AJ609" t="s">
        <v>47</v>
      </c>
      <c r="AK609" s="2"/>
      <c r="AL609" s="2">
        <v>46160.762928240743</v>
      </c>
      <c r="AM609" s="2">
        <v>46160.762928240743</v>
      </c>
    </row>
    <row r="610" spans="1:39" x14ac:dyDescent="0.3">
      <c r="A610" t="s">
        <v>3896</v>
      </c>
      <c r="B610" t="s">
        <v>3897</v>
      </c>
      <c r="C610" t="s">
        <v>41</v>
      </c>
      <c r="D610" t="s">
        <v>3898</v>
      </c>
      <c r="E610" t="s">
        <v>4088</v>
      </c>
      <c r="F610" t="s">
        <v>3099</v>
      </c>
      <c r="G610" t="s">
        <v>3100</v>
      </c>
      <c r="H610" t="s">
        <v>3101</v>
      </c>
      <c r="I610" t="s">
        <v>47</v>
      </c>
      <c r="J610" t="s">
        <v>47</v>
      </c>
      <c r="K610" t="s">
        <v>47</v>
      </c>
      <c r="L610" t="s">
        <v>47</v>
      </c>
      <c r="M610" s="1">
        <v>46093</v>
      </c>
      <c r="N610" s="1">
        <v>46093</v>
      </c>
      <c r="O610" s="1">
        <v>46093</v>
      </c>
      <c r="P610" t="s">
        <v>183</v>
      </c>
      <c r="Q610" t="s">
        <v>184</v>
      </c>
      <c r="R610">
        <v>2</v>
      </c>
      <c r="S610" t="b">
        <v>0</v>
      </c>
      <c r="T610" t="s">
        <v>47</v>
      </c>
      <c r="U610" t="s">
        <v>47</v>
      </c>
      <c r="V610" t="s">
        <v>47</v>
      </c>
      <c r="W610" t="s">
        <v>47</v>
      </c>
      <c r="X610" t="s">
        <v>51</v>
      </c>
      <c r="Y610" t="b">
        <v>0</v>
      </c>
      <c r="Z610" t="s">
        <v>47</v>
      </c>
      <c r="AA610" t="s">
        <v>47</v>
      </c>
      <c r="AB610" t="s">
        <v>47</v>
      </c>
      <c r="AC610" t="b">
        <v>1</v>
      </c>
      <c r="AD610" t="s">
        <v>52</v>
      </c>
      <c r="AE610" t="s">
        <v>3899</v>
      </c>
      <c r="AF610" t="s">
        <v>3898</v>
      </c>
      <c r="AG610" t="s">
        <v>47</v>
      </c>
      <c r="AH610" t="s">
        <v>87</v>
      </c>
      <c r="AI610" s="2">
        <v>46160.762928240743</v>
      </c>
      <c r="AJ610" t="s">
        <v>47</v>
      </c>
      <c r="AK610" s="2"/>
      <c r="AL610" s="2">
        <v>46160.762928240743</v>
      </c>
      <c r="AM610" s="2">
        <v>46160.762928240743</v>
      </c>
    </row>
    <row r="611" spans="1:39" x14ac:dyDescent="0.3">
      <c r="A611" t="s">
        <v>3900</v>
      </c>
      <c r="B611" t="s">
        <v>3901</v>
      </c>
      <c r="C611" t="s">
        <v>41</v>
      </c>
      <c r="D611" t="s">
        <v>3902</v>
      </c>
      <c r="E611" t="s">
        <v>4089</v>
      </c>
      <c r="F611" t="s">
        <v>3099</v>
      </c>
      <c r="G611" t="s">
        <v>3100</v>
      </c>
      <c r="H611" t="s">
        <v>3101</v>
      </c>
      <c r="I611" t="s">
        <v>47</v>
      </c>
      <c r="J611" t="s">
        <v>47</v>
      </c>
      <c r="K611" t="s">
        <v>47</v>
      </c>
      <c r="L611" t="s">
        <v>47</v>
      </c>
      <c r="M611" s="1">
        <v>46097</v>
      </c>
      <c r="N611" s="1">
        <v>46097</v>
      </c>
      <c r="O611" s="1">
        <v>46097</v>
      </c>
      <c r="P611" t="s">
        <v>183</v>
      </c>
      <c r="Q611" t="s">
        <v>184</v>
      </c>
      <c r="R611">
        <v>2</v>
      </c>
      <c r="S611" t="b">
        <v>0</v>
      </c>
      <c r="T611" t="s">
        <v>47</v>
      </c>
      <c r="U611" t="s">
        <v>47</v>
      </c>
      <c r="V611" t="s">
        <v>47</v>
      </c>
      <c r="W611" t="s">
        <v>47</v>
      </c>
      <c r="X611" t="s">
        <v>51</v>
      </c>
      <c r="Y611" t="b">
        <v>0</v>
      </c>
      <c r="Z611" t="s">
        <v>47</v>
      </c>
      <c r="AA611" t="s">
        <v>47</v>
      </c>
      <c r="AB611" t="s">
        <v>47</v>
      </c>
      <c r="AC611" t="b">
        <v>1</v>
      </c>
      <c r="AD611" t="s">
        <v>52</v>
      </c>
      <c r="AE611" t="s">
        <v>3903</v>
      </c>
      <c r="AF611" t="s">
        <v>3902</v>
      </c>
      <c r="AG611" t="s">
        <v>47</v>
      </c>
      <c r="AH611" t="s">
        <v>87</v>
      </c>
      <c r="AI611" s="2">
        <v>46160.762928240743</v>
      </c>
      <c r="AJ611" t="s">
        <v>47</v>
      </c>
      <c r="AK611" s="2"/>
      <c r="AL611" s="2">
        <v>46160.762928240743</v>
      </c>
      <c r="AM611" s="2">
        <v>46160.762928240743</v>
      </c>
    </row>
    <row r="612" spans="1:39" x14ac:dyDescent="0.3">
      <c r="A612" t="s">
        <v>3904</v>
      </c>
      <c r="B612" t="s">
        <v>3905</v>
      </c>
      <c r="C612" t="s">
        <v>41</v>
      </c>
      <c r="D612" t="s">
        <v>3906</v>
      </c>
      <c r="E612" t="s">
        <v>4090</v>
      </c>
      <c r="F612" t="s">
        <v>718</v>
      </c>
      <c r="G612" t="s">
        <v>719</v>
      </c>
      <c r="H612" t="s">
        <v>720</v>
      </c>
      <c r="I612" t="s">
        <v>47</v>
      </c>
      <c r="J612" t="s">
        <v>47</v>
      </c>
      <c r="K612" t="s">
        <v>721</v>
      </c>
      <c r="L612" t="s">
        <v>47</v>
      </c>
      <c r="M612" s="1">
        <v>46097</v>
      </c>
      <c r="N612" s="1">
        <v>46097</v>
      </c>
      <c r="O612" s="1">
        <v>46097</v>
      </c>
      <c r="P612" t="s">
        <v>722</v>
      </c>
      <c r="Q612" t="s">
        <v>50</v>
      </c>
      <c r="R612">
        <v>3</v>
      </c>
      <c r="S612" t="b">
        <v>1</v>
      </c>
      <c r="T612" t="s">
        <v>47</v>
      </c>
      <c r="U612" t="s">
        <v>47</v>
      </c>
      <c r="V612" t="s">
        <v>47</v>
      </c>
      <c r="W612" t="s">
        <v>47</v>
      </c>
      <c r="X612" t="s">
        <v>51</v>
      </c>
      <c r="Y612" t="b">
        <v>0</v>
      </c>
      <c r="Z612" t="s">
        <v>47</v>
      </c>
      <c r="AA612" t="s">
        <v>47</v>
      </c>
      <c r="AB612" t="s">
        <v>47</v>
      </c>
      <c r="AC612" t="b">
        <v>1</v>
      </c>
      <c r="AD612" t="s">
        <v>52</v>
      </c>
      <c r="AE612" t="s">
        <v>3907</v>
      </c>
      <c r="AF612" t="s">
        <v>3906</v>
      </c>
      <c r="AG612" t="s">
        <v>47</v>
      </c>
      <c r="AH612" t="s">
        <v>87</v>
      </c>
      <c r="AI612" s="2">
        <v>46160.762928240743</v>
      </c>
      <c r="AJ612" t="s">
        <v>47</v>
      </c>
      <c r="AK612" s="2"/>
      <c r="AL612" s="2">
        <v>46160.762928240743</v>
      </c>
      <c r="AM612" s="2">
        <v>46160.762928240743</v>
      </c>
    </row>
    <row r="613" spans="1:39" x14ac:dyDescent="0.3">
      <c r="A613" t="s">
        <v>3908</v>
      </c>
      <c r="B613" t="s">
        <v>3909</v>
      </c>
      <c r="C613" t="s">
        <v>41</v>
      </c>
      <c r="D613" t="s">
        <v>3910</v>
      </c>
      <c r="E613" t="s">
        <v>4091</v>
      </c>
      <c r="F613" t="s">
        <v>718</v>
      </c>
      <c r="G613" t="s">
        <v>719</v>
      </c>
      <c r="H613" t="s">
        <v>720</v>
      </c>
      <c r="I613" t="s">
        <v>47</v>
      </c>
      <c r="J613" t="s">
        <v>47</v>
      </c>
      <c r="K613" t="s">
        <v>721</v>
      </c>
      <c r="L613" t="s">
        <v>47</v>
      </c>
      <c r="M613" s="1">
        <v>46097</v>
      </c>
      <c r="N613" s="1">
        <v>46097</v>
      </c>
      <c r="O613" s="1">
        <v>46097</v>
      </c>
      <c r="P613" t="s">
        <v>722</v>
      </c>
      <c r="Q613" t="s">
        <v>50</v>
      </c>
      <c r="R613">
        <v>3</v>
      </c>
      <c r="S613" t="b">
        <v>1</v>
      </c>
      <c r="T613" t="s">
        <v>47</v>
      </c>
      <c r="U613" t="s">
        <v>47</v>
      </c>
      <c r="V613" t="s">
        <v>47</v>
      </c>
      <c r="W613" t="s">
        <v>47</v>
      </c>
      <c r="X613" t="s">
        <v>51</v>
      </c>
      <c r="Y613" t="b">
        <v>0</v>
      </c>
      <c r="Z613" t="s">
        <v>47</v>
      </c>
      <c r="AA613" t="s">
        <v>47</v>
      </c>
      <c r="AB613" t="s">
        <v>47</v>
      </c>
      <c r="AC613" t="b">
        <v>1</v>
      </c>
      <c r="AD613" t="s">
        <v>52</v>
      </c>
      <c r="AE613" t="s">
        <v>3911</v>
      </c>
      <c r="AF613" t="s">
        <v>3910</v>
      </c>
      <c r="AG613" t="s">
        <v>47</v>
      </c>
      <c r="AH613" t="s">
        <v>87</v>
      </c>
      <c r="AI613" s="2">
        <v>46160.762928240743</v>
      </c>
      <c r="AJ613" t="s">
        <v>47</v>
      </c>
      <c r="AK613" s="2"/>
      <c r="AL613" s="2">
        <v>46160.762928240743</v>
      </c>
      <c r="AM613" s="2">
        <v>46160.762928240743</v>
      </c>
    </row>
    <row r="614" spans="1:39" x14ac:dyDescent="0.3">
      <c r="A614" t="s">
        <v>3912</v>
      </c>
      <c r="B614" t="s">
        <v>3913</v>
      </c>
      <c r="C614" t="s">
        <v>41</v>
      </c>
      <c r="D614" t="s">
        <v>3914</v>
      </c>
      <c r="E614" t="s">
        <v>4092</v>
      </c>
      <c r="F614" t="s">
        <v>83</v>
      </c>
      <c r="G614" t="s">
        <v>84</v>
      </c>
      <c r="H614" t="s">
        <v>85</v>
      </c>
      <c r="I614" t="s">
        <v>47</v>
      </c>
      <c r="J614" t="s">
        <v>47</v>
      </c>
      <c r="K614" t="s">
        <v>48</v>
      </c>
      <c r="L614" t="s">
        <v>47</v>
      </c>
      <c r="M614" s="1">
        <v>46101</v>
      </c>
      <c r="N614" s="1">
        <v>46101</v>
      </c>
      <c r="O614" s="1">
        <v>46101</v>
      </c>
      <c r="P614" t="s">
        <v>49</v>
      </c>
      <c r="Q614" t="s">
        <v>50</v>
      </c>
      <c r="R614">
        <v>2</v>
      </c>
      <c r="S614" t="b">
        <v>0</v>
      </c>
      <c r="T614" t="s">
        <v>47</v>
      </c>
      <c r="U614" t="s">
        <v>47</v>
      </c>
      <c r="V614" t="s">
        <v>47</v>
      </c>
      <c r="W614" t="s">
        <v>47</v>
      </c>
      <c r="X614" t="s">
        <v>51</v>
      </c>
      <c r="Y614" t="b">
        <v>0</v>
      </c>
      <c r="Z614" t="s">
        <v>47</v>
      </c>
      <c r="AA614" t="s">
        <v>47</v>
      </c>
      <c r="AB614" t="s">
        <v>47</v>
      </c>
      <c r="AC614" t="b">
        <v>1</v>
      </c>
      <c r="AD614" t="s">
        <v>52</v>
      </c>
      <c r="AE614" t="s">
        <v>3915</v>
      </c>
      <c r="AF614" t="s">
        <v>3914</v>
      </c>
      <c r="AG614" t="s">
        <v>47</v>
      </c>
      <c r="AH614" t="s">
        <v>87</v>
      </c>
      <c r="AI614" s="2">
        <v>46160.762928240743</v>
      </c>
      <c r="AJ614" t="s">
        <v>47</v>
      </c>
      <c r="AK614" s="2"/>
      <c r="AL614" s="2">
        <v>46160.762928240743</v>
      </c>
      <c r="AM614" s="2">
        <v>46160.762928240743</v>
      </c>
    </row>
    <row r="615" spans="1:39" x14ac:dyDescent="0.3">
      <c r="A615" t="s">
        <v>3916</v>
      </c>
      <c r="B615" t="s">
        <v>3917</v>
      </c>
      <c r="C615" t="s">
        <v>41</v>
      </c>
      <c r="D615" t="s">
        <v>3918</v>
      </c>
      <c r="E615" t="s">
        <v>4093</v>
      </c>
      <c r="F615" t="s">
        <v>83</v>
      </c>
      <c r="G615" t="s">
        <v>84</v>
      </c>
      <c r="H615" t="s">
        <v>85</v>
      </c>
      <c r="I615" t="s">
        <v>47</v>
      </c>
      <c r="J615" t="s">
        <v>47</v>
      </c>
      <c r="K615" t="s">
        <v>48</v>
      </c>
      <c r="L615" t="s">
        <v>47</v>
      </c>
      <c r="M615" s="1">
        <v>46101</v>
      </c>
      <c r="N615" s="1">
        <v>46101</v>
      </c>
      <c r="O615" s="1">
        <v>46101</v>
      </c>
      <c r="P615" t="s">
        <v>49</v>
      </c>
      <c r="Q615" t="s">
        <v>50</v>
      </c>
      <c r="R615">
        <v>2</v>
      </c>
      <c r="S615" t="b">
        <v>0</v>
      </c>
      <c r="T615" t="s">
        <v>47</v>
      </c>
      <c r="U615" t="s">
        <v>47</v>
      </c>
      <c r="V615" t="s">
        <v>47</v>
      </c>
      <c r="W615" t="s">
        <v>47</v>
      </c>
      <c r="X615" t="s">
        <v>51</v>
      </c>
      <c r="Y615" t="b">
        <v>0</v>
      </c>
      <c r="Z615" t="s">
        <v>47</v>
      </c>
      <c r="AA615" t="s">
        <v>47</v>
      </c>
      <c r="AB615" t="s">
        <v>47</v>
      </c>
      <c r="AC615" t="b">
        <v>1</v>
      </c>
      <c r="AD615" t="s">
        <v>52</v>
      </c>
      <c r="AE615" t="s">
        <v>3919</v>
      </c>
      <c r="AF615" t="s">
        <v>3918</v>
      </c>
      <c r="AG615" t="s">
        <v>47</v>
      </c>
      <c r="AH615" t="s">
        <v>87</v>
      </c>
      <c r="AI615" s="2">
        <v>46160.762928240743</v>
      </c>
      <c r="AJ615" t="s">
        <v>47</v>
      </c>
      <c r="AK615" s="2"/>
      <c r="AL615" s="2">
        <v>46160.762928240743</v>
      </c>
      <c r="AM615" s="2">
        <v>46160.762928240743</v>
      </c>
    </row>
    <row r="616" spans="1:39" x14ac:dyDescent="0.3">
      <c r="A616" t="s">
        <v>3920</v>
      </c>
      <c r="B616" t="s">
        <v>3921</v>
      </c>
      <c r="C616" t="s">
        <v>41</v>
      </c>
      <c r="D616" t="s">
        <v>3922</v>
      </c>
      <c r="E616" t="s">
        <v>4094</v>
      </c>
      <c r="F616" t="s">
        <v>3099</v>
      </c>
      <c r="G616" t="s">
        <v>3100</v>
      </c>
      <c r="H616" t="s">
        <v>3101</v>
      </c>
      <c r="I616" t="s">
        <v>47</v>
      </c>
      <c r="J616" t="s">
        <v>47</v>
      </c>
      <c r="K616" t="s">
        <v>47</v>
      </c>
      <c r="L616" t="s">
        <v>47</v>
      </c>
      <c r="M616" s="1">
        <v>46105</v>
      </c>
      <c r="N616" s="1">
        <v>46105</v>
      </c>
      <c r="O616" s="1">
        <v>46105</v>
      </c>
      <c r="P616" t="s">
        <v>183</v>
      </c>
      <c r="Q616" t="s">
        <v>184</v>
      </c>
      <c r="R616">
        <v>2</v>
      </c>
      <c r="S616" t="b">
        <v>0</v>
      </c>
      <c r="T616" t="s">
        <v>47</v>
      </c>
      <c r="U616" t="s">
        <v>47</v>
      </c>
      <c r="V616" t="s">
        <v>47</v>
      </c>
      <c r="W616" t="s">
        <v>47</v>
      </c>
      <c r="X616" t="s">
        <v>51</v>
      </c>
      <c r="Y616" t="b">
        <v>0</v>
      </c>
      <c r="Z616" t="s">
        <v>47</v>
      </c>
      <c r="AA616" t="s">
        <v>47</v>
      </c>
      <c r="AB616" t="s">
        <v>47</v>
      </c>
      <c r="AC616" t="b">
        <v>1</v>
      </c>
      <c r="AD616" t="s">
        <v>52</v>
      </c>
      <c r="AE616" t="s">
        <v>3923</v>
      </c>
      <c r="AF616" t="s">
        <v>3922</v>
      </c>
      <c r="AG616" t="s">
        <v>47</v>
      </c>
      <c r="AH616" t="s">
        <v>87</v>
      </c>
      <c r="AI616" s="2">
        <v>46160.762928240743</v>
      </c>
      <c r="AJ616" t="s">
        <v>47</v>
      </c>
      <c r="AK616" s="2"/>
      <c r="AL616" s="2">
        <v>46160.762928240743</v>
      </c>
      <c r="AM616" s="2">
        <v>46160.762928240743</v>
      </c>
    </row>
    <row r="617" spans="1:39" x14ac:dyDescent="0.3">
      <c r="A617" t="s">
        <v>3924</v>
      </c>
      <c r="B617" t="s">
        <v>3925</v>
      </c>
      <c r="C617" t="s">
        <v>41</v>
      </c>
      <c r="D617" t="s">
        <v>3926</v>
      </c>
      <c r="E617" t="s">
        <v>4095</v>
      </c>
      <c r="F617" t="s">
        <v>3085</v>
      </c>
      <c r="G617" t="s">
        <v>3086</v>
      </c>
      <c r="H617" t="s">
        <v>3087</v>
      </c>
      <c r="I617" t="s">
        <v>47</v>
      </c>
      <c r="J617" t="s">
        <v>47</v>
      </c>
      <c r="K617" t="s">
        <v>3088</v>
      </c>
      <c r="L617" t="s">
        <v>47</v>
      </c>
      <c r="M617" s="1">
        <v>46108</v>
      </c>
      <c r="N617" s="1">
        <v>46108</v>
      </c>
      <c r="O617" s="1">
        <v>46108</v>
      </c>
      <c r="P617" t="s">
        <v>1771</v>
      </c>
      <c r="Q617" t="s">
        <v>371</v>
      </c>
      <c r="R617">
        <v>5</v>
      </c>
      <c r="S617" t="b">
        <v>1</v>
      </c>
      <c r="T617" t="s">
        <v>47</v>
      </c>
      <c r="U617" t="s">
        <v>47</v>
      </c>
      <c r="V617" t="s">
        <v>47</v>
      </c>
      <c r="W617" t="s">
        <v>47</v>
      </c>
      <c r="X617" t="s">
        <v>51</v>
      </c>
      <c r="Y617" t="b">
        <v>0</v>
      </c>
      <c r="Z617" t="s">
        <v>47</v>
      </c>
      <c r="AA617" t="s">
        <v>47</v>
      </c>
      <c r="AB617" t="s">
        <v>47</v>
      </c>
      <c r="AC617" t="b">
        <v>1</v>
      </c>
      <c r="AD617" t="s">
        <v>52</v>
      </c>
      <c r="AE617" t="s">
        <v>3927</v>
      </c>
      <c r="AF617" t="s">
        <v>3926</v>
      </c>
      <c r="AG617" t="s">
        <v>47</v>
      </c>
      <c r="AH617" t="s">
        <v>87</v>
      </c>
      <c r="AI617" s="2">
        <v>46160.762928240743</v>
      </c>
      <c r="AJ617" t="s">
        <v>47</v>
      </c>
      <c r="AK617" s="2"/>
      <c r="AL617" s="2">
        <v>46160.762928240743</v>
      </c>
      <c r="AM617" s="2">
        <v>46160.762928240743</v>
      </c>
    </row>
    <row r="618" spans="1:39" x14ac:dyDescent="0.3">
      <c r="A618" t="s">
        <v>3928</v>
      </c>
      <c r="B618" t="s">
        <v>3929</v>
      </c>
      <c r="C618" t="s">
        <v>41</v>
      </c>
      <c r="D618" t="s">
        <v>3930</v>
      </c>
      <c r="E618" t="s">
        <v>4096</v>
      </c>
      <c r="F618" t="s">
        <v>172</v>
      </c>
      <c r="G618" t="s">
        <v>173</v>
      </c>
      <c r="H618" t="s">
        <v>174</v>
      </c>
      <c r="I618" t="s">
        <v>47</v>
      </c>
      <c r="J618" t="s">
        <v>47</v>
      </c>
      <c r="K618" t="s">
        <v>130</v>
      </c>
      <c r="L618" t="s">
        <v>47</v>
      </c>
      <c r="M618" s="1">
        <v>46108</v>
      </c>
      <c r="N618" s="1">
        <v>46108</v>
      </c>
      <c r="O618" s="1">
        <v>46108</v>
      </c>
      <c r="P618" t="s">
        <v>49</v>
      </c>
      <c r="Q618" t="s">
        <v>50</v>
      </c>
      <c r="R618">
        <v>3</v>
      </c>
      <c r="S618" t="b">
        <v>1</v>
      </c>
      <c r="T618" t="s">
        <v>47</v>
      </c>
      <c r="U618" t="s">
        <v>47</v>
      </c>
      <c r="V618" t="s">
        <v>47</v>
      </c>
      <c r="W618" t="s">
        <v>47</v>
      </c>
      <c r="X618" t="s">
        <v>51</v>
      </c>
      <c r="Y618" t="b">
        <v>0</v>
      </c>
      <c r="Z618" t="s">
        <v>47</v>
      </c>
      <c r="AA618" t="s">
        <v>47</v>
      </c>
      <c r="AB618" t="s">
        <v>47</v>
      </c>
      <c r="AC618" t="b">
        <v>1</v>
      </c>
      <c r="AD618" t="s">
        <v>52</v>
      </c>
      <c r="AE618" t="s">
        <v>3931</v>
      </c>
      <c r="AF618" t="s">
        <v>3930</v>
      </c>
      <c r="AG618" t="s">
        <v>47</v>
      </c>
      <c r="AH618" t="s">
        <v>87</v>
      </c>
      <c r="AI618" s="2">
        <v>46160.762928240743</v>
      </c>
      <c r="AJ618" t="s">
        <v>47</v>
      </c>
      <c r="AK618" s="2"/>
      <c r="AL618" s="2">
        <v>46160.762928240743</v>
      </c>
      <c r="AM618" s="2">
        <v>46160.762928240743</v>
      </c>
    </row>
    <row r="619" spans="1:39" x14ac:dyDescent="0.3">
      <c r="A619" t="s">
        <v>3932</v>
      </c>
      <c r="B619" t="s">
        <v>3933</v>
      </c>
      <c r="C619" t="s">
        <v>41</v>
      </c>
      <c r="D619" t="s">
        <v>3934</v>
      </c>
      <c r="E619" t="s">
        <v>4097</v>
      </c>
      <c r="F619" t="s">
        <v>83</v>
      </c>
      <c r="G619" t="s">
        <v>84</v>
      </c>
      <c r="H619" t="s">
        <v>85</v>
      </c>
      <c r="I619" t="s">
        <v>47</v>
      </c>
      <c r="J619" t="s">
        <v>47</v>
      </c>
      <c r="K619" t="s">
        <v>48</v>
      </c>
      <c r="L619" t="s">
        <v>47</v>
      </c>
      <c r="M619" s="1">
        <v>46109</v>
      </c>
      <c r="N619" s="1">
        <v>46109</v>
      </c>
      <c r="O619" s="1">
        <v>46109</v>
      </c>
      <c r="P619" t="s">
        <v>49</v>
      </c>
      <c r="Q619" t="s">
        <v>50</v>
      </c>
      <c r="R619">
        <v>2</v>
      </c>
      <c r="S619" t="b">
        <v>0</v>
      </c>
      <c r="T619" t="s">
        <v>47</v>
      </c>
      <c r="U619" t="s">
        <v>47</v>
      </c>
      <c r="V619" t="s">
        <v>47</v>
      </c>
      <c r="W619" t="s">
        <v>47</v>
      </c>
      <c r="X619" t="s">
        <v>51</v>
      </c>
      <c r="Y619" t="b">
        <v>0</v>
      </c>
      <c r="Z619" t="s">
        <v>47</v>
      </c>
      <c r="AA619" t="s">
        <v>47</v>
      </c>
      <c r="AB619" t="s">
        <v>47</v>
      </c>
      <c r="AC619" t="b">
        <v>1</v>
      </c>
      <c r="AD619" t="s">
        <v>52</v>
      </c>
      <c r="AE619" t="s">
        <v>3935</v>
      </c>
      <c r="AF619" t="s">
        <v>3934</v>
      </c>
      <c r="AG619" t="s">
        <v>47</v>
      </c>
      <c r="AH619" t="s">
        <v>87</v>
      </c>
      <c r="AI619" s="2">
        <v>46160.762928240743</v>
      </c>
      <c r="AJ619" t="s">
        <v>47</v>
      </c>
      <c r="AK619" s="2"/>
      <c r="AL619" s="2">
        <v>46160.762928240743</v>
      </c>
      <c r="AM619" s="2">
        <v>46160.762928240743</v>
      </c>
    </row>
    <row r="620" spans="1:39" x14ac:dyDescent="0.3">
      <c r="A620" t="s">
        <v>3936</v>
      </c>
      <c r="B620" t="s">
        <v>3937</v>
      </c>
      <c r="C620" t="s">
        <v>41</v>
      </c>
      <c r="D620" t="s">
        <v>3938</v>
      </c>
      <c r="E620" t="s">
        <v>4098</v>
      </c>
      <c r="F620" t="s">
        <v>83</v>
      </c>
      <c r="G620" t="s">
        <v>84</v>
      </c>
      <c r="H620" t="s">
        <v>85</v>
      </c>
      <c r="I620" t="s">
        <v>47</v>
      </c>
      <c r="J620" t="s">
        <v>47</v>
      </c>
      <c r="K620" t="s">
        <v>48</v>
      </c>
      <c r="L620" t="s">
        <v>47</v>
      </c>
      <c r="M620" s="1">
        <v>46109</v>
      </c>
      <c r="N620" s="1">
        <v>46109</v>
      </c>
      <c r="O620" s="1">
        <v>46109</v>
      </c>
      <c r="P620" t="s">
        <v>49</v>
      </c>
      <c r="Q620" t="s">
        <v>50</v>
      </c>
      <c r="R620">
        <v>2</v>
      </c>
      <c r="S620" t="b">
        <v>0</v>
      </c>
      <c r="T620" t="s">
        <v>47</v>
      </c>
      <c r="U620" t="s">
        <v>47</v>
      </c>
      <c r="V620" t="s">
        <v>47</v>
      </c>
      <c r="W620" t="s">
        <v>47</v>
      </c>
      <c r="X620" t="s">
        <v>51</v>
      </c>
      <c r="Y620" t="b">
        <v>0</v>
      </c>
      <c r="Z620" t="s">
        <v>47</v>
      </c>
      <c r="AA620" t="s">
        <v>47</v>
      </c>
      <c r="AB620" t="s">
        <v>47</v>
      </c>
      <c r="AC620" t="b">
        <v>1</v>
      </c>
      <c r="AD620" t="s">
        <v>52</v>
      </c>
      <c r="AE620" t="s">
        <v>3939</v>
      </c>
      <c r="AF620" t="s">
        <v>3938</v>
      </c>
      <c r="AG620" t="s">
        <v>47</v>
      </c>
      <c r="AH620" t="s">
        <v>87</v>
      </c>
      <c r="AI620" s="2">
        <v>46160.762928240743</v>
      </c>
      <c r="AJ620" t="s">
        <v>47</v>
      </c>
      <c r="AK620" s="2"/>
      <c r="AL620" s="2">
        <v>46160.762928240743</v>
      </c>
      <c r="AM620" s="2">
        <v>46160.762928240743</v>
      </c>
    </row>
    <row r="621" spans="1:39" x14ac:dyDescent="0.3">
      <c r="A621" t="s">
        <v>3940</v>
      </c>
      <c r="B621" t="s">
        <v>3941</v>
      </c>
      <c r="C621" t="s">
        <v>41</v>
      </c>
      <c r="D621" t="s">
        <v>3942</v>
      </c>
      <c r="E621" t="s">
        <v>4099</v>
      </c>
      <c r="F621" t="s">
        <v>3099</v>
      </c>
      <c r="G621" t="s">
        <v>3100</v>
      </c>
      <c r="H621" t="s">
        <v>3101</v>
      </c>
      <c r="I621" t="s">
        <v>47</v>
      </c>
      <c r="J621" t="s">
        <v>47</v>
      </c>
      <c r="K621" t="s">
        <v>47</v>
      </c>
      <c r="L621" t="s">
        <v>47</v>
      </c>
      <c r="M621" s="1">
        <v>46084</v>
      </c>
      <c r="N621" s="1">
        <v>46084</v>
      </c>
      <c r="O621" s="1">
        <v>46084</v>
      </c>
      <c r="P621" t="s">
        <v>183</v>
      </c>
      <c r="Q621" t="s">
        <v>184</v>
      </c>
      <c r="R621">
        <v>2</v>
      </c>
      <c r="S621" t="b">
        <v>0</v>
      </c>
      <c r="T621" t="s">
        <v>47</v>
      </c>
      <c r="U621" t="s">
        <v>47</v>
      </c>
      <c r="V621" t="s">
        <v>47</v>
      </c>
      <c r="W621" t="s">
        <v>47</v>
      </c>
      <c r="X621" t="s">
        <v>51</v>
      </c>
      <c r="Y621" t="b">
        <v>0</v>
      </c>
      <c r="Z621" t="s">
        <v>47</v>
      </c>
      <c r="AA621" t="s">
        <v>47</v>
      </c>
      <c r="AB621" t="s">
        <v>47</v>
      </c>
      <c r="AC621" t="b">
        <v>1</v>
      </c>
      <c r="AD621" t="s">
        <v>52</v>
      </c>
      <c r="AE621" t="s">
        <v>3943</v>
      </c>
      <c r="AF621" t="s">
        <v>3942</v>
      </c>
      <c r="AG621" t="s">
        <v>47</v>
      </c>
      <c r="AH621" t="s">
        <v>87</v>
      </c>
      <c r="AI621" s="2">
        <v>46160.762928240743</v>
      </c>
      <c r="AJ621" t="s">
        <v>47</v>
      </c>
      <c r="AK621" s="2"/>
      <c r="AL621" s="2">
        <v>46160.762928240743</v>
      </c>
      <c r="AM621" s="2">
        <v>46160.762928240743</v>
      </c>
    </row>
    <row r="622" spans="1:39" x14ac:dyDescent="0.3">
      <c r="A622" t="s">
        <v>3944</v>
      </c>
      <c r="B622" t="s">
        <v>3945</v>
      </c>
      <c r="C622" t="s">
        <v>41</v>
      </c>
      <c r="D622" t="s">
        <v>3946</v>
      </c>
      <c r="E622" t="s">
        <v>4100</v>
      </c>
      <c r="F622" t="s">
        <v>3099</v>
      </c>
      <c r="G622" t="s">
        <v>3100</v>
      </c>
      <c r="H622" t="s">
        <v>3101</v>
      </c>
      <c r="I622" t="s">
        <v>47</v>
      </c>
      <c r="J622" t="s">
        <v>47</v>
      </c>
      <c r="K622" t="s">
        <v>47</v>
      </c>
      <c r="L622" t="s">
        <v>47</v>
      </c>
      <c r="M622" s="1">
        <v>46085</v>
      </c>
      <c r="N622" s="1">
        <v>46085</v>
      </c>
      <c r="O622" s="1">
        <v>46085</v>
      </c>
      <c r="P622" t="s">
        <v>183</v>
      </c>
      <c r="Q622" t="s">
        <v>184</v>
      </c>
      <c r="R622">
        <v>2</v>
      </c>
      <c r="S622" t="b">
        <v>0</v>
      </c>
      <c r="T622" t="s">
        <v>47</v>
      </c>
      <c r="U622" t="s">
        <v>47</v>
      </c>
      <c r="V622" t="s">
        <v>47</v>
      </c>
      <c r="W622" t="s">
        <v>47</v>
      </c>
      <c r="X622" t="s">
        <v>51</v>
      </c>
      <c r="Y622" t="b">
        <v>0</v>
      </c>
      <c r="Z622" t="s">
        <v>47</v>
      </c>
      <c r="AA622" t="s">
        <v>47</v>
      </c>
      <c r="AB622" t="s">
        <v>47</v>
      </c>
      <c r="AC622" t="b">
        <v>1</v>
      </c>
      <c r="AD622" t="s">
        <v>52</v>
      </c>
      <c r="AE622" t="s">
        <v>3947</v>
      </c>
      <c r="AF622" t="s">
        <v>3946</v>
      </c>
      <c r="AG622" t="s">
        <v>47</v>
      </c>
      <c r="AH622" t="s">
        <v>87</v>
      </c>
      <c r="AI622" s="2">
        <v>46160.762928240743</v>
      </c>
      <c r="AJ622" t="s">
        <v>47</v>
      </c>
      <c r="AK622" s="2"/>
      <c r="AL622" s="2">
        <v>46160.762928240743</v>
      </c>
      <c r="AM622" s="2">
        <v>46160.762928240743</v>
      </c>
    </row>
    <row r="623" spans="1:39" x14ac:dyDescent="0.3">
      <c r="A623" t="s">
        <v>3948</v>
      </c>
      <c r="B623" t="s">
        <v>3949</v>
      </c>
      <c r="C623" t="s">
        <v>41</v>
      </c>
      <c r="D623" t="s">
        <v>3950</v>
      </c>
      <c r="E623" t="s">
        <v>4101</v>
      </c>
      <c r="F623" t="s">
        <v>172</v>
      </c>
      <c r="G623" t="s">
        <v>173</v>
      </c>
      <c r="H623" t="s">
        <v>174</v>
      </c>
      <c r="I623" t="s">
        <v>47</v>
      </c>
      <c r="J623" t="s">
        <v>47</v>
      </c>
      <c r="K623" t="s">
        <v>130</v>
      </c>
      <c r="L623" t="s">
        <v>47</v>
      </c>
      <c r="M623" s="1">
        <v>46085</v>
      </c>
      <c r="N623" s="1">
        <v>46085</v>
      </c>
      <c r="O623" s="1">
        <v>46085</v>
      </c>
      <c r="P623" t="s">
        <v>49</v>
      </c>
      <c r="Q623" t="s">
        <v>50</v>
      </c>
      <c r="R623">
        <v>3</v>
      </c>
      <c r="S623" t="b">
        <v>1</v>
      </c>
      <c r="T623" t="s">
        <v>47</v>
      </c>
      <c r="U623" t="s">
        <v>47</v>
      </c>
      <c r="V623" t="s">
        <v>47</v>
      </c>
      <c r="W623" t="s">
        <v>47</v>
      </c>
      <c r="X623" t="s">
        <v>51</v>
      </c>
      <c r="Y623" t="b">
        <v>0</v>
      </c>
      <c r="Z623" t="s">
        <v>47</v>
      </c>
      <c r="AA623" t="s">
        <v>47</v>
      </c>
      <c r="AB623" t="s">
        <v>47</v>
      </c>
      <c r="AC623" t="b">
        <v>1</v>
      </c>
      <c r="AD623" t="s">
        <v>52</v>
      </c>
      <c r="AE623" t="s">
        <v>3951</v>
      </c>
      <c r="AF623" t="s">
        <v>3950</v>
      </c>
      <c r="AG623" t="s">
        <v>47</v>
      </c>
      <c r="AH623" t="s">
        <v>87</v>
      </c>
      <c r="AI623" s="2">
        <v>46160.762928240743</v>
      </c>
      <c r="AJ623" t="s">
        <v>47</v>
      </c>
      <c r="AK623" s="2"/>
      <c r="AL623" s="2">
        <v>46160.762928240743</v>
      </c>
      <c r="AM623" s="2">
        <v>46160.762928240743</v>
      </c>
    </row>
    <row r="624" spans="1:39" x14ac:dyDescent="0.3">
      <c r="A624" t="s">
        <v>3952</v>
      </c>
      <c r="B624" t="s">
        <v>3953</v>
      </c>
      <c r="C624" t="s">
        <v>41</v>
      </c>
      <c r="D624" t="s">
        <v>3954</v>
      </c>
      <c r="E624" t="s">
        <v>4102</v>
      </c>
      <c r="F624" t="s">
        <v>83</v>
      </c>
      <c r="G624" t="s">
        <v>84</v>
      </c>
      <c r="H624" t="s">
        <v>85</v>
      </c>
      <c r="I624" t="s">
        <v>47</v>
      </c>
      <c r="J624" t="s">
        <v>47</v>
      </c>
      <c r="K624" t="s">
        <v>48</v>
      </c>
      <c r="L624" t="s">
        <v>47</v>
      </c>
      <c r="M624" s="1">
        <v>46086</v>
      </c>
      <c r="N624" s="1">
        <v>46086</v>
      </c>
      <c r="O624" s="1">
        <v>46086</v>
      </c>
      <c r="P624" t="s">
        <v>49</v>
      </c>
      <c r="Q624" t="s">
        <v>50</v>
      </c>
      <c r="R624">
        <v>2</v>
      </c>
      <c r="S624" t="b">
        <v>0</v>
      </c>
      <c r="T624" t="s">
        <v>47</v>
      </c>
      <c r="U624" t="s">
        <v>47</v>
      </c>
      <c r="V624" t="s">
        <v>47</v>
      </c>
      <c r="W624" t="s">
        <v>47</v>
      </c>
      <c r="X624" t="s">
        <v>51</v>
      </c>
      <c r="Y624" t="b">
        <v>0</v>
      </c>
      <c r="Z624" t="s">
        <v>47</v>
      </c>
      <c r="AA624" t="s">
        <v>47</v>
      </c>
      <c r="AB624" t="s">
        <v>47</v>
      </c>
      <c r="AC624" t="b">
        <v>1</v>
      </c>
      <c r="AD624" t="s">
        <v>52</v>
      </c>
      <c r="AE624" t="s">
        <v>3955</v>
      </c>
      <c r="AF624" t="s">
        <v>3954</v>
      </c>
      <c r="AG624" t="s">
        <v>47</v>
      </c>
      <c r="AH624" t="s">
        <v>87</v>
      </c>
      <c r="AI624" s="2">
        <v>46160.762928240743</v>
      </c>
      <c r="AJ624" t="s">
        <v>47</v>
      </c>
      <c r="AK624" s="2"/>
      <c r="AL624" s="2">
        <v>46160.762928240743</v>
      </c>
      <c r="AM624" s="2">
        <v>46160.762928240743</v>
      </c>
    </row>
    <row r="625" spans="1:39" x14ac:dyDescent="0.3">
      <c r="A625" t="s">
        <v>3956</v>
      </c>
      <c r="B625" t="s">
        <v>3957</v>
      </c>
      <c r="C625" t="s">
        <v>41</v>
      </c>
      <c r="D625" t="s">
        <v>3958</v>
      </c>
      <c r="E625" t="s">
        <v>4103</v>
      </c>
      <c r="F625" t="s">
        <v>172</v>
      </c>
      <c r="G625" t="s">
        <v>173</v>
      </c>
      <c r="H625" t="s">
        <v>174</v>
      </c>
      <c r="I625" t="s">
        <v>47</v>
      </c>
      <c r="J625" t="s">
        <v>47</v>
      </c>
      <c r="K625" t="s">
        <v>130</v>
      </c>
      <c r="L625" t="s">
        <v>47</v>
      </c>
      <c r="M625" s="1">
        <v>46087</v>
      </c>
      <c r="N625" s="1">
        <v>46087</v>
      </c>
      <c r="O625" s="1">
        <v>46087</v>
      </c>
      <c r="P625" t="s">
        <v>49</v>
      </c>
      <c r="Q625" t="s">
        <v>50</v>
      </c>
      <c r="R625">
        <v>3</v>
      </c>
      <c r="S625" t="b">
        <v>1</v>
      </c>
      <c r="T625" t="s">
        <v>47</v>
      </c>
      <c r="U625" t="s">
        <v>47</v>
      </c>
      <c r="V625" t="s">
        <v>47</v>
      </c>
      <c r="W625" t="s">
        <v>47</v>
      </c>
      <c r="X625" t="s">
        <v>51</v>
      </c>
      <c r="Y625" t="b">
        <v>0</v>
      </c>
      <c r="Z625" t="s">
        <v>47</v>
      </c>
      <c r="AA625" t="s">
        <v>47</v>
      </c>
      <c r="AB625" t="s">
        <v>47</v>
      </c>
      <c r="AC625" t="b">
        <v>1</v>
      </c>
      <c r="AD625" t="s">
        <v>52</v>
      </c>
      <c r="AE625" t="s">
        <v>3959</v>
      </c>
      <c r="AF625" t="s">
        <v>3958</v>
      </c>
      <c r="AG625" t="s">
        <v>47</v>
      </c>
      <c r="AH625" t="s">
        <v>87</v>
      </c>
      <c r="AI625" s="2">
        <v>46160.762928240743</v>
      </c>
      <c r="AJ625" t="s">
        <v>47</v>
      </c>
      <c r="AK625" s="2"/>
      <c r="AL625" s="2">
        <v>46160.762928240743</v>
      </c>
      <c r="AM625" s="2">
        <v>46160.762928240743</v>
      </c>
    </row>
    <row r="626" spans="1:39" x14ac:dyDescent="0.3">
      <c r="A626" t="s">
        <v>3960</v>
      </c>
      <c r="B626" t="s">
        <v>3961</v>
      </c>
      <c r="C626" t="s">
        <v>41</v>
      </c>
      <c r="D626" t="s">
        <v>3962</v>
      </c>
      <c r="E626" t="s">
        <v>4104</v>
      </c>
      <c r="F626" t="s">
        <v>83</v>
      </c>
      <c r="G626" t="s">
        <v>84</v>
      </c>
      <c r="H626" t="s">
        <v>1190</v>
      </c>
      <c r="I626" t="s">
        <v>47</v>
      </c>
      <c r="J626" t="s">
        <v>47</v>
      </c>
      <c r="K626" t="s">
        <v>48</v>
      </c>
      <c r="L626" t="s">
        <v>47</v>
      </c>
      <c r="M626" s="1">
        <v>46090</v>
      </c>
      <c r="N626" s="1">
        <v>46090</v>
      </c>
      <c r="O626" s="1">
        <v>46090</v>
      </c>
      <c r="P626" t="s">
        <v>49</v>
      </c>
      <c r="Q626" t="s">
        <v>50</v>
      </c>
      <c r="R626">
        <v>2</v>
      </c>
      <c r="S626" t="b">
        <v>0</v>
      </c>
      <c r="T626" t="s">
        <v>47</v>
      </c>
      <c r="U626" t="s">
        <v>47</v>
      </c>
      <c r="V626" t="s">
        <v>47</v>
      </c>
      <c r="W626" t="s">
        <v>47</v>
      </c>
      <c r="X626" t="s">
        <v>51</v>
      </c>
      <c r="Y626" t="b">
        <v>0</v>
      </c>
      <c r="Z626" t="s">
        <v>47</v>
      </c>
      <c r="AA626" t="s">
        <v>47</v>
      </c>
      <c r="AB626" t="s">
        <v>47</v>
      </c>
      <c r="AC626" t="b">
        <v>1</v>
      </c>
      <c r="AD626" t="s">
        <v>52</v>
      </c>
      <c r="AE626" t="s">
        <v>3963</v>
      </c>
      <c r="AF626" t="s">
        <v>3962</v>
      </c>
      <c r="AG626" t="s">
        <v>47</v>
      </c>
      <c r="AH626" t="s">
        <v>87</v>
      </c>
      <c r="AI626" s="2">
        <v>46160.762928240743</v>
      </c>
      <c r="AJ626" t="s">
        <v>47</v>
      </c>
      <c r="AK626" s="2"/>
      <c r="AL626" s="2">
        <v>46160.762928240743</v>
      </c>
      <c r="AM626" s="2">
        <v>46160.762928240743</v>
      </c>
    </row>
    <row r="627" spans="1:39" x14ac:dyDescent="0.3">
      <c r="A627" t="s">
        <v>3964</v>
      </c>
      <c r="B627" t="s">
        <v>3965</v>
      </c>
      <c r="C627" t="s">
        <v>41</v>
      </c>
      <c r="D627" t="s">
        <v>3966</v>
      </c>
      <c r="E627" t="s">
        <v>4105</v>
      </c>
      <c r="F627" t="s">
        <v>83</v>
      </c>
      <c r="G627" t="s">
        <v>84</v>
      </c>
      <c r="H627" t="s">
        <v>85</v>
      </c>
      <c r="I627" t="s">
        <v>47</v>
      </c>
      <c r="J627" t="s">
        <v>47</v>
      </c>
      <c r="K627" t="s">
        <v>48</v>
      </c>
      <c r="L627" t="s">
        <v>47</v>
      </c>
      <c r="M627" s="1">
        <v>46090</v>
      </c>
      <c r="N627" s="1">
        <v>46090</v>
      </c>
      <c r="O627" s="1">
        <v>46090</v>
      </c>
      <c r="P627" t="s">
        <v>49</v>
      </c>
      <c r="Q627" t="s">
        <v>50</v>
      </c>
      <c r="R627">
        <v>2</v>
      </c>
      <c r="S627" t="b">
        <v>0</v>
      </c>
      <c r="T627" t="s">
        <v>47</v>
      </c>
      <c r="U627" t="s">
        <v>47</v>
      </c>
      <c r="V627" t="s">
        <v>47</v>
      </c>
      <c r="W627" t="s">
        <v>47</v>
      </c>
      <c r="X627" t="s">
        <v>51</v>
      </c>
      <c r="Y627" t="b">
        <v>0</v>
      </c>
      <c r="Z627" t="s">
        <v>47</v>
      </c>
      <c r="AA627" t="s">
        <v>47</v>
      </c>
      <c r="AB627" t="s">
        <v>47</v>
      </c>
      <c r="AC627" t="b">
        <v>1</v>
      </c>
      <c r="AD627" t="s">
        <v>52</v>
      </c>
      <c r="AE627" t="s">
        <v>3967</v>
      </c>
      <c r="AF627" t="s">
        <v>3966</v>
      </c>
      <c r="AG627" t="s">
        <v>47</v>
      </c>
      <c r="AH627" t="s">
        <v>87</v>
      </c>
      <c r="AI627" s="2">
        <v>46160.762928240743</v>
      </c>
      <c r="AJ627" t="s">
        <v>47</v>
      </c>
      <c r="AK627" s="2"/>
      <c r="AL627" s="2">
        <v>46160.762928240743</v>
      </c>
      <c r="AM627" s="2">
        <v>46160.762928240743</v>
      </c>
    </row>
    <row r="628" spans="1:39" x14ac:dyDescent="0.3">
      <c r="A628" t="s">
        <v>3968</v>
      </c>
      <c r="B628" t="s">
        <v>3969</v>
      </c>
      <c r="C628" t="s">
        <v>41</v>
      </c>
      <c r="D628" t="s">
        <v>3970</v>
      </c>
      <c r="E628" t="s">
        <v>4106</v>
      </c>
      <c r="F628" t="s">
        <v>83</v>
      </c>
      <c r="G628" t="s">
        <v>84</v>
      </c>
      <c r="H628" t="s">
        <v>85</v>
      </c>
      <c r="I628" t="s">
        <v>47</v>
      </c>
      <c r="J628" t="s">
        <v>47</v>
      </c>
      <c r="K628" t="s">
        <v>48</v>
      </c>
      <c r="L628" t="s">
        <v>47</v>
      </c>
      <c r="M628" s="1">
        <v>46090</v>
      </c>
      <c r="N628" s="1">
        <v>46090</v>
      </c>
      <c r="O628" s="1">
        <v>46090</v>
      </c>
      <c r="P628" t="s">
        <v>49</v>
      </c>
      <c r="Q628" t="s">
        <v>50</v>
      </c>
      <c r="R628">
        <v>2</v>
      </c>
      <c r="S628" t="b">
        <v>0</v>
      </c>
      <c r="T628" t="s">
        <v>47</v>
      </c>
      <c r="U628" t="s">
        <v>47</v>
      </c>
      <c r="V628" t="s">
        <v>47</v>
      </c>
      <c r="W628" t="s">
        <v>47</v>
      </c>
      <c r="X628" t="s">
        <v>51</v>
      </c>
      <c r="Y628" t="b">
        <v>0</v>
      </c>
      <c r="Z628" t="s">
        <v>47</v>
      </c>
      <c r="AA628" t="s">
        <v>47</v>
      </c>
      <c r="AB628" t="s">
        <v>47</v>
      </c>
      <c r="AC628" t="b">
        <v>1</v>
      </c>
      <c r="AD628" t="s">
        <v>52</v>
      </c>
      <c r="AE628" t="s">
        <v>3971</v>
      </c>
      <c r="AF628" t="s">
        <v>3970</v>
      </c>
      <c r="AG628" t="s">
        <v>47</v>
      </c>
      <c r="AH628" t="s">
        <v>87</v>
      </c>
      <c r="AI628" s="2">
        <v>46160.762928240743</v>
      </c>
      <c r="AJ628" t="s">
        <v>47</v>
      </c>
      <c r="AK628" s="2"/>
      <c r="AL628" s="2">
        <v>46160.762928240743</v>
      </c>
      <c r="AM628" s="2">
        <v>46160.762928240743</v>
      </c>
    </row>
    <row r="629" spans="1:39" x14ac:dyDescent="0.3">
      <c r="A629" t="s">
        <v>3972</v>
      </c>
      <c r="B629" t="s">
        <v>3973</v>
      </c>
      <c r="C629" t="s">
        <v>41</v>
      </c>
      <c r="D629" t="s">
        <v>3974</v>
      </c>
      <c r="E629" t="s">
        <v>4107</v>
      </c>
      <c r="F629" t="s">
        <v>83</v>
      </c>
      <c r="G629" t="s">
        <v>84</v>
      </c>
      <c r="H629" t="s">
        <v>85</v>
      </c>
      <c r="I629" t="s">
        <v>47</v>
      </c>
      <c r="J629" t="s">
        <v>47</v>
      </c>
      <c r="K629" t="s">
        <v>48</v>
      </c>
      <c r="L629" t="s">
        <v>47</v>
      </c>
      <c r="M629" s="1">
        <v>46091</v>
      </c>
      <c r="N629" s="1">
        <v>46091</v>
      </c>
      <c r="O629" s="1">
        <v>46091</v>
      </c>
      <c r="P629" t="s">
        <v>49</v>
      </c>
      <c r="Q629" t="s">
        <v>50</v>
      </c>
      <c r="R629">
        <v>2</v>
      </c>
      <c r="S629" t="b">
        <v>0</v>
      </c>
      <c r="T629" t="s">
        <v>47</v>
      </c>
      <c r="U629" t="s">
        <v>47</v>
      </c>
      <c r="V629" t="s">
        <v>47</v>
      </c>
      <c r="W629" t="s">
        <v>47</v>
      </c>
      <c r="X629" t="s">
        <v>51</v>
      </c>
      <c r="Y629" t="b">
        <v>0</v>
      </c>
      <c r="Z629" t="s">
        <v>47</v>
      </c>
      <c r="AA629" t="s">
        <v>47</v>
      </c>
      <c r="AB629" t="s">
        <v>47</v>
      </c>
      <c r="AC629" t="b">
        <v>1</v>
      </c>
      <c r="AD629" t="s">
        <v>52</v>
      </c>
      <c r="AE629" t="s">
        <v>3975</v>
      </c>
      <c r="AF629" t="s">
        <v>3974</v>
      </c>
      <c r="AG629" t="s">
        <v>47</v>
      </c>
      <c r="AH629" t="s">
        <v>87</v>
      </c>
      <c r="AI629" s="2">
        <v>46160.762928240743</v>
      </c>
      <c r="AJ629" t="s">
        <v>47</v>
      </c>
      <c r="AK629" s="2"/>
      <c r="AL629" s="2">
        <v>46160.762928240743</v>
      </c>
      <c r="AM629" s="2">
        <v>46160.762928240743</v>
      </c>
    </row>
    <row r="630" spans="1:39" x14ac:dyDescent="0.3">
      <c r="A630" t="s">
        <v>3976</v>
      </c>
      <c r="B630" t="s">
        <v>3977</v>
      </c>
      <c r="C630" t="s">
        <v>41</v>
      </c>
      <c r="D630" t="s">
        <v>3978</v>
      </c>
      <c r="E630" t="s">
        <v>4108</v>
      </c>
      <c r="F630" t="s">
        <v>172</v>
      </c>
      <c r="G630" t="s">
        <v>173</v>
      </c>
      <c r="H630" t="s">
        <v>174</v>
      </c>
      <c r="I630" t="s">
        <v>47</v>
      </c>
      <c r="J630" t="s">
        <v>47</v>
      </c>
      <c r="K630" t="s">
        <v>130</v>
      </c>
      <c r="L630" t="s">
        <v>47</v>
      </c>
      <c r="M630" s="1">
        <v>46097</v>
      </c>
      <c r="N630" s="1">
        <v>46097</v>
      </c>
      <c r="O630" s="1">
        <v>46097</v>
      </c>
      <c r="P630" t="s">
        <v>49</v>
      </c>
      <c r="Q630" t="s">
        <v>50</v>
      </c>
      <c r="R630">
        <v>3</v>
      </c>
      <c r="S630" t="b">
        <v>1</v>
      </c>
      <c r="T630" t="s">
        <v>47</v>
      </c>
      <c r="U630" t="s">
        <v>47</v>
      </c>
      <c r="V630" t="s">
        <v>47</v>
      </c>
      <c r="W630" t="s">
        <v>47</v>
      </c>
      <c r="X630" t="s">
        <v>51</v>
      </c>
      <c r="Y630" t="b">
        <v>0</v>
      </c>
      <c r="Z630" t="s">
        <v>47</v>
      </c>
      <c r="AA630" t="s">
        <v>47</v>
      </c>
      <c r="AB630" t="s">
        <v>47</v>
      </c>
      <c r="AC630" t="b">
        <v>1</v>
      </c>
      <c r="AD630" t="s">
        <v>52</v>
      </c>
      <c r="AE630" t="s">
        <v>3979</v>
      </c>
      <c r="AF630" t="s">
        <v>3978</v>
      </c>
      <c r="AG630" t="s">
        <v>47</v>
      </c>
      <c r="AH630" t="s">
        <v>87</v>
      </c>
      <c r="AI630" s="2">
        <v>46160.762928240743</v>
      </c>
      <c r="AJ630" t="s">
        <v>47</v>
      </c>
      <c r="AK630" s="2"/>
      <c r="AL630" s="2">
        <v>46160.762928240743</v>
      </c>
      <c r="AM630" s="2">
        <v>46160.762928240743</v>
      </c>
    </row>
    <row r="631" spans="1:39" x14ac:dyDescent="0.3">
      <c r="A631" t="s">
        <v>3980</v>
      </c>
      <c r="B631" t="s">
        <v>3981</v>
      </c>
      <c r="C631" t="s">
        <v>41</v>
      </c>
      <c r="D631" t="s">
        <v>3982</v>
      </c>
      <c r="E631" t="s">
        <v>4109</v>
      </c>
      <c r="F631" t="s">
        <v>83</v>
      </c>
      <c r="G631" t="s">
        <v>84</v>
      </c>
      <c r="H631" t="s">
        <v>85</v>
      </c>
      <c r="I631" t="s">
        <v>47</v>
      </c>
      <c r="J631" t="s">
        <v>47</v>
      </c>
      <c r="K631" t="s">
        <v>48</v>
      </c>
      <c r="L631" t="s">
        <v>47</v>
      </c>
      <c r="M631" s="1">
        <v>46101</v>
      </c>
      <c r="N631" s="1">
        <v>46101</v>
      </c>
      <c r="O631" s="1">
        <v>46101</v>
      </c>
      <c r="P631" t="s">
        <v>49</v>
      </c>
      <c r="Q631" t="s">
        <v>50</v>
      </c>
      <c r="R631">
        <v>2</v>
      </c>
      <c r="S631" t="b">
        <v>0</v>
      </c>
      <c r="T631" t="s">
        <v>47</v>
      </c>
      <c r="U631" t="s">
        <v>47</v>
      </c>
      <c r="V631" t="s">
        <v>47</v>
      </c>
      <c r="W631" t="s">
        <v>47</v>
      </c>
      <c r="X631" t="s">
        <v>51</v>
      </c>
      <c r="Y631" t="b">
        <v>0</v>
      </c>
      <c r="Z631" t="s">
        <v>47</v>
      </c>
      <c r="AA631" t="s">
        <v>47</v>
      </c>
      <c r="AB631" t="s">
        <v>47</v>
      </c>
      <c r="AC631" t="b">
        <v>1</v>
      </c>
      <c r="AD631" t="s">
        <v>52</v>
      </c>
      <c r="AE631" t="s">
        <v>3983</v>
      </c>
      <c r="AF631" t="s">
        <v>3982</v>
      </c>
      <c r="AG631" t="s">
        <v>47</v>
      </c>
      <c r="AH631" t="s">
        <v>87</v>
      </c>
      <c r="AI631" s="2">
        <v>46160.762928240743</v>
      </c>
      <c r="AJ631" t="s">
        <v>47</v>
      </c>
      <c r="AK631" s="2"/>
      <c r="AL631" s="2">
        <v>46160.762928240743</v>
      </c>
      <c r="AM631" s="2">
        <v>46160.762928240743</v>
      </c>
    </row>
    <row r="632" spans="1:39" x14ac:dyDescent="0.3">
      <c r="A632" t="s">
        <v>3984</v>
      </c>
      <c r="B632" t="s">
        <v>3985</v>
      </c>
      <c r="C632" t="s">
        <v>41</v>
      </c>
      <c r="D632" t="s">
        <v>3986</v>
      </c>
      <c r="E632" t="s">
        <v>4110</v>
      </c>
      <c r="F632" t="s">
        <v>83</v>
      </c>
      <c r="G632" t="s">
        <v>84</v>
      </c>
      <c r="H632" t="s">
        <v>85</v>
      </c>
      <c r="I632" t="s">
        <v>47</v>
      </c>
      <c r="J632" t="s">
        <v>47</v>
      </c>
      <c r="K632" t="s">
        <v>48</v>
      </c>
      <c r="L632" t="s">
        <v>47</v>
      </c>
      <c r="M632" s="1">
        <v>46101</v>
      </c>
      <c r="N632" s="1">
        <v>46101</v>
      </c>
      <c r="O632" s="1">
        <v>46101</v>
      </c>
      <c r="P632" t="s">
        <v>49</v>
      </c>
      <c r="Q632" t="s">
        <v>50</v>
      </c>
      <c r="R632">
        <v>2</v>
      </c>
      <c r="S632" t="b">
        <v>0</v>
      </c>
      <c r="T632" t="s">
        <v>47</v>
      </c>
      <c r="U632" t="s">
        <v>47</v>
      </c>
      <c r="V632" t="s">
        <v>47</v>
      </c>
      <c r="W632" t="s">
        <v>47</v>
      </c>
      <c r="X632" t="s">
        <v>51</v>
      </c>
      <c r="Y632" t="b">
        <v>0</v>
      </c>
      <c r="Z632" t="s">
        <v>47</v>
      </c>
      <c r="AA632" t="s">
        <v>47</v>
      </c>
      <c r="AB632" t="s">
        <v>47</v>
      </c>
      <c r="AC632" t="b">
        <v>1</v>
      </c>
      <c r="AD632" t="s">
        <v>52</v>
      </c>
      <c r="AE632" t="s">
        <v>3987</v>
      </c>
      <c r="AF632" t="s">
        <v>3986</v>
      </c>
      <c r="AG632" t="s">
        <v>47</v>
      </c>
      <c r="AH632" t="s">
        <v>87</v>
      </c>
      <c r="AI632" s="2">
        <v>46160.762928240743</v>
      </c>
      <c r="AJ632" t="s">
        <v>47</v>
      </c>
      <c r="AK632" s="2"/>
      <c r="AL632" s="2">
        <v>46160.762928240743</v>
      </c>
      <c r="AM632" s="2">
        <v>46160.762928240743</v>
      </c>
    </row>
    <row r="633" spans="1:39" x14ac:dyDescent="0.3">
      <c r="A633" t="s">
        <v>3988</v>
      </c>
      <c r="B633" t="s">
        <v>3989</v>
      </c>
      <c r="C633" t="s">
        <v>41</v>
      </c>
      <c r="D633" t="s">
        <v>3990</v>
      </c>
      <c r="E633" t="s">
        <v>4111</v>
      </c>
      <c r="F633" t="s">
        <v>83</v>
      </c>
      <c r="G633" t="s">
        <v>84</v>
      </c>
      <c r="H633" t="s">
        <v>85</v>
      </c>
      <c r="I633" t="s">
        <v>47</v>
      </c>
      <c r="J633" t="s">
        <v>47</v>
      </c>
      <c r="K633" t="s">
        <v>48</v>
      </c>
      <c r="L633" t="s">
        <v>47</v>
      </c>
      <c r="M633" s="1">
        <v>46101</v>
      </c>
      <c r="N633" s="1">
        <v>46101</v>
      </c>
      <c r="O633" s="1">
        <v>46101</v>
      </c>
      <c r="P633" t="s">
        <v>49</v>
      </c>
      <c r="Q633" t="s">
        <v>50</v>
      </c>
      <c r="R633">
        <v>2</v>
      </c>
      <c r="S633" t="b">
        <v>0</v>
      </c>
      <c r="T633" t="s">
        <v>47</v>
      </c>
      <c r="U633" t="s">
        <v>47</v>
      </c>
      <c r="V633" t="s">
        <v>47</v>
      </c>
      <c r="W633" t="s">
        <v>47</v>
      </c>
      <c r="X633" t="s">
        <v>51</v>
      </c>
      <c r="Y633" t="b">
        <v>0</v>
      </c>
      <c r="Z633" t="s">
        <v>47</v>
      </c>
      <c r="AA633" t="s">
        <v>47</v>
      </c>
      <c r="AB633" t="s">
        <v>47</v>
      </c>
      <c r="AC633" t="b">
        <v>1</v>
      </c>
      <c r="AD633" t="s">
        <v>52</v>
      </c>
      <c r="AE633" t="s">
        <v>3991</v>
      </c>
      <c r="AF633" t="s">
        <v>3990</v>
      </c>
      <c r="AG633" t="s">
        <v>47</v>
      </c>
      <c r="AH633" t="s">
        <v>87</v>
      </c>
      <c r="AI633" s="2">
        <v>46160.762928240743</v>
      </c>
      <c r="AJ633" t="s">
        <v>47</v>
      </c>
      <c r="AK633" s="2"/>
      <c r="AL633" s="2">
        <v>46160.762928240743</v>
      </c>
      <c r="AM633" s="2">
        <v>46160.762928240743</v>
      </c>
    </row>
    <row r="634" spans="1:39" x14ac:dyDescent="0.3">
      <c r="A634" t="s">
        <v>3992</v>
      </c>
      <c r="B634" t="s">
        <v>3993</v>
      </c>
      <c r="C634" t="s">
        <v>41</v>
      </c>
      <c r="D634" t="s">
        <v>3994</v>
      </c>
      <c r="E634" t="s">
        <v>4112</v>
      </c>
      <c r="F634" t="s">
        <v>83</v>
      </c>
      <c r="G634" t="s">
        <v>84</v>
      </c>
      <c r="H634" t="s">
        <v>85</v>
      </c>
      <c r="I634" t="s">
        <v>47</v>
      </c>
      <c r="J634" t="s">
        <v>47</v>
      </c>
      <c r="K634" t="s">
        <v>48</v>
      </c>
      <c r="L634" t="s">
        <v>47</v>
      </c>
      <c r="M634" s="1">
        <v>46101</v>
      </c>
      <c r="N634" s="1">
        <v>46101</v>
      </c>
      <c r="O634" s="1">
        <v>46101</v>
      </c>
      <c r="P634" t="s">
        <v>49</v>
      </c>
      <c r="Q634" t="s">
        <v>50</v>
      </c>
      <c r="R634">
        <v>2</v>
      </c>
      <c r="S634" t="b">
        <v>0</v>
      </c>
      <c r="T634" t="s">
        <v>47</v>
      </c>
      <c r="U634" t="s">
        <v>47</v>
      </c>
      <c r="V634" t="s">
        <v>47</v>
      </c>
      <c r="W634" t="s">
        <v>47</v>
      </c>
      <c r="X634" t="s">
        <v>51</v>
      </c>
      <c r="Y634" t="b">
        <v>0</v>
      </c>
      <c r="Z634" t="s">
        <v>47</v>
      </c>
      <c r="AA634" t="s">
        <v>47</v>
      </c>
      <c r="AB634" t="s">
        <v>47</v>
      </c>
      <c r="AC634" t="b">
        <v>1</v>
      </c>
      <c r="AD634" t="s">
        <v>52</v>
      </c>
      <c r="AE634" t="s">
        <v>3995</v>
      </c>
      <c r="AF634" t="s">
        <v>3994</v>
      </c>
      <c r="AG634" t="s">
        <v>47</v>
      </c>
      <c r="AH634" t="s">
        <v>87</v>
      </c>
      <c r="AI634" s="2">
        <v>46160.762928240743</v>
      </c>
      <c r="AJ634" t="s">
        <v>47</v>
      </c>
      <c r="AK634" s="2"/>
      <c r="AL634" s="2">
        <v>46160.762928240743</v>
      </c>
      <c r="AM634" s="2">
        <v>46160.762928240743</v>
      </c>
    </row>
    <row r="635" spans="1:39" x14ac:dyDescent="0.3">
      <c r="A635" t="s">
        <v>3996</v>
      </c>
      <c r="B635" t="s">
        <v>3997</v>
      </c>
      <c r="C635" t="s">
        <v>41</v>
      </c>
      <c r="D635" t="s">
        <v>3998</v>
      </c>
      <c r="E635" t="s">
        <v>4113</v>
      </c>
      <c r="F635" t="s">
        <v>83</v>
      </c>
      <c r="G635" t="s">
        <v>84</v>
      </c>
      <c r="H635" t="s">
        <v>85</v>
      </c>
      <c r="I635" t="s">
        <v>47</v>
      </c>
      <c r="J635" t="s">
        <v>47</v>
      </c>
      <c r="K635" t="s">
        <v>48</v>
      </c>
      <c r="L635" t="s">
        <v>47</v>
      </c>
      <c r="M635" s="1">
        <v>46101</v>
      </c>
      <c r="N635" s="1">
        <v>46101</v>
      </c>
      <c r="O635" s="1">
        <v>46101</v>
      </c>
      <c r="P635" t="s">
        <v>49</v>
      </c>
      <c r="Q635" t="s">
        <v>50</v>
      </c>
      <c r="R635">
        <v>2</v>
      </c>
      <c r="S635" t="b">
        <v>0</v>
      </c>
      <c r="T635" t="s">
        <v>47</v>
      </c>
      <c r="U635" t="s">
        <v>47</v>
      </c>
      <c r="V635" t="s">
        <v>47</v>
      </c>
      <c r="W635" t="s">
        <v>47</v>
      </c>
      <c r="X635" t="s">
        <v>51</v>
      </c>
      <c r="Y635" t="b">
        <v>0</v>
      </c>
      <c r="Z635" t="s">
        <v>47</v>
      </c>
      <c r="AA635" t="s">
        <v>47</v>
      </c>
      <c r="AB635" t="s">
        <v>47</v>
      </c>
      <c r="AC635" t="b">
        <v>1</v>
      </c>
      <c r="AD635" t="s">
        <v>52</v>
      </c>
      <c r="AE635" t="s">
        <v>3999</v>
      </c>
      <c r="AF635" t="s">
        <v>3998</v>
      </c>
      <c r="AG635" t="s">
        <v>47</v>
      </c>
      <c r="AH635" t="s">
        <v>87</v>
      </c>
      <c r="AI635" s="2">
        <v>46160.762928240743</v>
      </c>
      <c r="AJ635" t="s">
        <v>47</v>
      </c>
      <c r="AK635" s="2"/>
      <c r="AL635" s="2">
        <v>46160.762928240743</v>
      </c>
      <c r="AM635" s="2">
        <v>46160.762928240743</v>
      </c>
    </row>
    <row r="636" spans="1:39" x14ac:dyDescent="0.3">
      <c r="A636" t="s">
        <v>4000</v>
      </c>
      <c r="B636" t="s">
        <v>4001</v>
      </c>
      <c r="C636" t="s">
        <v>41</v>
      </c>
      <c r="D636" t="s">
        <v>4002</v>
      </c>
      <c r="E636" t="s">
        <v>4114</v>
      </c>
      <c r="F636" t="s">
        <v>47</v>
      </c>
      <c r="G636" t="s">
        <v>47</v>
      </c>
      <c r="H636" t="s">
        <v>3858</v>
      </c>
      <c r="I636" t="s">
        <v>47</v>
      </c>
      <c r="J636" t="s">
        <v>47</v>
      </c>
      <c r="K636" t="s">
        <v>3859</v>
      </c>
      <c r="L636" t="s">
        <v>47</v>
      </c>
      <c r="M636" s="1">
        <v>46107</v>
      </c>
      <c r="N636" s="1">
        <v>46107</v>
      </c>
      <c r="O636" s="1">
        <v>46107</v>
      </c>
      <c r="P636" t="s">
        <v>1771</v>
      </c>
      <c r="Q636" t="s">
        <v>371</v>
      </c>
      <c r="R636">
        <v>5</v>
      </c>
      <c r="S636" t="b">
        <v>1</v>
      </c>
      <c r="T636" t="s">
        <v>47</v>
      </c>
      <c r="U636" t="s">
        <v>47</v>
      </c>
      <c r="V636" t="s">
        <v>47</v>
      </c>
      <c r="W636" t="s">
        <v>47</v>
      </c>
      <c r="X636" t="s">
        <v>51</v>
      </c>
      <c r="Y636" t="b">
        <v>0</v>
      </c>
      <c r="Z636" t="s">
        <v>47</v>
      </c>
      <c r="AA636" t="s">
        <v>47</v>
      </c>
      <c r="AB636" t="s">
        <v>47</v>
      </c>
      <c r="AC636" t="b">
        <v>1</v>
      </c>
      <c r="AD636" t="s">
        <v>52</v>
      </c>
      <c r="AE636" t="s">
        <v>4003</v>
      </c>
      <c r="AF636" t="s">
        <v>4002</v>
      </c>
      <c r="AG636" t="s">
        <v>47</v>
      </c>
      <c r="AH636" t="s">
        <v>87</v>
      </c>
      <c r="AI636" s="2">
        <v>46160.762928240743</v>
      </c>
      <c r="AJ636" t="s">
        <v>47</v>
      </c>
      <c r="AK636" s="2"/>
      <c r="AL636" s="2">
        <v>46160.762928240743</v>
      </c>
      <c r="AM636" s="2">
        <v>46160.762928240743</v>
      </c>
    </row>
    <row r="637" spans="1:39" x14ac:dyDescent="0.3">
      <c r="A637" t="s">
        <v>4004</v>
      </c>
      <c r="B637" t="s">
        <v>4005</v>
      </c>
      <c r="C637" t="s">
        <v>41</v>
      </c>
      <c r="D637" t="s">
        <v>4006</v>
      </c>
      <c r="E637" t="s">
        <v>4115</v>
      </c>
      <c r="F637" t="s">
        <v>83</v>
      </c>
      <c r="G637" t="s">
        <v>84</v>
      </c>
      <c r="H637" t="s">
        <v>1190</v>
      </c>
      <c r="I637" t="s">
        <v>47</v>
      </c>
      <c r="J637" t="s">
        <v>47</v>
      </c>
      <c r="K637" t="s">
        <v>48</v>
      </c>
      <c r="L637" t="s">
        <v>47</v>
      </c>
      <c r="M637" s="1">
        <v>46109</v>
      </c>
      <c r="N637" s="1">
        <v>46109</v>
      </c>
      <c r="O637" s="1">
        <v>46109</v>
      </c>
      <c r="P637" t="s">
        <v>49</v>
      </c>
      <c r="Q637" t="s">
        <v>50</v>
      </c>
      <c r="R637">
        <v>2</v>
      </c>
      <c r="S637" t="b">
        <v>0</v>
      </c>
      <c r="T637" t="s">
        <v>47</v>
      </c>
      <c r="U637" t="s">
        <v>47</v>
      </c>
      <c r="V637" t="s">
        <v>47</v>
      </c>
      <c r="W637" t="s">
        <v>47</v>
      </c>
      <c r="X637" t="s">
        <v>51</v>
      </c>
      <c r="Y637" t="b">
        <v>0</v>
      </c>
      <c r="Z637" t="s">
        <v>47</v>
      </c>
      <c r="AA637" t="s">
        <v>47</v>
      </c>
      <c r="AB637" t="s">
        <v>47</v>
      </c>
      <c r="AC637" t="b">
        <v>1</v>
      </c>
      <c r="AD637" t="s">
        <v>52</v>
      </c>
      <c r="AE637" t="s">
        <v>4007</v>
      </c>
      <c r="AF637" t="s">
        <v>4006</v>
      </c>
      <c r="AG637" t="s">
        <v>47</v>
      </c>
      <c r="AH637" t="s">
        <v>87</v>
      </c>
      <c r="AI637" s="2">
        <v>46160.762928240743</v>
      </c>
      <c r="AJ637" t="s">
        <v>47</v>
      </c>
      <c r="AK637" s="2"/>
      <c r="AL637" s="2">
        <v>46160.762928240743</v>
      </c>
      <c r="AM637" s="2">
        <v>46160.762928240743</v>
      </c>
    </row>
    <row r="638" spans="1:39" x14ac:dyDescent="0.3">
      <c r="A638" t="s">
        <v>4008</v>
      </c>
      <c r="B638" t="s">
        <v>4009</v>
      </c>
      <c r="C638" t="s">
        <v>41</v>
      </c>
      <c r="D638" t="s">
        <v>4010</v>
      </c>
      <c r="E638" t="s">
        <v>4116</v>
      </c>
      <c r="F638" t="s">
        <v>83</v>
      </c>
      <c r="G638" t="s">
        <v>84</v>
      </c>
      <c r="H638" t="s">
        <v>85</v>
      </c>
      <c r="I638" t="s">
        <v>47</v>
      </c>
      <c r="J638" t="s">
        <v>47</v>
      </c>
      <c r="K638" t="s">
        <v>48</v>
      </c>
      <c r="L638" t="s">
        <v>47</v>
      </c>
      <c r="M638" s="1">
        <v>46109</v>
      </c>
      <c r="N638" s="1">
        <v>46109</v>
      </c>
      <c r="O638" s="1">
        <v>46109</v>
      </c>
      <c r="P638" t="s">
        <v>49</v>
      </c>
      <c r="Q638" t="s">
        <v>50</v>
      </c>
      <c r="R638">
        <v>2</v>
      </c>
      <c r="S638" t="b">
        <v>0</v>
      </c>
      <c r="T638" t="s">
        <v>47</v>
      </c>
      <c r="U638" t="s">
        <v>47</v>
      </c>
      <c r="V638" t="s">
        <v>47</v>
      </c>
      <c r="W638" t="s">
        <v>47</v>
      </c>
      <c r="X638" t="s">
        <v>51</v>
      </c>
      <c r="Y638" t="b">
        <v>0</v>
      </c>
      <c r="Z638" t="s">
        <v>47</v>
      </c>
      <c r="AA638" t="s">
        <v>47</v>
      </c>
      <c r="AB638" t="s">
        <v>47</v>
      </c>
      <c r="AC638" t="b">
        <v>1</v>
      </c>
      <c r="AD638" t="s">
        <v>52</v>
      </c>
      <c r="AE638" t="s">
        <v>4011</v>
      </c>
      <c r="AF638" t="s">
        <v>4010</v>
      </c>
      <c r="AG638" t="s">
        <v>47</v>
      </c>
      <c r="AH638" t="s">
        <v>87</v>
      </c>
      <c r="AI638" s="2">
        <v>46160.762928240743</v>
      </c>
      <c r="AJ638" t="s">
        <v>47</v>
      </c>
      <c r="AK638" s="2"/>
      <c r="AL638" s="2">
        <v>46160.762928240743</v>
      </c>
      <c r="AM638" s="2">
        <v>46160.762928240743</v>
      </c>
    </row>
    <row r="639" spans="1:39" x14ac:dyDescent="0.3">
      <c r="A639" t="s">
        <v>4012</v>
      </c>
      <c r="B639" t="s">
        <v>4013</v>
      </c>
      <c r="C639" t="s">
        <v>41</v>
      </c>
      <c r="D639" t="s">
        <v>4014</v>
      </c>
      <c r="E639" t="s">
        <v>4117</v>
      </c>
      <c r="F639" t="s">
        <v>3099</v>
      </c>
      <c r="G639" t="s">
        <v>3100</v>
      </c>
      <c r="H639" t="s">
        <v>3101</v>
      </c>
      <c r="I639" t="s">
        <v>47</v>
      </c>
      <c r="J639" t="s">
        <v>47</v>
      </c>
      <c r="K639" t="s">
        <v>47</v>
      </c>
      <c r="L639" t="s">
        <v>47</v>
      </c>
      <c r="M639" s="1">
        <v>46112</v>
      </c>
      <c r="N639" s="1">
        <v>46112</v>
      </c>
      <c r="O639" s="1">
        <v>46112</v>
      </c>
      <c r="P639" t="s">
        <v>183</v>
      </c>
      <c r="Q639" t="s">
        <v>184</v>
      </c>
      <c r="R639">
        <v>2</v>
      </c>
      <c r="S639" t="b">
        <v>0</v>
      </c>
      <c r="T639" t="s">
        <v>47</v>
      </c>
      <c r="U639" t="s">
        <v>47</v>
      </c>
      <c r="V639" t="s">
        <v>47</v>
      </c>
      <c r="W639" t="s">
        <v>47</v>
      </c>
      <c r="X639" t="s">
        <v>51</v>
      </c>
      <c r="Y639" t="b">
        <v>0</v>
      </c>
      <c r="Z639" t="s">
        <v>47</v>
      </c>
      <c r="AA639" t="s">
        <v>47</v>
      </c>
      <c r="AB639" t="s">
        <v>47</v>
      </c>
      <c r="AC639" t="b">
        <v>1</v>
      </c>
      <c r="AD639" t="s">
        <v>52</v>
      </c>
      <c r="AE639" t="s">
        <v>4015</v>
      </c>
      <c r="AF639" t="s">
        <v>4014</v>
      </c>
      <c r="AG639" t="s">
        <v>47</v>
      </c>
      <c r="AH639" t="s">
        <v>87</v>
      </c>
      <c r="AI639" s="2">
        <v>46160.762928240743</v>
      </c>
      <c r="AJ639" t="s">
        <v>47</v>
      </c>
      <c r="AK639" s="2"/>
      <c r="AL639" s="2">
        <v>46160.762928240743</v>
      </c>
      <c r="AM639" s="2">
        <v>46160.762928240743</v>
      </c>
    </row>
    <row r="640" spans="1:39" x14ac:dyDescent="0.3">
      <c r="A640" t="s">
        <v>4016</v>
      </c>
      <c r="B640" t="s">
        <v>4017</v>
      </c>
      <c r="C640" t="s">
        <v>41</v>
      </c>
      <c r="D640" t="s">
        <v>4018</v>
      </c>
      <c r="E640" t="s">
        <v>4118</v>
      </c>
      <c r="F640" t="s">
        <v>83</v>
      </c>
      <c r="G640" t="s">
        <v>84</v>
      </c>
      <c r="H640" t="s">
        <v>1190</v>
      </c>
      <c r="I640" t="s">
        <v>47</v>
      </c>
      <c r="J640" t="s">
        <v>47</v>
      </c>
      <c r="K640" t="s">
        <v>48</v>
      </c>
      <c r="L640" t="s">
        <v>47</v>
      </c>
      <c r="M640" s="1">
        <v>46086</v>
      </c>
      <c r="N640" s="1">
        <v>46086</v>
      </c>
      <c r="O640" s="1">
        <v>46086</v>
      </c>
      <c r="P640" t="s">
        <v>49</v>
      </c>
      <c r="Q640" t="s">
        <v>50</v>
      </c>
      <c r="R640">
        <v>2</v>
      </c>
      <c r="S640" t="b">
        <v>0</v>
      </c>
      <c r="T640" t="s">
        <v>47</v>
      </c>
      <c r="U640" t="s">
        <v>47</v>
      </c>
      <c r="V640" t="s">
        <v>47</v>
      </c>
      <c r="W640" t="s">
        <v>47</v>
      </c>
      <c r="X640" t="s">
        <v>51</v>
      </c>
      <c r="Y640" t="b">
        <v>0</v>
      </c>
      <c r="Z640" t="s">
        <v>47</v>
      </c>
      <c r="AA640" t="s">
        <v>47</v>
      </c>
      <c r="AB640" t="s">
        <v>47</v>
      </c>
      <c r="AC640" t="b">
        <v>1</v>
      </c>
      <c r="AD640" t="s">
        <v>52</v>
      </c>
      <c r="AE640" t="s">
        <v>4019</v>
      </c>
      <c r="AF640" t="s">
        <v>4018</v>
      </c>
      <c r="AG640" t="s">
        <v>47</v>
      </c>
      <c r="AH640" t="s">
        <v>87</v>
      </c>
      <c r="AI640" s="2">
        <v>46160.762928240743</v>
      </c>
      <c r="AJ640" t="s">
        <v>47</v>
      </c>
      <c r="AK640" s="2"/>
      <c r="AL640" s="2">
        <v>46160.762928240743</v>
      </c>
      <c r="AM640" s="2">
        <v>46160.762928240743</v>
      </c>
    </row>
    <row r="641" spans="1:39" x14ac:dyDescent="0.3">
      <c r="A641" t="s">
        <v>4020</v>
      </c>
      <c r="B641" t="s">
        <v>4021</v>
      </c>
      <c r="C641" t="s">
        <v>41</v>
      </c>
      <c r="D641" t="s">
        <v>4022</v>
      </c>
      <c r="E641" t="s">
        <v>4119</v>
      </c>
      <c r="F641" t="s">
        <v>3099</v>
      </c>
      <c r="G641" t="s">
        <v>3100</v>
      </c>
      <c r="H641" t="s">
        <v>3101</v>
      </c>
      <c r="I641" t="s">
        <v>47</v>
      </c>
      <c r="J641" t="s">
        <v>47</v>
      </c>
      <c r="K641" t="s">
        <v>47</v>
      </c>
      <c r="L641" t="s">
        <v>47</v>
      </c>
      <c r="M641" s="1">
        <v>46087</v>
      </c>
      <c r="N641" s="1">
        <v>46087</v>
      </c>
      <c r="O641" s="1">
        <v>46087</v>
      </c>
      <c r="P641" t="s">
        <v>183</v>
      </c>
      <c r="Q641" t="s">
        <v>184</v>
      </c>
      <c r="R641">
        <v>2</v>
      </c>
      <c r="S641" t="b">
        <v>0</v>
      </c>
      <c r="T641" t="s">
        <v>47</v>
      </c>
      <c r="U641" t="s">
        <v>47</v>
      </c>
      <c r="V641" t="s">
        <v>47</v>
      </c>
      <c r="W641" t="s">
        <v>47</v>
      </c>
      <c r="X641" t="s">
        <v>51</v>
      </c>
      <c r="Y641" t="b">
        <v>0</v>
      </c>
      <c r="Z641" t="s">
        <v>47</v>
      </c>
      <c r="AA641" t="s">
        <v>47</v>
      </c>
      <c r="AB641" t="s">
        <v>47</v>
      </c>
      <c r="AC641" t="b">
        <v>1</v>
      </c>
      <c r="AD641" t="s">
        <v>52</v>
      </c>
      <c r="AE641" t="s">
        <v>4023</v>
      </c>
      <c r="AF641" t="s">
        <v>4022</v>
      </c>
      <c r="AG641" t="s">
        <v>47</v>
      </c>
      <c r="AH641" t="s">
        <v>87</v>
      </c>
      <c r="AI641" s="2">
        <v>46160.762928240743</v>
      </c>
      <c r="AJ641" t="s">
        <v>47</v>
      </c>
      <c r="AK641" s="2"/>
      <c r="AL641" s="2">
        <v>46160.762928240743</v>
      </c>
      <c r="AM641" s="2">
        <v>46160.762928240743</v>
      </c>
    </row>
    <row r="642" spans="1:39" x14ac:dyDescent="0.3">
      <c r="A642" t="s">
        <v>4024</v>
      </c>
      <c r="B642" t="s">
        <v>4025</v>
      </c>
      <c r="C642" t="s">
        <v>41</v>
      </c>
      <c r="D642" t="s">
        <v>4026</v>
      </c>
      <c r="E642" t="s">
        <v>4120</v>
      </c>
      <c r="F642" t="s">
        <v>3099</v>
      </c>
      <c r="G642" t="s">
        <v>3100</v>
      </c>
      <c r="H642" t="s">
        <v>3101</v>
      </c>
      <c r="I642" t="s">
        <v>47</v>
      </c>
      <c r="J642" t="s">
        <v>47</v>
      </c>
      <c r="K642" t="s">
        <v>47</v>
      </c>
      <c r="L642" t="s">
        <v>47</v>
      </c>
      <c r="M642" s="1">
        <v>46087</v>
      </c>
      <c r="N642" s="1">
        <v>46087</v>
      </c>
      <c r="O642" s="1">
        <v>46087</v>
      </c>
      <c r="P642" t="s">
        <v>183</v>
      </c>
      <c r="Q642" t="s">
        <v>184</v>
      </c>
      <c r="R642">
        <v>2</v>
      </c>
      <c r="S642" t="b">
        <v>0</v>
      </c>
      <c r="T642" t="s">
        <v>47</v>
      </c>
      <c r="U642" t="s">
        <v>47</v>
      </c>
      <c r="V642" t="s">
        <v>47</v>
      </c>
      <c r="W642" t="s">
        <v>47</v>
      </c>
      <c r="X642" t="s">
        <v>51</v>
      </c>
      <c r="Y642" t="b">
        <v>0</v>
      </c>
      <c r="Z642" t="s">
        <v>47</v>
      </c>
      <c r="AA642" t="s">
        <v>47</v>
      </c>
      <c r="AB642" t="s">
        <v>47</v>
      </c>
      <c r="AC642" t="b">
        <v>1</v>
      </c>
      <c r="AD642" t="s">
        <v>52</v>
      </c>
      <c r="AE642" t="s">
        <v>4027</v>
      </c>
      <c r="AF642" t="s">
        <v>4026</v>
      </c>
      <c r="AG642" t="s">
        <v>47</v>
      </c>
      <c r="AH642" t="s">
        <v>87</v>
      </c>
      <c r="AI642" s="2">
        <v>46160.762928240743</v>
      </c>
      <c r="AJ642" t="s">
        <v>47</v>
      </c>
      <c r="AK642" s="2"/>
      <c r="AL642" s="2">
        <v>46160.762928240743</v>
      </c>
      <c r="AM642" s="2">
        <v>46160.762928240743</v>
      </c>
    </row>
    <row r="643" spans="1:39" x14ac:dyDescent="0.3">
      <c r="A643" t="s">
        <v>4028</v>
      </c>
      <c r="B643" t="s">
        <v>4029</v>
      </c>
      <c r="C643" t="s">
        <v>41</v>
      </c>
      <c r="D643" t="s">
        <v>4030</v>
      </c>
      <c r="E643" t="s">
        <v>4121</v>
      </c>
      <c r="F643" t="s">
        <v>172</v>
      </c>
      <c r="G643" t="s">
        <v>173</v>
      </c>
      <c r="H643" t="s">
        <v>174</v>
      </c>
      <c r="I643" t="s">
        <v>47</v>
      </c>
      <c r="J643" t="s">
        <v>47</v>
      </c>
      <c r="K643" t="s">
        <v>130</v>
      </c>
      <c r="L643" t="s">
        <v>47</v>
      </c>
      <c r="M643" s="1">
        <v>46087</v>
      </c>
      <c r="N643" s="1">
        <v>46087</v>
      </c>
      <c r="O643" s="1">
        <v>46087</v>
      </c>
      <c r="P643" t="s">
        <v>49</v>
      </c>
      <c r="Q643" t="s">
        <v>50</v>
      </c>
      <c r="R643">
        <v>3</v>
      </c>
      <c r="S643" t="b">
        <v>1</v>
      </c>
      <c r="T643" t="s">
        <v>47</v>
      </c>
      <c r="U643" t="s">
        <v>47</v>
      </c>
      <c r="V643" t="s">
        <v>47</v>
      </c>
      <c r="W643" t="s">
        <v>47</v>
      </c>
      <c r="X643" t="s">
        <v>51</v>
      </c>
      <c r="Y643" t="b">
        <v>0</v>
      </c>
      <c r="Z643" t="s">
        <v>47</v>
      </c>
      <c r="AA643" t="s">
        <v>47</v>
      </c>
      <c r="AB643" t="s">
        <v>47</v>
      </c>
      <c r="AC643" t="b">
        <v>1</v>
      </c>
      <c r="AD643" t="s">
        <v>52</v>
      </c>
      <c r="AE643" t="s">
        <v>4031</v>
      </c>
      <c r="AF643" t="s">
        <v>4030</v>
      </c>
      <c r="AG643" t="s">
        <v>47</v>
      </c>
      <c r="AH643" t="s">
        <v>87</v>
      </c>
      <c r="AI643" s="2">
        <v>46160.762928240743</v>
      </c>
      <c r="AJ643" t="s">
        <v>47</v>
      </c>
      <c r="AK643" s="2"/>
      <c r="AL643" s="2">
        <v>46160.762928240743</v>
      </c>
      <c r="AM643" s="2">
        <v>46160.762928240743</v>
      </c>
    </row>
    <row r="644" spans="1:39" x14ac:dyDescent="0.3">
      <c r="A644" t="s">
        <v>4032</v>
      </c>
      <c r="B644" t="s">
        <v>4033</v>
      </c>
      <c r="C644" t="s">
        <v>41</v>
      </c>
      <c r="D644" t="s">
        <v>4034</v>
      </c>
      <c r="E644" t="s">
        <v>4122</v>
      </c>
      <c r="F644" t="s">
        <v>83</v>
      </c>
      <c r="G644" t="s">
        <v>84</v>
      </c>
      <c r="H644" t="s">
        <v>85</v>
      </c>
      <c r="I644" t="s">
        <v>47</v>
      </c>
      <c r="J644" t="s">
        <v>47</v>
      </c>
      <c r="K644" t="s">
        <v>48</v>
      </c>
      <c r="L644" t="s">
        <v>47</v>
      </c>
      <c r="M644" s="1">
        <v>46090</v>
      </c>
      <c r="N644" s="1">
        <v>46090</v>
      </c>
      <c r="O644" s="1">
        <v>46090</v>
      </c>
      <c r="P644" t="s">
        <v>49</v>
      </c>
      <c r="Q644" t="s">
        <v>50</v>
      </c>
      <c r="R644">
        <v>2</v>
      </c>
      <c r="S644" t="b">
        <v>0</v>
      </c>
      <c r="T644" t="s">
        <v>47</v>
      </c>
      <c r="U644" t="s">
        <v>47</v>
      </c>
      <c r="V644" t="s">
        <v>47</v>
      </c>
      <c r="W644" t="s">
        <v>47</v>
      </c>
      <c r="X644" t="s">
        <v>51</v>
      </c>
      <c r="Y644" t="b">
        <v>0</v>
      </c>
      <c r="Z644" t="s">
        <v>47</v>
      </c>
      <c r="AA644" t="s">
        <v>47</v>
      </c>
      <c r="AB644" t="s">
        <v>47</v>
      </c>
      <c r="AC644" t="b">
        <v>1</v>
      </c>
      <c r="AD644" t="s">
        <v>52</v>
      </c>
      <c r="AE644" t="s">
        <v>4035</v>
      </c>
      <c r="AF644" t="s">
        <v>4034</v>
      </c>
      <c r="AG644" t="s">
        <v>47</v>
      </c>
      <c r="AH644" t="s">
        <v>87</v>
      </c>
      <c r="AI644" s="2">
        <v>46160.762928240743</v>
      </c>
      <c r="AJ644" t="s">
        <v>47</v>
      </c>
      <c r="AK644" s="2"/>
      <c r="AL644" s="2">
        <v>46160.762928240743</v>
      </c>
      <c r="AM644" s="2">
        <v>46160.762928240743</v>
      </c>
    </row>
    <row r="645" spans="1:39" x14ac:dyDescent="0.3">
      <c r="A645" t="s">
        <v>4036</v>
      </c>
      <c r="B645" t="s">
        <v>4037</v>
      </c>
      <c r="C645" t="s">
        <v>41</v>
      </c>
      <c r="D645" t="s">
        <v>4038</v>
      </c>
      <c r="E645" t="s">
        <v>4123</v>
      </c>
      <c r="F645" t="s">
        <v>83</v>
      </c>
      <c r="G645" t="s">
        <v>84</v>
      </c>
      <c r="H645" t="s">
        <v>85</v>
      </c>
      <c r="I645" t="s">
        <v>47</v>
      </c>
      <c r="J645" t="s">
        <v>47</v>
      </c>
      <c r="K645" t="s">
        <v>48</v>
      </c>
      <c r="L645" t="s">
        <v>47</v>
      </c>
      <c r="M645" s="1">
        <v>46090</v>
      </c>
      <c r="N645" s="1">
        <v>46090</v>
      </c>
      <c r="O645" s="1">
        <v>46090</v>
      </c>
      <c r="P645" t="s">
        <v>49</v>
      </c>
      <c r="Q645" t="s">
        <v>50</v>
      </c>
      <c r="R645">
        <v>2</v>
      </c>
      <c r="S645" t="b">
        <v>0</v>
      </c>
      <c r="T645" t="s">
        <v>47</v>
      </c>
      <c r="U645" t="s">
        <v>47</v>
      </c>
      <c r="V645" t="s">
        <v>47</v>
      </c>
      <c r="W645" t="s">
        <v>47</v>
      </c>
      <c r="X645" t="s">
        <v>51</v>
      </c>
      <c r="Y645" t="b">
        <v>0</v>
      </c>
      <c r="Z645" t="s">
        <v>47</v>
      </c>
      <c r="AA645" t="s">
        <v>47</v>
      </c>
      <c r="AB645" t="s">
        <v>47</v>
      </c>
      <c r="AC645" t="b">
        <v>1</v>
      </c>
      <c r="AD645" t="s">
        <v>52</v>
      </c>
      <c r="AE645" t="s">
        <v>4039</v>
      </c>
      <c r="AF645" t="s">
        <v>4038</v>
      </c>
      <c r="AG645" t="s">
        <v>47</v>
      </c>
      <c r="AH645" t="s">
        <v>87</v>
      </c>
      <c r="AI645" s="2">
        <v>46160.762939814813</v>
      </c>
      <c r="AJ645" t="s">
        <v>47</v>
      </c>
      <c r="AK645" s="2"/>
      <c r="AL645" s="2">
        <v>46160.762939814813</v>
      </c>
      <c r="AM645" s="2">
        <v>46160.762939814813</v>
      </c>
    </row>
    <row r="646" spans="1:39" x14ac:dyDescent="0.3">
      <c r="A646" t="s">
        <v>4041</v>
      </c>
      <c r="B646" t="s">
        <v>4042</v>
      </c>
      <c r="C646" t="s">
        <v>41</v>
      </c>
      <c r="D646" t="s">
        <v>4043</v>
      </c>
      <c r="E646" t="s">
        <v>4124</v>
      </c>
      <c r="F646" t="s">
        <v>83</v>
      </c>
      <c r="G646" t="s">
        <v>84</v>
      </c>
      <c r="H646" t="s">
        <v>85</v>
      </c>
      <c r="I646" t="s">
        <v>47</v>
      </c>
      <c r="J646" t="s">
        <v>47</v>
      </c>
      <c r="K646" t="s">
        <v>48</v>
      </c>
      <c r="L646" t="s">
        <v>47</v>
      </c>
      <c r="M646" s="1">
        <v>46090</v>
      </c>
      <c r="N646" s="1">
        <v>46090</v>
      </c>
      <c r="O646" s="1">
        <v>46090</v>
      </c>
      <c r="P646" t="s">
        <v>49</v>
      </c>
      <c r="Q646" t="s">
        <v>50</v>
      </c>
      <c r="R646">
        <v>2</v>
      </c>
      <c r="S646" t="b">
        <v>0</v>
      </c>
      <c r="T646" t="s">
        <v>47</v>
      </c>
      <c r="U646" t="s">
        <v>47</v>
      </c>
      <c r="V646" t="s">
        <v>47</v>
      </c>
      <c r="W646" t="s">
        <v>47</v>
      </c>
      <c r="X646" t="s">
        <v>51</v>
      </c>
      <c r="Y646" t="b">
        <v>0</v>
      </c>
      <c r="Z646" t="s">
        <v>47</v>
      </c>
      <c r="AA646" t="s">
        <v>47</v>
      </c>
      <c r="AB646" t="s">
        <v>47</v>
      </c>
      <c r="AC646" t="b">
        <v>1</v>
      </c>
      <c r="AD646" t="s">
        <v>52</v>
      </c>
      <c r="AE646" t="s">
        <v>4044</v>
      </c>
      <c r="AF646" t="s">
        <v>4043</v>
      </c>
      <c r="AG646" t="s">
        <v>47</v>
      </c>
      <c r="AH646" t="s">
        <v>87</v>
      </c>
      <c r="AI646" s="2">
        <v>46160.762939814813</v>
      </c>
      <c r="AJ646" t="s">
        <v>47</v>
      </c>
      <c r="AK646" s="2"/>
      <c r="AL646" s="2">
        <v>46160.762939814813</v>
      </c>
      <c r="AM646" s="2">
        <v>46160.762939814813</v>
      </c>
    </row>
    <row r="647" spans="1:39" x14ac:dyDescent="0.3">
      <c r="A647" t="s">
        <v>4045</v>
      </c>
      <c r="B647" t="s">
        <v>4046</v>
      </c>
      <c r="C647" t="s">
        <v>41</v>
      </c>
      <c r="D647" t="s">
        <v>4047</v>
      </c>
      <c r="E647" t="s">
        <v>4125</v>
      </c>
      <c r="F647" t="s">
        <v>3099</v>
      </c>
      <c r="G647" t="s">
        <v>3100</v>
      </c>
      <c r="H647" t="s">
        <v>3101</v>
      </c>
      <c r="I647" t="s">
        <v>47</v>
      </c>
      <c r="J647" t="s">
        <v>47</v>
      </c>
      <c r="K647" t="s">
        <v>47</v>
      </c>
      <c r="L647" t="s">
        <v>47</v>
      </c>
      <c r="M647" s="1">
        <v>46090</v>
      </c>
      <c r="N647" s="1">
        <v>46090</v>
      </c>
      <c r="O647" s="1">
        <v>46090</v>
      </c>
      <c r="P647" t="s">
        <v>183</v>
      </c>
      <c r="Q647" t="s">
        <v>184</v>
      </c>
      <c r="R647">
        <v>2</v>
      </c>
      <c r="S647" t="b">
        <v>0</v>
      </c>
      <c r="T647" t="s">
        <v>47</v>
      </c>
      <c r="U647" t="s">
        <v>47</v>
      </c>
      <c r="V647" t="s">
        <v>47</v>
      </c>
      <c r="W647" t="s">
        <v>47</v>
      </c>
      <c r="X647" t="s">
        <v>51</v>
      </c>
      <c r="Y647" t="b">
        <v>0</v>
      </c>
      <c r="Z647" t="s">
        <v>47</v>
      </c>
      <c r="AA647" t="s">
        <v>47</v>
      </c>
      <c r="AB647" t="s">
        <v>47</v>
      </c>
      <c r="AC647" t="b">
        <v>1</v>
      </c>
      <c r="AD647" t="s">
        <v>52</v>
      </c>
      <c r="AE647" t="s">
        <v>4048</v>
      </c>
      <c r="AF647" t="s">
        <v>4047</v>
      </c>
      <c r="AG647" t="s">
        <v>47</v>
      </c>
      <c r="AH647" t="s">
        <v>87</v>
      </c>
      <c r="AI647" s="2">
        <v>46160.762939814813</v>
      </c>
      <c r="AJ647" t="s">
        <v>47</v>
      </c>
      <c r="AK647" s="2"/>
      <c r="AL647" s="2">
        <v>46160.762939814813</v>
      </c>
      <c r="AM647" s="2">
        <v>46160.762939814813</v>
      </c>
    </row>
    <row r="648" spans="1:39" x14ac:dyDescent="0.3">
      <c r="A648" t="s">
        <v>4049</v>
      </c>
      <c r="B648" t="s">
        <v>4050</v>
      </c>
      <c r="C648" t="s">
        <v>41</v>
      </c>
      <c r="D648" t="s">
        <v>4051</v>
      </c>
      <c r="E648" t="s">
        <v>4126</v>
      </c>
      <c r="F648" t="s">
        <v>83</v>
      </c>
      <c r="G648" t="s">
        <v>84</v>
      </c>
      <c r="H648" t="s">
        <v>85</v>
      </c>
      <c r="I648" t="s">
        <v>47</v>
      </c>
      <c r="J648" t="s">
        <v>47</v>
      </c>
      <c r="K648" t="s">
        <v>48</v>
      </c>
      <c r="L648" t="s">
        <v>47</v>
      </c>
      <c r="M648" s="1">
        <v>46090</v>
      </c>
      <c r="N648" s="1">
        <v>46090</v>
      </c>
      <c r="O648" s="1">
        <v>46090</v>
      </c>
      <c r="P648" t="s">
        <v>49</v>
      </c>
      <c r="Q648" t="s">
        <v>50</v>
      </c>
      <c r="R648">
        <v>2</v>
      </c>
      <c r="S648" t="b">
        <v>0</v>
      </c>
      <c r="T648" t="s">
        <v>47</v>
      </c>
      <c r="U648" t="s">
        <v>47</v>
      </c>
      <c r="V648" t="s">
        <v>47</v>
      </c>
      <c r="W648" t="s">
        <v>47</v>
      </c>
      <c r="X648" t="s">
        <v>51</v>
      </c>
      <c r="Y648" t="b">
        <v>0</v>
      </c>
      <c r="Z648" t="s">
        <v>47</v>
      </c>
      <c r="AA648" t="s">
        <v>47</v>
      </c>
      <c r="AB648" t="s">
        <v>47</v>
      </c>
      <c r="AC648" t="b">
        <v>1</v>
      </c>
      <c r="AD648" t="s">
        <v>52</v>
      </c>
      <c r="AE648" t="s">
        <v>4052</v>
      </c>
      <c r="AF648" t="s">
        <v>4051</v>
      </c>
      <c r="AG648" t="s">
        <v>47</v>
      </c>
      <c r="AH648" t="s">
        <v>87</v>
      </c>
      <c r="AI648" s="2">
        <v>46160.762939814813</v>
      </c>
      <c r="AJ648" t="s">
        <v>47</v>
      </c>
      <c r="AK648" s="2"/>
      <c r="AL648" s="2">
        <v>46160.762939814813</v>
      </c>
      <c r="AM648" s="2">
        <v>46160.762939814813</v>
      </c>
    </row>
    <row r="649" spans="1:39" x14ac:dyDescent="0.3">
      <c r="A649" t="s">
        <v>4053</v>
      </c>
      <c r="B649" t="s">
        <v>4054</v>
      </c>
      <c r="C649" t="s">
        <v>41</v>
      </c>
      <c r="D649" t="s">
        <v>4055</v>
      </c>
      <c r="E649" t="s">
        <v>4127</v>
      </c>
      <c r="F649" t="s">
        <v>83</v>
      </c>
      <c r="G649" t="s">
        <v>84</v>
      </c>
      <c r="H649" t="s">
        <v>85</v>
      </c>
      <c r="I649" t="s">
        <v>47</v>
      </c>
      <c r="J649" t="s">
        <v>47</v>
      </c>
      <c r="K649" t="s">
        <v>48</v>
      </c>
      <c r="L649" t="s">
        <v>47</v>
      </c>
      <c r="M649" s="1">
        <v>46090</v>
      </c>
      <c r="N649" s="1">
        <v>46090</v>
      </c>
      <c r="O649" s="1">
        <v>46090</v>
      </c>
      <c r="P649" t="s">
        <v>49</v>
      </c>
      <c r="Q649" t="s">
        <v>50</v>
      </c>
      <c r="R649">
        <v>2</v>
      </c>
      <c r="S649" t="b">
        <v>0</v>
      </c>
      <c r="T649" t="s">
        <v>47</v>
      </c>
      <c r="U649" t="s">
        <v>47</v>
      </c>
      <c r="V649" t="s">
        <v>47</v>
      </c>
      <c r="W649" t="s">
        <v>47</v>
      </c>
      <c r="X649" t="s">
        <v>51</v>
      </c>
      <c r="Y649" t="b">
        <v>0</v>
      </c>
      <c r="Z649" t="s">
        <v>47</v>
      </c>
      <c r="AA649" t="s">
        <v>47</v>
      </c>
      <c r="AB649" t="s">
        <v>47</v>
      </c>
      <c r="AC649" t="b">
        <v>1</v>
      </c>
      <c r="AD649" t="s">
        <v>52</v>
      </c>
      <c r="AE649" t="s">
        <v>4056</v>
      </c>
      <c r="AF649" t="s">
        <v>4055</v>
      </c>
      <c r="AG649" t="s">
        <v>47</v>
      </c>
      <c r="AH649" t="s">
        <v>87</v>
      </c>
      <c r="AI649" s="2">
        <v>46160.762939814813</v>
      </c>
      <c r="AJ649" t="s">
        <v>47</v>
      </c>
      <c r="AK649" s="2"/>
      <c r="AL649" s="2">
        <v>46160.762939814813</v>
      </c>
      <c r="AM649" s="2">
        <v>46160.762939814813</v>
      </c>
    </row>
    <row r="650" spans="1:39" x14ac:dyDescent="0.3">
      <c r="A650" t="s">
        <v>4057</v>
      </c>
      <c r="B650" t="s">
        <v>4058</v>
      </c>
      <c r="C650" t="s">
        <v>41</v>
      </c>
      <c r="D650" t="s">
        <v>4059</v>
      </c>
      <c r="E650" t="s">
        <v>4128</v>
      </c>
      <c r="F650" t="s">
        <v>83</v>
      </c>
      <c r="G650" t="s">
        <v>84</v>
      </c>
      <c r="H650" t="s">
        <v>1190</v>
      </c>
      <c r="I650" t="s">
        <v>47</v>
      </c>
      <c r="J650" t="s">
        <v>47</v>
      </c>
      <c r="K650" t="s">
        <v>48</v>
      </c>
      <c r="L650" t="s">
        <v>47</v>
      </c>
      <c r="M650" s="1">
        <v>46092</v>
      </c>
      <c r="N650" s="1">
        <v>46092</v>
      </c>
      <c r="O650" s="1">
        <v>46092</v>
      </c>
      <c r="P650" t="s">
        <v>49</v>
      </c>
      <c r="Q650" t="s">
        <v>50</v>
      </c>
      <c r="R650">
        <v>2</v>
      </c>
      <c r="S650" t="b">
        <v>0</v>
      </c>
      <c r="T650" t="s">
        <v>47</v>
      </c>
      <c r="U650" t="s">
        <v>47</v>
      </c>
      <c r="V650" t="s">
        <v>47</v>
      </c>
      <c r="W650" t="s">
        <v>47</v>
      </c>
      <c r="X650" t="s">
        <v>51</v>
      </c>
      <c r="Y650" t="b">
        <v>0</v>
      </c>
      <c r="Z650" t="s">
        <v>47</v>
      </c>
      <c r="AA650" t="s">
        <v>47</v>
      </c>
      <c r="AB650" t="s">
        <v>47</v>
      </c>
      <c r="AC650" t="b">
        <v>1</v>
      </c>
      <c r="AD650" t="s">
        <v>52</v>
      </c>
      <c r="AE650" t="s">
        <v>4060</v>
      </c>
      <c r="AF650" t="s">
        <v>4059</v>
      </c>
      <c r="AG650" t="s">
        <v>47</v>
      </c>
      <c r="AH650" t="s">
        <v>87</v>
      </c>
      <c r="AI650" s="2">
        <v>46160.762939814813</v>
      </c>
      <c r="AJ650" t="s">
        <v>47</v>
      </c>
      <c r="AK650" s="2"/>
      <c r="AL650" s="2">
        <v>46160.762939814813</v>
      </c>
      <c r="AM650" s="2">
        <v>46160.762939814813</v>
      </c>
    </row>
    <row r="651" spans="1:39" x14ac:dyDescent="0.3">
      <c r="A651" t="s">
        <v>4061</v>
      </c>
      <c r="B651" t="s">
        <v>4062</v>
      </c>
      <c r="C651" t="s">
        <v>41</v>
      </c>
      <c r="D651" t="s">
        <v>4063</v>
      </c>
      <c r="E651" t="s">
        <v>4129</v>
      </c>
      <c r="F651" t="s">
        <v>718</v>
      </c>
      <c r="G651" t="s">
        <v>719</v>
      </c>
      <c r="H651" t="s">
        <v>720</v>
      </c>
      <c r="I651" t="s">
        <v>47</v>
      </c>
      <c r="J651" t="s">
        <v>47</v>
      </c>
      <c r="K651" t="s">
        <v>721</v>
      </c>
      <c r="L651" t="s">
        <v>47</v>
      </c>
      <c r="M651" s="1">
        <v>46097</v>
      </c>
      <c r="N651" s="1">
        <v>46097</v>
      </c>
      <c r="O651" s="1">
        <v>46097</v>
      </c>
      <c r="P651" t="s">
        <v>722</v>
      </c>
      <c r="Q651" t="s">
        <v>50</v>
      </c>
      <c r="R651">
        <v>3</v>
      </c>
      <c r="S651" t="b">
        <v>1</v>
      </c>
      <c r="T651" t="s">
        <v>47</v>
      </c>
      <c r="U651" t="s">
        <v>47</v>
      </c>
      <c r="V651" t="s">
        <v>47</v>
      </c>
      <c r="W651" t="s">
        <v>47</v>
      </c>
      <c r="X651" t="s">
        <v>51</v>
      </c>
      <c r="Y651" t="b">
        <v>0</v>
      </c>
      <c r="Z651" t="s">
        <v>47</v>
      </c>
      <c r="AA651" t="s">
        <v>47</v>
      </c>
      <c r="AB651" t="s">
        <v>47</v>
      </c>
      <c r="AC651" t="b">
        <v>1</v>
      </c>
      <c r="AD651" t="s">
        <v>52</v>
      </c>
      <c r="AE651" t="s">
        <v>4064</v>
      </c>
      <c r="AF651" t="s">
        <v>4063</v>
      </c>
      <c r="AG651" t="s">
        <v>47</v>
      </c>
      <c r="AH651" t="s">
        <v>87</v>
      </c>
      <c r="AI651" s="2">
        <v>46160.762939814813</v>
      </c>
      <c r="AJ651" t="s">
        <v>47</v>
      </c>
      <c r="AK651" s="2"/>
      <c r="AL651" s="2">
        <v>46160.762939814813</v>
      </c>
      <c r="AM651" s="2">
        <v>46160.762939814813</v>
      </c>
    </row>
    <row r="652" spans="1:39" x14ac:dyDescent="0.3">
      <c r="A652" t="s">
        <v>4065</v>
      </c>
      <c r="B652" t="s">
        <v>4066</v>
      </c>
      <c r="C652" t="s">
        <v>41</v>
      </c>
      <c r="D652" t="s">
        <v>4067</v>
      </c>
      <c r="E652" t="s">
        <v>4130</v>
      </c>
      <c r="F652" t="s">
        <v>83</v>
      </c>
      <c r="G652" t="s">
        <v>84</v>
      </c>
      <c r="H652" t="s">
        <v>85</v>
      </c>
      <c r="I652" t="s">
        <v>47</v>
      </c>
      <c r="J652" t="s">
        <v>47</v>
      </c>
      <c r="K652" t="s">
        <v>48</v>
      </c>
      <c r="L652" t="s">
        <v>47</v>
      </c>
      <c r="M652" s="1">
        <v>46100</v>
      </c>
      <c r="N652" s="1">
        <v>46100</v>
      </c>
      <c r="O652" s="1">
        <v>46100</v>
      </c>
      <c r="P652" t="s">
        <v>49</v>
      </c>
      <c r="Q652" t="s">
        <v>50</v>
      </c>
      <c r="R652">
        <v>2</v>
      </c>
      <c r="S652" t="b">
        <v>0</v>
      </c>
      <c r="T652" t="s">
        <v>47</v>
      </c>
      <c r="U652" t="s">
        <v>47</v>
      </c>
      <c r="V652" t="s">
        <v>47</v>
      </c>
      <c r="W652" t="s">
        <v>47</v>
      </c>
      <c r="X652" t="s">
        <v>51</v>
      </c>
      <c r="Y652" t="b">
        <v>0</v>
      </c>
      <c r="Z652" t="s">
        <v>47</v>
      </c>
      <c r="AA652" t="s">
        <v>47</v>
      </c>
      <c r="AB652" t="s">
        <v>47</v>
      </c>
      <c r="AC652" t="b">
        <v>1</v>
      </c>
      <c r="AD652" t="s">
        <v>52</v>
      </c>
      <c r="AE652" t="s">
        <v>4068</v>
      </c>
      <c r="AF652" t="s">
        <v>4067</v>
      </c>
      <c r="AG652" t="s">
        <v>47</v>
      </c>
      <c r="AH652" t="s">
        <v>87</v>
      </c>
      <c r="AI652" s="2">
        <v>46160.762939814813</v>
      </c>
      <c r="AJ652" t="s">
        <v>47</v>
      </c>
      <c r="AK652" s="2"/>
      <c r="AL652" s="2">
        <v>46160.762939814813</v>
      </c>
      <c r="AM652" s="2">
        <v>46160.762939814813</v>
      </c>
    </row>
    <row r="653" spans="1:39" x14ac:dyDescent="0.3">
      <c r="A653" t="s">
        <v>4069</v>
      </c>
      <c r="B653" t="s">
        <v>4070</v>
      </c>
      <c r="C653" t="s">
        <v>41</v>
      </c>
      <c r="D653" t="s">
        <v>4071</v>
      </c>
      <c r="E653" t="s">
        <v>4131</v>
      </c>
      <c r="F653" t="s">
        <v>83</v>
      </c>
      <c r="G653" t="s">
        <v>84</v>
      </c>
      <c r="H653" t="s">
        <v>85</v>
      </c>
      <c r="I653" t="s">
        <v>47</v>
      </c>
      <c r="J653" t="s">
        <v>47</v>
      </c>
      <c r="K653" t="s">
        <v>48</v>
      </c>
      <c r="L653" t="s">
        <v>47</v>
      </c>
      <c r="M653" s="1">
        <v>46109</v>
      </c>
      <c r="N653" s="1">
        <v>46109</v>
      </c>
      <c r="O653" s="1">
        <v>46109</v>
      </c>
      <c r="P653" t="s">
        <v>49</v>
      </c>
      <c r="Q653" t="s">
        <v>50</v>
      </c>
      <c r="R653">
        <v>2</v>
      </c>
      <c r="S653" t="b">
        <v>0</v>
      </c>
      <c r="T653" t="s">
        <v>47</v>
      </c>
      <c r="U653" t="s">
        <v>47</v>
      </c>
      <c r="V653" t="s">
        <v>47</v>
      </c>
      <c r="W653" t="s">
        <v>47</v>
      </c>
      <c r="X653" t="s">
        <v>51</v>
      </c>
      <c r="Y653" t="b">
        <v>0</v>
      </c>
      <c r="Z653" t="s">
        <v>47</v>
      </c>
      <c r="AA653" t="s">
        <v>47</v>
      </c>
      <c r="AB653" t="s">
        <v>47</v>
      </c>
      <c r="AC653" t="b">
        <v>1</v>
      </c>
      <c r="AD653" t="s">
        <v>52</v>
      </c>
      <c r="AE653" t="s">
        <v>4072</v>
      </c>
      <c r="AF653" t="s">
        <v>4071</v>
      </c>
      <c r="AG653" t="s">
        <v>47</v>
      </c>
      <c r="AH653" t="s">
        <v>87</v>
      </c>
      <c r="AI653" s="2">
        <v>46160.762939814813</v>
      </c>
      <c r="AJ653" t="s">
        <v>47</v>
      </c>
      <c r="AK653" s="2"/>
      <c r="AL653" s="2">
        <v>46160.762939814813</v>
      </c>
      <c r="AM653" s="2">
        <v>46160.762939814813</v>
      </c>
    </row>
    <row r="654" spans="1:39" x14ac:dyDescent="0.3">
      <c r="A654" t="s">
        <v>4073</v>
      </c>
      <c r="B654" t="s">
        <v>4074</v>
      </c>
      <c r="C654" t="s">
        <v>41</v>
      </c>
      <c r="D654" t="s">
        <v>4075</v>
      </c>
      <c r="E654" t="s">
        <v>4132</v>
      </c>
      <c r="F654" t="s">
        <v>83</v>
      </c>
      <c r="G654" t="s">
        <v>84</v>
      </c>
      <c r="H654" t="s">
        <v>85</v>
      </c>
      <c r="I654" t="s">
        <v>47</v>
      </c>
      <c r="J654" t="s">
        <v>47</v>
      </c>
      <c r="K654" t="s">
        <v>48</v>
      </c>
      <c r="L654" t="s">
        <v>47</v>
      </c>
      <c r="M654" s="1">
        <v>46109</v>
      </c>
      <c r="N654" s="1">
        <v>46109</v>
      </c>
      <c r="O654" s="1">
        <v>46109</v>
      </c>
      <c r="P654" t="s">
        <v>49</v>
      </c>
      <c r="Q654" t="s">
        <v>50</v>
      </c>
      <c r="R654">
        <v>2</v>
      </c>
      <c r="S654" t="b">
        <v>0</v>
      </c>
      <c r="T654" t="s">
        <v>47</v>
      </c>
      <c r="U654" t="s">
        <v>47</v>
      </c>
      <c r="V654" t="s">
        <v>47</v>
      </c>
      <c r="W654" t="s">
        <v>47</v>
      </c>
      <c r="X654" t="s">
        <v>51</v>
      </c>
      <c r="Y654" t="b">
        <v>0</v>
      </c>
      <c r="Z654" t="s">
        <v>47</v>
      </c>
      <c r="AA654" t="s">
        <v>47</v>
      </c>
      <c r="AB654" t="s">
        <v>47</v>
      </c>
      <c r="AC654" t="b">
        <v>1</v>
      </c>
      <c r="AD654" t="s">
        <v>52</v>
      </c>
      <c r="AE654" t="s">
        <v>4076</v>
      </c>
      <c r="AF654" t="s">
        <v>4075</v>
      </c>
      <c r="AG654" t="s">
        <v>47</v>
      </c>
      <c r="AH654" t="s">
        <v>87</v>
      </c>
      <c r="AI654" s="2">
        <v>46160.762939814813</v>
      </c>
      <c r="AJ654" t="s">
        <v>47</v>
      </c>
      <c r="AK654" s="2"/>
      <c r="AL654" s="2">
        <v>46160.762939814813</v>
      </c>
      <c r="AM654" s="2">
        <v>46160.762939814813</v>
      </c>
    </row>
    <row r="655" spans="1:39" x14ac:dyDescent="0.3">
      <c r="A655" t="s">
        <v>4077</v>
      </c>
      <c r="B655" t="s">
        <v>4078</v>
      </c>
      <c r="C655" t="s">
        <v>41</v>
      </c>
      <c r="D655" t="s">
        <v>4079</v>
      </c>
      <c r="E655" t="s">
        <v>4133</v>
      </c>
      <c r="F655" t="s">
        <v>83</v>
      </c>
      <c r="G655" t="s">
        <v>84</v>
      </c>
      <c r="H655" t="s">
        <v>85</v>
      </c>
      <c r="I655" t="s">
        <v>47</v>
      </c>
      <c r="J655" t="s">
        <v>47</v>
      </c>
      <c r="K655" t="s">
        <v>48</v>
      </c>
      <c r="L655" t="s">
        <v>47</v>
      </c>
      <c r="M655" s="1">
        <v>46084</v>
      </c>
      <c r="N655" s="1">
        <v>46084</v>
      </c>
      <c r="O655" s="1">
        <v>46084</v>
      </c>
      <c r="P655" t="s">
        <v>49</v>
      </c>
      <c r="Q655" t="s">
        <v>50</v>
      </c>
      <c r="R655">
        <v>2</v>
      </c>
      <c r="S655" t="b">
        <v>0</v>
      </c>
      <c r="T655" t="s">
        <v>47</v>
      </c>
      <c r="U655" t="s">
        <v>47</v>
      </c>
      <c r="V655" t="s">
        <v>47</v>
      </c>
      <c r="W655" t="s">
        <v>47</v>
      </c>
      <c r="X655" t="s">
        <v>51</v>
      </c>
      <c r="Y655" t="b">
        <v>0</v>
      </c>
      <c r="Z655" t="s">
        <v>47</v>
      </c>
      <c r="AA655" t="s">
        <v>47</v>
      </c>
      <c r="AB655" t="s">
        <v>47</v>
      </c>
      <c r="AC655" t="b">
        <v>1</v>
      </c>
      <c r="AD655" t="s">
        <v>52</v>
      </c>
      <c r="AE655" t="s">
        <v>4080</v>
      </c>
      <c r="AF655" t="s">
        <v>4079</v>
      </c>
      <c r="AG655" t="s">
        <v>47</v>
      </c>
      <c r="AH655" t="s">
        <v>87</v>
      </c>
      <c r="AI655" s="2">
        <v>46160.762939814813</v>
      </c>
      <c r="AJ655" t="s">
        <v>47</v>
      </c>
      <c r="AK655" s="2"/>
      <c r="AL655" s="2">
        <v>46160.762939814813</v>
      </c>
      <c r="AM655" s="2">
        <v>46160.762939814813</v>
      </c>
    </row>
    <row r="656" spans="1:39" x14ac:dyDescent="0.3">
      <c r="A656" t="s">
        <v>4081</v>
      </c>
      <c r="B656" t="s">
        <v>4082</v>
      </c>
      <c r="C656" t="s">
        <v>41</v>
      </c>
      <c r="D656" t="s">
        <v>4083</v>
      </c>
      <c r="E656" t="s">
        <v>4134</v>
      </c>
      <c r="F656" t="s">
        <v>83</v>
      </c>
      <c r="G656" t="s">
        <v>84</v>
      </c>
      <c r="H656" t="s">
        <v>85</v>
      </c>
      <c r="I656" t="s">
        <v>47</v>
      </c>
      <c r="J656" t="s">
        <v>47</v>
      </c>
      <c r="K656" t="s">
        <v>48</v>
      </c>
      <c r="L656" t="s">
        <v>47</v>
      </c>
      <c r="M656" s="1">
        <v>46084</v>
      </c>
      <c r="N656" s="1">
        <v>46084</v>
      </c>
      <c r="O656" s="1">
        <v>46084</v>
      </c>
      <c r="P656" t="s">
        <v>49</v>
      </c>
      <c r="Q656" t="s">
        <v>50</v>
      </c>
      <c r="R656">
        <v>2</v>
      </c>
      <c r="S656" t="b">
        <v>0</v>
      </c>
      <c r="T656" t="s">
        <v>47</v>
      </c>
      <c r="U656" t="s">
        <v>47</v>
      </c>
      <c r="V656" t="s">
        <v>47</v>
      </c>
      <c r="W656" t="s">
        <v>47</v>
      </c>
      <c r="X656" t="s">
        <v>51</v>
      </c>
      <c r="Y656" t="b">
        <v>0</v>
      </c>
      <c r="Z656" t="s">
        <v>47</v>
      </c>
      <c r="AA656" t="s">
        <v>47</v>
      </c>
      <c r="AB656" t="s">
        <v>47</v>
      </c>
      <c r="AC656" t="b">
        <v>1</v>
      </c>
      <c r="AD656" t="s">
        <v>52</v>
      </c>
      <c r="AE656" t="s">
        <v>4084</v>
      </c>
      <c r="AF656" t="s">
        <v>4083</v>
      </c>
      <c r="AG656" t="s">
        <v>87</v>
      </c>
      <c r="AH656" t="s">
        <v>4040</v>
      </c>
      <c r="AI656" s="2"/>
      <c r="AJ656" t="s">
        <v>47</v>
      </c>
      <c r="AK656" s="2">
        <v>46160.762939814813</v>
      </c>
      <c r="AL656" s="2">
        <v>46160.762939814813</v>
      </c>
      <c r="AM656" s="2"/>
    </row>
    <row r="657" spans="1:39" x14ac:dyDescent="0.3">
      <c r="A657" s="14" t="s">
        <v>4610</v>
      </c>
      <c r="B657" s="14" t="s">
        <v>4611</v>
      </c>
      <c r="C657" s="14" t="s">
        <v>41</v>
      </c>
      <c r="D657" s="14" t="s">
        <v>4612</v>
      </c>
      <c r="E657" s="14" t="s">
        <v>4613</v>
      </c>
      <c r="F657" s="14" t="s">
        <v>47</v>
      </c>
      <c r="G657" s="14" t="s">
        <v>47</v>
      </c>
      <c r="H657" s="14" t="s">
        <v>3101</v>
      </c>
      <c r="I657" s="14" t="s">
        <v>47</v>
      </c>
      <c r="J657" s="14" t="s">
        <v>47</v>
      </c>
      <c r="K657" s="14" t="s">
        <v>47</v>
      </c>
      <c r="L657" s="14" t="s">
        <v>47</v>
      </c>
      <c r="M657" s="1">
        <v>45951</v>
      </c>
      <c r="N657" s="1">
        <v>45951</v>
      </c>
      <c r="O657" s="1">
        <v>45951</v>
      </c>
      <c r="P657" s="14" t="s">
        <v>183</v>
      </c>
      <c r="Q657" s="14" t="s">
        <v>184</v>
      </c>
      <c r="R657">
        <v>2</v>
      </c>
      <c r="S657" t="b">
        <v>0</v>
      </c>
      <c r="T657" s="14" t="s">
        <v>47</v>
      </c>
      <c r="U657" s="14" t="s">
        <v>47</v>
      </c>
      <c r="V657" s="14" t="s">
        <v>47</v>
      </c>
      <c r="W657" s="14" t="s">
        <v>47</v>
      </c>
      <c r="X657" s="14" t="s">
        <v>51</v>
      </c>
      <c r="Y657" t="b">
        <v>0</v>
      </c>
      <c r="Z657" s="14" t="s">
        <v>47</v>
      </c>
      <c r="AA657" s="14" t="s">
        <v>47</v>
      </c>
      <c r="AB657" s="14" t="s">
        <v>47</v>
      </c>
      <c r="AC657" t="b">
        <v>1</v>
      </c>
      <c r="AD657" s="14" t="s">
        <v>52</v>
      </c>
      <c r="AE657" s="14" t="s">
        <v>4614</v>
      </c>
      <c r="AF657" s="14" t="s">
        <v>4612</v>
      </c>
      <c r="AG657" s="14" t="s">
        <v>3611</v>
      </c>
      <c r="AH657" s="14" t="s">
        <v>87</v>
      </c>
      <c r="AI657" s="2">
        <v>46160.877418981479</v>
      </c>
      <c r="AJ657" s="14" t="s">
        <v>47</v>
      </c>
      <c r="AK657" s="14" t="s">
        <v>47</v>
      </c>
      <c r="AL657" s="2">
        <v>46160.877418981479</v>
      </c>
      <c r="AM657" s="2">
        <v>46160.877418981479</v>
      </c>
    </row>
    <row r="658" spans="1:39" x14ac:dyDescent="0.3">
      <c r="A658" s="14" t="s">
        <v>4615</v>
      </c>
      <c r="B658" s="14" t="s">
        <v>4616</v>
      </c>
      <c r="C658" s="14" t="s">
        <v>41</v>
      </c>
      <c r="D658" s="14" t="s">
        <v>4617</v>
      </c>
      <c r="E658" s="14" t="s">
        <v>4618</v>
      </c>
      <c r="F658" s="14" t="s">
        <v>47</v>
      </c>
      <c r="G658" s="14" t="s">
        <v>47</v>
      </c>
      <c r="H658" s="14" t="s">
        <v>3101</v>
      </c>
      <c r="I658" s="14" t="s">
        <v>47</v>
      </c>
      <c r="J658" s="14" t="s">
        <v>47</v>
      </c>
      <c r="K658" s="14" t="s">
        <v>47</v>
      </c>
      <c r="L658" s="14" t="s">
        <v>47</v>
      </c>
      <c r="M658" s="1">
        <v>46139</v>
      </c>
      <c r="N658" s="1">
        <v>46139</v>
      </c>
      <c r="O658" s="1">
        <v>46139</v>
      </c>
      <c r="P658" s="14" t="s">
        <v>183</v>
      </c>
      <c r="Q658" s="14" t="s">
        <v>184</v>
      </c>
      <c r="R658">
        <v>2</v>
      </c>
      <c r="S658" t="b">
        <v>0</v>
      </c>
      <c r="T658" s="14" t="s">
        <v>47</v>
      </c>
      <c r="U658" s="14" t="s">
        <v>47</v>
      </c>
      <c r="V658" s="14" t="s">
        <v>47</v>
      </c>
      <c r="W658" s="14" t="s">
        <v>47</v>
      </c>
      <c r="X658" s="14" t="s">
        <v>51</v>
      </c>
      <c r="Y658" t="b">
        <v>0</v>
      </c>
      <c r="Z658" s="14" t="s">
        <v>47</v>
      </c>
      <c r="AA658" s="14" t="s">
        <v>47</v>
      </c>
      <c r="AB658" s="14" t="s">
        <v>47</v>
      </c>
      <c r="AC658" t="b">
        <v>1</v>
      </c>
      <c r="AD658" s="14" t="s">
        <v>52</v>
      </c>
      <c r="AE658" s="14" t="s">
        <v>4619</v>
      </c>
      <c r="AF658" s="14" t="s">
        <v>4617</v>
      </c>
      <c r="AG658" s="14" t="s">
        <v>3611</v>
      </c>
      <c r="AH658" s="14" t="s">
        <v>87</v>
      </c>
      <c r="AI658" s="2">
        <v>46160.877418981479</v>
      </c>
      <c r="AJ658" s="14" t="s">
        <v>47</v>
      </c>
      <c r="AK658" s="14" t="s">
        <v>47</v>
      </c>
      <c r="AL658" s="2">
        <v>46160.877418981479</v>
      </c>
      <c r="AM658" s="2">
        <v>46160.877418981479</v>
      </c>
    </row>
    <row r="659" spans="1:39" x14ac:dyDescent="0.3">
      <c r="A659" s="14" t="s">
        <v>4620</v>
      </c>
      <c r="B659" s="14" t="s">
        <v>4621</v>
      </c>
      <c r="C659" s="14" t="s">
        <v>41</v>
      </c>
      <c r="D659" s="14" t="s">
        <v>4622</v>
      </c>
      <c r="E659" s="14" t="s">
        <v>4623</v>
      </c>
      <c r="F659" s="14" t="s">
        <v>47</v>
      </c>
      <c r="G659" s="14" t="s">
        <v>47</v>
      </c>
      <c r="H659" s="14" t="s">
        <v>1034</v>
      </c>
      <c r="I659" s="14" t="s">
        <v>47</v>
      </c>
      <c r="J659" s="14" t="s">
        <v>47</v>
      </c>
      <c r="K659" s="14" t="s">
        <v>47</v>
      </c>
      <c r="L659" s="14" t="s">
        <v>47</v>
      </c>
      <c r="M659" s="1">
        <v>45826</v>
      </c>
      <c r="N659" s="1">
        <v>45826</v>
      </c>
      <c r="O659" s="1">
        <v>45826</v>
      </c>
      <c r="P659" s="14" t="s">
        <v>49</v>
      </c>
      <c r="Q659" s="14" t="s">
        <v>50</v>
      </c>
      <c r="R659">
        <v>2</v>
      </c>
      <c r="S659" t="b">
        <v>0</v>
      </c>
      <c r="T659" s="14" t="s">
        <v>47</v>
      </c>
      <c r="U659" s="14" t="s">
        <v>47</v>
      </c>
      <c r="V659" s="14" t="s">
        <v>47</v>
      </c>
      <c r="W659" s="14" t="s">
        <v>47</v>
      </c>
      <c r="X659" s="14" t="s">
        <v>51</v>
      </c>
      <c r="Y659" t="b">
        <v>0</v>
      </c>
      <c r="Z659" s="14" t="s">
        <v>47</v>
      </c>
      <c r="AA659" s="14" t="s">
        <v>47</v>
      </c>
      <c r="AB659" s="14" t="s">
        <v>47</v>
      </c>
      <c r="AC659" t="b">
        <v>1</v>
      </c>
      <c r="AD659" s="14" t="s">
        <v>52</v>
      </c>
      <c r="AE659" s="14" t="s">
        <v>4624</v>
      </c>
      <c r="AF659" s="14" t="s">
        <v>4622</v>
      </c>
      <c r="AG659" s="14" t="s">
        <v>3611</v>
      </c>
      <c r="AH659" s="14" t="s">
        <v>87</v>
      </c>
      <c r="AI659" s="2">
        <v>46160.877418981479</v>
      </c>
      <c r="AJ659" s="14" t="s">
        <v>47</v>
      </c>
      <c r="AK659" s="14" t="s">
        <v>47</v>
      </c>
      <c r="AL659" s="2">
        <v>46160.877418981479</v>
      </c>
      <c r="AM659" s="2">
        <v>46160.877418981479</v>
      </c>
    </row>
    <row r="660" spans="1:39" x14ac:dyDescent="0.3">
      <c r="A660" s="14" t="s">
        <v>4625</v>
      </c>
      <c r="B660" s="14" t="s">
        <v>4626</v>
      </c>
      <c r="C660" s="14" t="s">
        <v>41</v>
      </c>
      <c r="D660" s="14" t="s">
        <v>4627</v>
      </c>
      <c r="E660" s="14" t="s">
        <v>4628</v>
      </c>
      <c r="F660" s="14" t="s">
        <v>47</v>
      </c>
      <c r="G660" s="14" t="s">
        <v>47</v>
      </c>
      <c r="H660" s="14" t="s">
        <v>3101</v>
      </c>
      <c r="I660" s="14" t="s">
        <v>47</v>
      </c>
      <c r="J660" s="14" t="s">
        <v>47</v>
      </c>
      <c r="K660" s="14" t="s">
        <v>47</v>
      </c>
      <c r="L660" s="14" t="s">
        <v>47</v>
      </c>
      <c r="M660" s="1">
        <v>46133</v>
      </c>
      <c r="N660" s="1">
        <v>46133</v>
      </c>
      <c r="O660" s="1">
        <v>46133</v>
      </c>
      <c r="P660" s="14" t="s">
        <v>183</v>
      </c>
      <c r="Q660" s="14" t="s">
        <v>184</v>
      </c>
      <c r="R660">
        <v>2</v>
      </c>
      <c r="S660" t="b">
        <v>0</v>
      </c>
      <c r="T660" s="14" t="s">
        <v>47</v>
      </c>
      <c r="U660" s="14" t="s">
        <v>47</v>
      </c>
      <c r="V660" s="14" t="s">
        <v>47</v>
      </c>
      <c r="W660" s="14" t="s">
        <v>47</v>
      </c>
      <c r="X660" s="14" t="s">
        <v>51</v>
      </c>
      <c r="Y660" t="b">
        <v>0</v>
      </c>
      <c r="Z660" s="14" t="s">
        <v>47</v>
      </c>
      <c r="AA660" s="14" t="s">
        <v>47</v>
      </c>
      <c r="AB660" s="14" t="s">
        <v>47</v>
      </c>
      <c r="AC660" t="b">
        <v>1</v>
      </c>
      <c r="AD660" s="14" t="s">
        <v>52</v>
      </c>
      <c r="AE660" s="14" t="s">
        <v>4629</v>
      </c>
      <c r="AF660" s="14" t="s">
        <v>4627</v>
      </c>
      <c r="AG660" s="14" t="s">
        <v>3611</v>
      </c>
      <c r="AH660" s="14" t="s">
        <v>87</v>
      </c>
      <c r="AI660" s="2">
        <v>46160.877418981479</v>
      </c>
      <c r="AJ660" s="14" t="s">
        <v>47</v>
      </c>
      <c r="AK660" s="14" t="s">
        <v>47</v>
      </c>
      <c r="AL660" s="2">
        <v>46160.877418981479</v>
      </c>
      <c r="AM660" s="2">
        <v>46160.877418981479</v>
      </c>
    </row>
    <row r="661" spans="1:39" x14ac:dyDescent="0.3">
      <c r="A661" s="14" t="s">
        <v>4630</v>
      </c>
      <c r="B661" s="14" t="s">
        <v>4631</v>
      </c>
      <c r="C661" s="14" t="s">
        <v>41</v>
      </c>
      <c r="D661" s="14" t="s">
        <v>4632</v>
      </c>
      <c r="E661" s="14" t="s">
        <v>4633</v>
      </c>
      <c r="F661" s="14" t="s">
        <v>47</v>
      </c>
      <c r="G661" s="14" t="s">
        <v>47</v>
      </c>
      <c r="H661" s="14" t="s">
        <v>788</v>
      </c>
      <c r="I661" s="14" t="s">
        <v>47</v>
      </c>
      <c r="J661" s="14" t="s">
        <v>47</v>
      </c>
      <c r="K661" s="14" t="s">
        <v>551</v>
      </c>
      <c r="L661" s="14" t="s">
        <v>47</v>
      </c>
      <c r="M661" s="1">
        <v>46136</v>
      </c>
      <c r="N661" s="1">
        <v>46136</v>
      </c>
      <c r="O661" s="1">
        <v>46136</v>
      </c>
      <c r="P661" s="14" t="s">
        <v>64</v>
      </c>
      <c r="Q661" s="14" t="s">
        <v>50</v>
      </c>
      <c r="R661">
        <v>1</v>
      </c>
      <c r="S661" t="b">
        <v>0</v>
      </c>
      <c r="T661" s="14" t="s">
        <v>47</v>
      </c>
      <c r="U661" s="14" t="s">
        <v>47</v>
      </c>
      <c r="V661" s="14" t="s">
        <v>47</v>
      </c>
      <c r="W661" s="14" t="s">
        <v>47</v>
      </c>
      <c r="X661" s="14" t="s">
        <v>51</v>
      </c>
      <c r="Y661" t="b">
        <v>0</v>
      </c>
      <c r="Z661" s="14" t="s">
        <v>47</v>
      </c>
      <c r="AA661" s="14" t="s">
        <v>47</v>
      </c>
      <c r="AB661" s="14" t="s">
        <v>47</v>
      </c>
      <c r="AC661" t="b">
        <v>1</v>
      </c>
      <c r="AD661" s="14" t="s">
        <v>52</v>
      </c>
      <c r="AE661" s="14" t="s">
        <v>4634</v>
      </c>
      <c r="AF661" s="14" t="s">
        <v>4632</v>
      </c>
      <c r="AG661" s="14" t="s">
        <v>3611</v>
      </c>
      <c r="AH661" s="14" t="s">
        <v>87</v>
      </c>
      <c r="AI661" s="2">
        <v>46160.877418981479</v>
      </c>
      <c r="AJ661" s="14" t="s">
        <v>47</v>
      </c>
      <c r="AK661" s="14" t="s">
        <v>47</v>
      </c>
      <c r="AL661" s="2">
        <v>46160.877418981479</v>
      </c>
      <c r="AM661" s="2">
        <v>46160.877418981479</v>
      </c>
    </row>
    <row r="662" spans="1:39" x14ac:dyDescent="0.3">
      <c r="A662" s="14" t="s">
        <v>4635</v>
      </c>
      <c r="B662" s="14" t="s">
        <v>4636</v>
      </c>
      <c r="C662" s="14" t="s">
        <v>41</v>
      </c>
      <c r="D662" s="14" t="s">
        <v>4637</v>
      </c>
      <c r="E662" s="14" t="s">
        <v>4638</v>
      </c>
      <c r="F662" s="14" t="s">
        <v>47</v>
      </c>
      <c r="G662" s="14" t="s">
        <v>47</v>
      </c>
      <c r="H662" s="14" t="s">
        <v>3101</v>
      </c>
      <c r="I662" s="14" t="s">
        <v>47</v>
      </c>
      <c r="J662" s="14" t="s">
        <v>47</v>
      </c>
      <c r="K662" s="14" t="s">
        <v>47</v>
      </c>
      <c r="L662" s="14" t="s">
        <v>47</v>
      </c>
      <c r="M662" s="1">
        <v>46119</v>
      </c>
      <c r="N662" s="1">
        <v>46119</v>
      </c>
      <c r="O662" s="1">
        <v>46119</v>
      </c>
      <c r="P662" s="14" t="s">
        <v>183</v>
      </c>
      <c r="Q662" s="14" t="s">
        <v>184</v>
      </c>
      <c r="R662">
        <v>2</v>
      </c>
      <c r="S662" t="b">
        <v>0</v>
      </c>
      <c r="T662" s="14" t="s">
        <v>47</v>
      </c>
      <c r="U662" s="14" t="s">
        <v>47</v>
      </c>
      <c r="V662" s="14" t="s">
        <v>47</v>
      </c>
      <c r="W662" s="14" t="s">
        <v>47</v>
      </c>
      <c r="X662" s="14" t="s">
        <v>51</v>
      </c>
      <c r="Y662" t="b">
        <v>0</v>
      </c>
      <c r="Z662" s="14" t="s">
        <v>47</v>
      </c>
      <c r="AA662" s="14" t="s">
        <v>47</v>
      </c>
      <c r="AB662" s="14" t="s">
        <v>47</v>
      </c>
      <c r="AC662" t="b">
        <v>1</v>
      </c>
      <c r="AD662" s="14" t="s">
        <v>52</v>
      </c>
      <c r="AE662" s="14" t="s">
        <v>4639</v>
      </c>
      <c r="AF662" s="14" t="s">
        <v>4637</v>
      </c>
      <c r="AG662" s="14" t="s">
        <v>3611</v>
      </c>
      <c r="AH662" s="14" t="s">
        <v>87</v>
      </c>
      <c r="AI662" s="2">
        <v>46160.877418981479</v>
      </c>
      <c r="AJ662" s="14" t="s">
        <v>47</v>
      </c>
      <c r="AK662" s="14" t="s">
        <v>47</v>
      </c>
      <c r="AL662" s="2">
        <v>46160.877418981479</v>
      </c>
      <c r="AM662" s="2">
        <v>46160.877418981479</v>
      </c>
    </row>
    <row r="663" spans="1:39" x14ac:dyDescent="0.3">
      <c r="A663" s="14" t="s">
        <v>4640</v>
      </c>
      <c r="B663" s="14" t="s">
        <v>4641</v>
      </c>
      <c r="C663" s="14" t="s">
        <v>41</v>
      </c>
      <c r="D663" s="14" t="s">
        <v>4642</v>
      </c>
      <c r="E663" s="14" t="s">
        <v>4643</v>
      </c>
      <c r="F663" s="14" t="s">
        <v>47</v>
      </c>
      <c r="G663" s="14" t="s">
        <v>47</v>
      </c>
      <c r="H663" s="14" t="s">
        <v>3101</v>
      </c>
      <c r="I663" s="14" t="s">
        <v>47</v>
      </c>
      <c r="J663" s="14" t="s">
        <v>47</v>
      </c>
      <c r="K663" s="14" t="s">
        <v>47</v>
      </c>
      <c r="L663" s="14" t="s">
        <v>47</v>
      </c>
      <c r="M663" s="1">
        <v>46119</v>
      </c>
      <c r="N663" s="1">
        <v>46119</v>
      </c>
      <c r="O663" s="1">
        <v>46119</v>
      </c>
      <c r="P663" s="14" t="s">
        <v>183</v>
      </c>
      <c r="Q663" s="14" t="s">
        <v>184</v>
      </c>
      <c r="R663">
        <v>2</v>
      </c>
      <c r="S663" t="b">
        <v>0</v>
      </c>
      <c r="T663" s="14" t="s">
        <v>47</v>
      </c>
      <c r="U663" s="14" t="s">
        <v>47</v>
      </c>
      <c r="V663" s="14" t="s">
        <v>47</v>
      </c>
      <c r="W663" s="14" t="s">
        <v>47</v>
      </c>
      <c r="X663" s="14" t="s">
        <v>51</v>
      </c>
      <c r="Y663" t="b">
        <v>0</v>
      </c>
      <c r="Z663" s="14" t="s">
        <v>47</v>
      </c>
      <c r="AA663" s="14" t="s">
        <v>47</v>
      </c>
      <c r="AB663" s="14" t="s">
        <v>47</v>
      </c>
      <c r="AC663" t="b">
        <v>1</v>
      </c>
      <c r="AD663" s="14" t="s">
        <v>52</v>
      </c>
      <c r="AE663" s="14" t="s">
        <v>4644</v>
      </c>
      <c r="AF663" s="14" t="s">
        <v>4642</v>
      </c>
      <c r="AG663" s="14" t="s">
        <v>3611</v>
      </c>
      <c r="AH663" s="14" t="s">
        <v>87</v>
      </c>
      <c r="AI663" s="2">
        <v>46160.877418981479</v>
      </c>
      <c r="AJ663" s="14" t="s">
        <v>47</v>
      </c>
      <c r="AK663" s="14" t="s">
        <v>47</v>
      </c>
      <c r="AL663" s="2">
        <v>46160.877418981479</v>
      </c>
      <c r="AM663" s="2">
        <v>46160.877418981479</v>
      </c>
    </row>
    <row r="664" spans="1:39" x14ac:dyDescent="0.3">
      <c r="A664" s="14" t="s">
        <v>4645</v>
      </c>
      <c r="B664" s="14" t="s">
        <v>4646</v>
      </c>
      <c r="C664" s="14" t="s">
        <v>41</v>
      </c>
      <c r="D664" s="14" t="s">
        <v>4647</v>
      </c>
      <c r="E664" s="14" t="s">
        <v>4648</v>
      </c>
      <c r="F664" s="14" t="s">
        <v>47</v>
      </c>
      <c r="G664" s="14" t="s">
        <v>47</v>
      </c>
      <c r="H664" s="14" t="s">
        <v>3078</v>
      </c>
      <c r="I664" s="14" t="s">
        <v>47</v>
      </c>
      <c r="J664" s="14" t="s">
        <v>47</v>
      </c>
      <c r="K664" s="14" t="s">
        <v>3079</v>
      </c>
      <c r="L664" s="14" t="s">
        <v>47</v>
      </c>
      <c r="M664" s="1">
        <v>46122</v>
      </c>
      <c r="N664" s="1">
        <v>46122</v>
      </c>
      <c r="O664" s="1">
        <v>46122</v>
      </c>
      <c r="P664" s="14" t="s">
        <v>64</v>
      </c>
      <c r="Q664" s="14" t="s">
        <v>50</v>
      </c>
      <c r="R664">
        <v>2</v>
      </c>
      <c r="S664" t="b">
        <v>0</v>
      </c>
      <c r="T664" s="14" t="s">
        <v>47</v>
      </c>
      <c r="U664" s="14" t="s">
        <v>47</v>
      </c>
      <c r="V664" s="14" t="s">
        <v>47</v>
      </c>
      <c r="W664" s="14" t="s">
        <v>47</v>
      </c>
      <c r="X664" s="14" t="s">
        <v>51</v>
      </c>
      <c r="Y664" t="b">
        <v>0</v>
      </c>
      <c r="Z664" s="14" t="s">
        <v>47</v>
      </c>
      <c r="AA664" s="14" t="s">
        <v>47</v>
      </c>
      <c r="AB664" s="14" t="s">
        <v>47</v>
      </c>
      <c r="AC664" t="b">
        <v>1</v>
      </c>
      <c r="AD664" s="14" t="s">
        <v>52</v>
      </c>
      <c r="AE664" s="14" t="s">
        <v>4649</v>
      </c>
      <c r="AF664" s="14" t="s">
        <v>4647</v>
      </c>
      <c r="AG664" s="14" t="s">
        <v>3611</v>
      </c>
      <c r="AH664" s="14" t="s">
        <v>87</v>
      </c>
      <c r="AI664" s="2">
        <v>46160.877418981479</v>
      </c>
      <c r="AJ664" s="14" t="s">
        <v>47</v>
      </c>
      <c r="AK664" s="14" t="s">
        <v>47</v>
      </c>
      <c r="AL664" s="2">
        <v>46160.877418981479</v>
      </c>
      <c r="AM664" s="2">
        <v>46160.877418981479</v>
      </c>
    </row>
    <row r="665" spans="1:39" x14ac:dyDescent="0.3">
      <c r="A665" s="14" t="s">
        <v>4650</v>
      </c>
      <c r="B665" s="14" t="s">
        <v>4651</v>
      </c>
      <c r="C665" s="14" t="s">
        <v>41</v>
      </c>
      <c r="D665" s="14" t="s">
        <v>4652</v>
      </c>
      <c r="E665" s="14" t="s">
        <v>4653</v>
      </c>
      <c r="F665" s="14" t="s">
        <v>47</v>
      </c>
      <c r="G665" s="14" t="s">
        <v>47</v>
      </c>
      <c r="H665" s="14" t="s">
        <v>3101</v>
      </c>
      <c r="I665" s="14" t="s">
        <v>47</v>
      </c>
      <c r="J665" s="14" t="s">
        <v>47</v>
      </c>
      <c r="K665" s="14" t="s">
        <v>47</v>
      </c>
      <c r="L665" s="14" t="s">
        <v>47</v>
      </c>
      <c r="M665" s="1">
        <v>46140</v>
      </c>
      <c r="N665" s="1">
        <v>46140</v>
      </c>
      <c r="O665" s="1">
        <v>46140</v>
      </c>
      <c r="P665" s="14" t="s">
        <v>183</v>
      </c>
      <c r="Q665" s="14" t="s">
        <v>184</v>
      </c>
      <c r="R665">
        <v>2</v>
      </c>
      <c r="S665" t="b">
        <v>0</v>
      </c>
      <c r="T665" s="14" t="s">
        <v>47</v>
      </c>
      <c r="U665" s="14" t="s">
        <v>47</v>
      </c>
      <c r="V665" s="14" t="s">
        <v>47</v>
      </c>
      <c r="W665" s="14" t="s">
        <v>47</v>
      </c>
      <c r="X665" s="14" t="s">
        <v>51</v>
      </c>
      <c r="Y665" t="b">
        <v>0</v>
      </c>
      <c r="Z665" s="14" t="s">
        <v>47</v>
      </c>
      <c r="AA665" s="14" t="s">
        <v>47</v>
      </c>
      <c r="AB665" s="14" t="s">
        <v>47</v>
      </c>
      <c r="AC665" t="b">
        <v>1</v>
      </c>
      <c r="AD665" s="14" t="s">
        <v>52</v>
      </c>
      <c r="AE665" s="14" t="s">
        <v>4654</v>
      </c>
      <c r="AF665" s="14" t="s">
        <v>4652</v>
      </c>
      <c r="AG665" s="14" t="s">
        <v>3611</v>
      </c>
      <c r="AH665" s="14" t="s">
        <v>87</v>
      </c>
      <c r="AI665" s="2">
        <v>46160.877418981479</v>
      </c>
      <c r="AJ665" s="14" t="s">
        <v>47</v>
      </c>
      <c r="AK665" s="14" t="s">
        <v>47</v>
      </c>
      <c r="AL665" s="2">
        <v>46160.877418981479</v>
      </c>
      <c r="AM665" s="2">
        <v>46160.877418981479</v>
      </c>
    </row>
    <row r="666" spans="1:39" x14ac:dyDescent="0.3">
      <c r="A666" s="14" t="s">
        <v>4655</v>
      </c>
      <c r="B666" s="14" t="s">
        <v>4656</v>
      </c>
      <c r="C666" s="14" t="s">
        <v>41</v>
      </c>
      <c r="D666" s="14" t="s">
        <v>4657</v>
      </c>
      <c r="E666" s="14" t="s">
        <v>4658</v>
      </c>
      <c r="F666" s="14" t="s">
        <v>47</v>
      </c>
      <c r="G666" s="14" t="s">
        <v>47</v>
      </c>
      <c r="H666" s="14" t="s">
        <v>3101</v>
      </c>
      <c r="I666" s="14" t="s">
        <v>47</v>
      </c>
      <c r="J666" s="14" t="s">
        <v>47</v>
      </c>
      <c r="K666" s="14" t="s">
        <v>47</v>
      </c>
      <c r="L666" s="14" t="s">
        <v>47</v>
      </c>
      <c r="M666" s="1">
        <v>46108</v>
      </c>
      <c r="N666" s="1">
        <v>46108</v>
      </c>
      <c r="O666" s="1">
        <v>46108</v>
      </c>
      <c r="P666" s="14" t="s">
        <v>183</v>
      </c>
      <c r="Q666" s="14" t="s">
        <v>184</v>
      </c>
      <c r="R666">
        <v>2</v>
      </c>
      <c r="S666" t="b">
        <v>0</v>
      </c>
      <c r="T666" s="14" t="s">
        <v>47</v>
      </c>
      <c r="U666" s="14" t="s">
        <v>47</v>
      </c>
      <c r="V666" s="14" t="s">
        <v>47</v>
      </c>
      <c r="W666" s="14" t="s">
        <v>47</v>
      </c>
      <c r="X666" s="14" t="s">
        <v>51</v>
      </c>
      <c r="Y666" t="b">
        <v>0</v>
      </c>
      <c r="Z666" s="14" t="s">
        <v>47</v>
      </c>
      <c r="AA666" s="14" t="s">
        <v>47</v>
      </c>
      <c r="AB666" s="14" t="s">
        <v>47</v>
      </c>
      <c r="AC666" t="b">
        <v>1</v>
      </c>
      <c r="AD666" s="14" t="s">
        <v>52</v>
      </c>
      <c r="AE666" s="14" t="s">
        <v>4659</v>
      </c>
      <c r="AF666" s="14" t="s">
        <v>4657</v>
      </c>
      <c r="AG666" s="14" t="s">
        <v>3611</v>
      </c>
      <c r="AH666" s="14" t="s">
        <v>87</v>
      </c>
      <c r="AI666" s="2">
        <v>46160.877418981479</v>
      </c>
      <c r="AJ666" s="14" t="s">
        <v>47</v>
      </c>
      <c r="AK666" s="14" t="s">
        <v>47</v>
      </c>
      <c r="AL666" s="2">
        <v>46160.877418981479</v>
      </c>
      <c r="AM666" s="2">
        <v>46160.877418981479</v>
      </c>
    </row>
    <row r="667" spans="1:39" x14ac:dyDescent="0.3">
      <c r="A667" s="14" t="s">
        <v>4660</v>
      </c>
      <c r="B667" s="14" t="s">
        <v>4661</v>
      </c>
      <c r="C667" s="14" t="s">
        <v>41</v>
      </c>
      <c r="D667" s="14" t="s">
        <v>4662</v>
      </c>
      <c r="E667" s="14" t="s">
        <v>4663</v>
      </c>
      <c r="F667" s="14" t="s">
        <v>47</v>
      </c>
      <c r="G667" s="14" t="s">
        <v>47</v>
      </c>
      <c r="H667" s="14" t="s">
        <v>3101</v>
      </c>
      <c r="I667" s="14" t="s">
        <v>47</v>
      </c>
      <c r="J667" s="14" t="s">
        <v>47</v>
      </c>
      <c r="K667" s="14" t="s">
        <v>47</v>
      </c>
      <c r="L667" s="14" t="s">
        <v>47</v>
      </c>
      <c r="M667" s="1">
        <v>46108</v>
      </c>
      <c r="N667" s="1">
        <v>46108</v>
      </c>
      <c r="O667" s="1">
        <v>46108</v>
      </c>
      <c r="P667" s="14" t="s">
        <v>183</v>
      </c>
      <c r="Q667" s="14" t="s">
        <v>184</v>
      </c>
      <c r="R667">
        <v>2</v>
      </c>
      <c r="S667" t="b">
        <v>0</v>
      </c>
      <c r="T667" s="14" t="s">
        <v>47</v>
      </c>
      <c r="U667" s="14" t="s">
        <v>47</v>
      </c>
      <c r="V667" s="14" t="s">
        <v>47</v>
      </c>
      <c r="W667" s="14" t="s">
        <v>47</v>
      </c>
      <c r="X667" s="14" t="s">
        <v>51</v>
      </c>
      <c r="Y667" t="b">
        <v>0</v>
      </c>
      <c r="Z667" s="14" t="s">
        <v>47</v>
      </c>
      <c r="AA667" s="14" t="s">
        <v>47</v>
      </c>
      <c r="AB667" s="14" t="s">
        <v>47</v>
      </c>
      <c r="AC667" t="b">
        <v>1</v>
      </c>
      <c r="AD667" s="14" t="s">
        <v>52</v>
      </c>
      <c r="AE667" s="14" t="s">
        <v>4664</v>
      </c>
      <c r="AF667" s="14" t="s">
        <v>4662</v>
      </c>
      <c r="AG667" s="14" t="s">
        <v>3611</v>
      </c>
      <c r="AH667" s="14" t="s">
        <v>87</v>
      </c>
      <c r="AI667" s="2">
        <v>46160.877418981479</v>
      </c>
      <c r="AJ667" s="14" t="s">
        <v>47</v>
      </c>
      <c r="AK667" s="14" t="s">
        <v>47</v>
      </c>
      <c r="AL667" s="2">
        <v>46160.877418981479</v>
      </c>
      <c r="AM667" s="2">
        <v>46160.877418981479</v>
      </c>
    </row>
    <row r="668" spans="1:39" x14ac:dyDescent="0.3">
      <c r="A668" s="14" t="s">
        <v>4665</v>
      </c>
      <c r="B668" s="14" t="s">
        <v>4666</v>
      </c>
      <c r="C668" s="14" t="s">
        <v>41</v>
      </c>
      <c r="D668" s="14" t="s">
        <v>4667</v>
      </c>
      <c r="E668" s="14" t="s">
        <v>4668</v>
      </c>
      <c r="F668" s="14" t="s">
        <v>47</v>
      </c>
      <c r="G668" s="14" t="s">
        <v>47</v>
      </c>
      <c r="H668" s="14" t="s">
        <v>3226</v>
      </c>
      <c r="I668" s="14" t="s">
        <v>47</v>
      </c>
      <c r="J668" s="14" t="s">
        <v>47</v>
      </c>
      <c r="K668" s="14" t="s">
        <v>47</v>
      </c>
      <c r="L668" s="14" t="s">
        <v>47</v>
      </c>
      <c r="M668" s="1">
        <v>46134</v>
      </c>
      <c r="N668" s="1">
        <v>46134</v>
      </c>
      <c r="O668" s="1">
        <v>46134</v>
      </c>
      <c r="P668" s="14" t="s">
        <v>1771</v>
      </c>
      <c r="Q668" s="14" t="s">
        <v>184</v>
      </c>
      <c r="R668">
        <v>2</v>
      </c>
      <c r="S668" t="b">
        <v>1</v>
      </c>
      <c r="T668" s="14" t="s">
        <v>47</v>
      </c>
      <c r="U668" s="14" t="s">
        <v>47</v>
      </c>
      <c r="V668" s="14" t="s">
        <v>47</v>
      </c>
      <c r="W668" s="14" t="s">
        <v>47</v>
      </c>
      <c r="X668" s="14" t="s">
        <v>51</v>
      </c>
      <c r="Y668" t="b">
        <v>0</v>
      </c>
      <c r="Z668" s="14" t="s">
        <v>47</v>
      </c>
      <c r="AA668" s="14" t="s">
        <v>47</v>
      </c>
      <c r="AB668" s="14" t="s">
        <v>47</v>
      </c>
      <c r="AC668" t="b">
        <v>1</v>
      </c>
      <c r="AD668" s="14" t="s">
        <v>52</v>
      </c>
      <c r="AE668" s="14" t="s">
        <v>4669</v>
      </c>
      <c r="AF668" s="14" t="s">
        <v>4667</v>
      </c>
      <c r="AG668" s="14" t="s">
        <v>3611</v>
      </c>
      <c r="AH668" s="14" t="s">
        <v>87</v>
      </c>
      <c r="AI668" s="2">
        <v>46160.877418981479</v>
      </c>
      <c r="AJ668" s="14" t="s">
        <v>47</v>
      </c>
      <c r="AK668" s="14" t="s">
        <v>47</v>
      </c>
      <c r="AL668" s="2">
        <v>46160.877418981479</v>
      </c>
      <c r="AM668" s="2">
        <v>46160.877418981479</v>
      </c>
    </row>
    <row r="669" spans="1:39" x14ac:dyDescent="0.3">
      <c r="A669" s="14" t="s">
        <v>4670</v>
      </c>
      <c r="B669" s="14" t="s">
        <v>4671</v>
      </c>
      <c r="C669" s="14" t="s">
        <v>41</v>
      </c>
      <c r="D669" s="14" t="s">
        <v>4672</v>
      </c>
      <c r="E669" s="14" t="s">
        <v>4673</v>
      </c>
      <c r="F669" s="14" t="s">
        <v>47</v>
      </c>
      <c r="G669" s="14" t="s">
        <v>47</v>
      </c>
      <c r="H669" s="14" t="s">
        <v>3101</v>
      </c>
      <c r="I669" s="14" t="s">
        <v>47</v>
      </c>
      <c r="J669" s="14" t="s">
        <v>47</v>
      </c>
      <c r="K669" s="14" t="s">
        <v>47</v>
      </c>
      <c r="L669" s="14" t="s">
        <v>47</v>
      </c>
      <c r="M669" s="1">
        <v>46140</v>
      </c>
      <c r="N669" s="1">
        <v>46140</v>
      </c>
      <c r="O669" s="1">
        <v>46140</v>
      </c>
      <c r="P669" s="14" t="s">
        <v>183</v>
      </c>
      <c r="Q669" s="14" t="s">
        <v>184</v>
      </c>
      <c r="R669">
        <v>2</v>
      </c>
      <c r="S669" t="b">
        <v>0</v>
      </c>
      <c r="T669" s="14" t="s">
        <v>47</v>
      </c>
      <c r="U669" s="14" t="s">
        <v>47</v>
      </c>
      <c r="V669" s="14" t="s">
        <v>47</v>
      </c>
      <c r="W669" s="14" t="s">
        <v>47</v>
      </c>
      <c r="X669" s="14" t="s">
        <v>51</v>
      </c>
      <c r="Y669" t="b">
        <v>0</v>
      </c>
      <c r="Z669" s="14" t="s">
        <v>47</v>
      </c>
      <c r="AA669" s="14" t="s">
        <v>47</v>
      </c>
      <c r="AB669" s="14" t="s">
        <v>47</v>
      </c>
      <c r="AC669" t="b">
        <v>1</v>
      </c>
      <c r="AD669" s="14" t="s">
        <v>52</v>
      </c>
      <c r="AE669" s="14" t="s">
        <v>4674</v>
      </c>
      <c r="AF669" s="14" t="s">
        <v>4672</v>
      </c>
      <c r="AG669" s="14" t="s">
        <v>3611</v>
      </c>
      <c r="AH669" s="14" t="s">
        <v>87</v>
      </c>
      <c r="AI669" s="2">
        <v>46160.877418981479</v>
      </c>
      <c r="AJ669" s="14" t="s">
        <v>47</v>
      </c>
      <c r="AK669" s="14" t="s">
        <v>47</v>
      </c>
      <c r="AL669" s="2">
        <v>46160.877418981479</v>
      </c>
      <c r="AM669" s="2">
        <v>46160.877418981479</v>
      </c>
    </row>
    <row r="670" spans="1:39" x14ac:dyDescent="0.3">
      <c r="A670" s="14" t="s">
        <v>4675</v>
      </c>
      <c r="B670" s="14" t="s">
        <v>4676</v>
      </c>
      <c r="C670" s="14" t="s">
        <v>41</v>
      </c>
      <c r="D670" s="14" t="s">
        <v>4677</v>
      </c>
      <c r="E670" s="14" t="s">
        <v>4678</v>
      </c>
      <c r="F670" s="14" t="s">
        <v>47</v>
      </c>
      <c r="G670" s="14" t="s">
        <v>47</v>
      </c>
      <c r="H670" s="14" t="s">
        <v>3078</v>
      </c>
      <c r="I670" s="14" t="s">
        <v>47</v>
      </c>
      <c r="J670" s="14" t="s">
        <v>47</v>
      </c>
      <c r="K670" s="14" t="s">
        <v>3079</v>
      </c>
      <c r="L670" s="14" t="s">
        <v>47</v>
      </c>
      <c r="M670" s="1">
        <v>46136</v>
      </c>
      <c r="N670" s="1">
        <v>46136</v>
      </c>
      <c r="O670" s="1">
        <v>46136</v>
      </c>
      <c r="P670" s="14" t="s">
        <v>64</v>
      </c>
      <c r="Q670" s="14" t="s">
        <v>50</v>
      </c>
      <c r="R670">
        <v>2</v>
      </c>
      <c r="S670" t="b">
        <v>0</v>
      </c>
      <c r="T670" s="14" t="s">
        <v>47</v>
      </c>
      <c r="U670" s="14" t="s">
        <v>47</v>
      </c>
      <c r="V670" s="14" t="s">
        <v>47</v>
      </c>
      <c r="W670" s="14" t="s">
        <v>47</v>
      </c>
      <c r="X670" s="14" t="s">
        <v>51</v>
      </c>
      <c r="Y670" t="b">
        <v>0</v>
      </c>
      <c r="Z670" s="14" t="s">
        <v>47</v>
      </c>
      <c r="AA670" s="14" t="s">
        <v>47</v>
      </c>
      <c r="AB670" s="14" t="s">
        <v>47</v>
      </c>
      <c r="AC670" t="b">
        <v>1</v>
      </c>
      <c r="AD670" s="14" t="s">
        <v>52</v>
      </c>
      <c r="AE670" s="14" t="s">
        <v>4679</v>
      </c>
      <c r="AF670" s="14" t="s">
        <v>4677</v>
      </c>
      <c r="AG670" s="14" t="s">
        <v>3611</v>
      </c>
      <c r="AH670" s="14" t="s">
        <v>87</v>
      </c>
      <c r="AI670" s="2">
        <v>46160.877418981479</v>
      </c>
      <c r="AJ670" s="14" t="s">
        <v>47</v>
      </c>
      <c r="AK670" s="14" t="s">
        <v>47</v>
      </c>
      <c r="AL670" s="2">
        <v>46160.877418981479</v>
      </c>
      <c r="AM670" s="2">
        <v>46160.877418981479</v>
      </c>
    </row>
    <row r="671" spans="1:39" x14ac:dyDescent="0.3">
      <c r="A671" s="14" t="s">
        <v>4680</v>
      </c>
      <c r="B671" s="14" t="s">
        <v>4681</v>
      </c>
      <c r="C671" s="14" t="s">
        <v>41</v>
      </c>
      <c r="D671" s="14" t="s">
        <v>4682</v>
      </c>
      <c r="E671" s="14" t="s">
        <v>4683</v>
      </c>
      <c r="F671" s="14" t="s">
        <v>47</v>
      </c>
      <c r="G671" s="14" t="s">
        <v>47</v>
      </c>
      <c r="H671" s="14" t="s">
        <v>3078</v>
      </c>
      <c r="I671" s="14" t="s">
        <v>47</v>
      </c>
      <c r="J671" s="14" t="s">
        <v>47</v>
      </c>
      <c r="K671" s="14" t="s">
        <v>3079</v>
      </c>
      <c r="L671" s="14" t="s">
        <v>47</v>
      </c>
      <c r="M671" s="1">
        <v>46140</v>
      </c>
      <c r="N671" s="1">
        <v>46140</v>
      </c>
      <c r="O671" s="1">
        <v>46140</v>
      </c>
      <c r="P671" s="14" t="s">
        <v>64</v>
      </c>
      <c r="Q671" s="14" t="s">
        <v>50</v>
      </c>
      <c r="R671">
        <v>2</v>
      </c>
      <c r="S671" t="b">
        <v>0</v>
      </c>
      <c r="T671" s="14" t="s">
        <v>47</v>
      </c>
      <c r="U671" s="14" t="s">
        <v>47</v>
      </c>
      <c r="V671" s="14" t="s">
        <v>47</v>
      </c>
      <c r="W671" s="14" t="s">
        <v>47</v>
      </c>
      <c r="X671" s="14" t="s">
        <v>51</v>
      </c>
      <c r="Y671" t="b">
        <v>0</v>
      </c>
      <c r="Z671" s="14" t="s">
        <v>47</v>
      </c>
      <c r="AA671" s="14" t="s">
        <v>47</v>
      </c>
      <c r="AB671" s="14" t="s">
        <v>47</v>
      </c>
      <c r="AC671" t="b">
        <v>1</v>
      </c>
      <c r="AD671" s="14" t="s">
        <v>52</v>
      </c>
      <c r="AE671" s="14" t="s">
        <v>4684</v>
      </c>
      <c r="AF671" s="14" t="s">
        <v>4682</v>
      </c>
      <c r="AG671" s="14" t="s">
        <v>3611</v>
      </c>
      <c r="AH671" s="14" t="s">
        <v>87</v>
      </c>
      <c r="AI671" s="2">
        <v>46160.877418981479</v>
      </c>
      <c r="AJ671" s="14" t="s">
        <v>47</v>
      </c>
      <c r="AK671" s="14" t="s">
        <v>47</v>
      </c>
      <c r="AL671" s="2">
        <v>46160.877418981479</v>
      </c>
      <c r="AM671" s="2">
        <v>46160.877418981479</v>
      </c>
    </row>
    <row r="672" spans="1:39" x14ac:dyDescent="0.3">
      <c r="A672" s="14" t="s">
        <v>4685</v>
      </c>
      <c r="B672" s="14" t="s">
        <v>4686</v>
      </c>
      <c r="C672" s="14" t="s">
        <v>41</v>
      </c>
      <c r="D672" s="14" t="s">
        <v>4687</v>
      </c>
      <c r="E672" s="14" t="s">
        <v>4688</v>
      </c>
      <c r="F672" s="14" t="s">
        <v>47</v>
      </c>
      <c r="G672" s="14" t="s">
        <v>47</v>
      </c>
      <c r="H672" s="14" t="s">
        <v>3101</v>
      </c>
      <c r="I672" s="14" t="s">
        <v>47</v>
      </c>
      <c r="J672" s="14" t="s">
        <v>47</v>
      </c>
      <c r="K672" s="14" t="s">
        <v>47</v>
      </c>
      <c r="L672" s="14" t="s">
        <v>47</v>
      </c>
      <c r="M672" s="1">
        <v>45826</v>
      </c>
      <c r="N672" s="1">
        <v>45826</v>
      </c>
      <c r="O672" s="1">
        <v>45826</v>
      </c>
      <c r="P672" s="14" t="s">
        <v>183</v>
      </c>
      <c r="Q672" s="14" t="s">
        <v>184</v>
      </c>
      <c r="R672">
        <v>2</v>
      </c>
      <c r="S672" t="b">
        <v>0</v>
      </c>
      <c r="T672" s="14" t="s">
        <v>47</v>
      </c>
      <c r="U672" s="14" t="s">
        <v>47</v>
      </c>
      <c r="V672" s="14" t="s">
        <v>47</v>
      </c>
      <c r="W672" s="14" t="s">
        <v>47</v>
      </c>
      <c r="X672" s="14" t="s">
        <v>51</v>
      </c>
      <c r="Y672" t="b">
        <v>0</v>
      </c>
      <c r="Z672" s="14" t="s">
        <v>47</v>
      </c>
      <c r="AA672" s="14" t="s">
        <v>47</v>
      </c>
      <c r="AB672" s="14" t="s">
        <v>47</v>
      </c>
      <c r="AC672" t="b">
        <v>1</v>
      </c>
      <c r="AD672" s="14" t="s">
        <v>52</v>
      </c>
      <c r="AE672" s="14" t="s">
        <v>4689</v>
      </c>
      <c r="AF672" s="14" t="s">
        <v>4687</v>
      </c>
      <c r="AG672" s="14" t="s">
        <v>3611</v>
      </c>
      <c r="AH672" s="14" t="s">
        <v>87</v>
      </c>
      <c r="AI672" s="2">
        <v>46160.877418981479</v>
      </c>
      <c r="AJ672" s="14" t="s">
        <v>47</v>
      </c>
      <c r="AK672" s="14" t="s">
        <v>47</v>
      </c>
      <c r="AL672" s="2">
        <v>46160.877418981479</v>
      </c>
      <c r="AM672" s="2">
        <v>46160.877418981479</v>
      </c>
    </row>
    <row r="673" spans="1:39" x14ac:dyDescent="0.3">
      <c r="A673" s="14" t="s">
        <v>4690</v>
      </c>
      <c r="B673" s="14" t="s">
        <v>4691</v>
      </c>
      <c r="C673" s="14" t="s">
        <v>41</v>
      </c>
      <c r="D673" s="14" t="s">
        <v>4692</v>
      </c>
      <c r="E673" s="14" t="s">
        <v>4693</v>
      </c>
      <c r="F673" s="14" t="s">
        <v>47</v>
      </c>
      <c r="G673" s="14" t="s">
        <v>47</v>
      </c>
      <c r="H673" s="14" t="s">
        <v>3101</v>
      </c>
      <c r="I673" s="14" t="s">
        <v>47</v>
      </c>
      <c r="J673" s="14" t="s">
        <v>47</v>
      </c>
      <c r="K673" s="14" t="s">
        <v>47</v>
      </c>
      <c r="L673" s="14" t="s">
        <v>47</v>
      </c>
      <c r="M673" s="1">
        <v>46108</v>
      </c>
      <c r="N673" s="1">
        <v>46108</v>
      </c>
      <c r="O673" s="1">
        <v>46108</v>
      </c>
      <c r="P673" s="14" t="s">
        <v>183</v>
      </c>
      <c r="Q673" s="14" t="s">
        <v>184</v>
      </c>
      <c r="R673">
        <v>2</v>
      </c>
      <c r="S673" t="b">
        <v>0</v>
      </c>
      <c r="T673" s="14" t="s">
        <v>47</v>
      </c>
      <c r="U673" s="14" t="s">
        <v>47</v>
      </c>
      <c r="V673" s="14" t="s">
        <v>47</v>
      </c>
      <c r="W673" s="14" t="s">
        <v>47</v>
      </c>
      <c r="X673" s="14" t="s">
        <v>51</v>
      </c>
      <c r="Y673" t="b">
        <v>0</v>
      </c>
      <c r="Z673" s="14" t="s">
        <v>47</v>
      </c>
      <c r="AA673" s="14" t="s">
        <v>47</v>
      </c>
      <c r="AB673" s="14" t="s">
        <v>47</v>
      </c>
      <c r="AC673" t="b">
        <v>1</v>
      </c>
      <c r="AD673" s="14" t="s">
        <v>52</v>
      </c>
      <c r="AE673" s="14" t="s">
        <v>4694</v>
      </c>
      <c r="AF673" s="14" t="s">
        <v>4692</v>
      </c>
      <c r="AG673" s="14" t="s">
        <v>3611</v>
      </c>
      <c r="AH673" s="14" t="s">
        <v>87</v>
      </c>
      <c r="AI673" s="2">
        <v>46160.877418981479</v>
      </c>
      <c r="AJ673" s="14" t="s">
        <v>47</v>
      </c>
      <c r="AK673" s="14" t="s">
        <v>47</v>
      </c>
      <c r="AL673" s="2">
        <v>46160.877418981479</v>
      </c>
      <c r="AM673" s="2">
        <v>46160.877418981479</v>
      </c>
    </row>
    <row r="674" spans="1:39" x14ac:dyDescent="0.3">
      <c r="A674" s="14" t="s">
        <v>4695</v>
      </c>
      <c r="B674" s="14" t="s">
        <v>4696</v>
      </c>
      <c r="C674" s="14" t="s">
        <v>41</v>
      </c>
      <c r="D674" s="14" t="s">
        <v>4697</v>
      </c>
      <c r="E674" s="14" t="s">
        <v>4698</v>
      </c>
      <c r="F674" s="14" t="s">
        <v>47</v>
      </c>
      <c r="G674" s="14" t="s">
        <v>47</v>
      </c>
      <c r="H674" s="14" t="s">
        <v>3101</v>
      </c>
      <c r="I674" s="14" t="s">
        <v>47</v>
      </c>
      <c r="J674" s="14" t="s">
        <v>47</v>
      </c>
      <c r="K674" s="14" t="s">
        <v>47</v>
      </c>
      <c r="L674" s="14" t="s">
        <v>47</v>
      </c>
      <c r="M674" s="1">
        <v>46119</v>
      </c>
      <c r="N674" s="1">
        <v>46119</v>
      </c>
      <c r="O674" s="1">
        <v>46119</v>
      </c>
      <c r="P674" s="14" t="s">
        <v>183</v>
      </c>
      <c r="Q674" s="14" t="s">
        <v>184</v>
      </c>
      <c r="R674">
        <v>2</v>
      </c>
      <c r="S674" t="b">
        <v>0</v>
      </c>
      <c r="T674" s="14" t="s">
        <v>47</v>
      </c>
      <c r="U674" s="14" t="s">
        <v>47</v>
      </c>
      <c r="V674" s="14" t="s">
        <v>47</v>
      </c>
      <c r="W674" s="14" t="s">
        <v>47</v>
      </c>
      <c r="X674" s="14" t="s">
        <v>51</v>
      </c>
      <c r="Y674" t="b">
        <v>0</v>
      </c>
      <c r="Z674" s="14" t="s">
        <v>47</v>
      </c>
      <c r="AA674" s="14" t="s">
        <v>47</v>
      </c>
      <c r="AB674" s="14" t="s">
        <v>47</v>
      </c>
      <c r="AC674" t="b">
        <v>1</v>
      </c>
      <c r="AD674" s="14" t="s">
        <v>52</v>
      </c>
      <c r="AE674" s="14" t="s">
        <v>4699</v>
      </c>
      <c r="AF674" s="14" t="s">
        <v>4697</v>
      </c>
      <c r="AG674" s="14" t="s">
        <v>3611</v>
      </c>
      <c r="AH674" s="14" t="s">
        <v>87</v>
      </c>
      <c r="AI674" s="2">
        <v>46160.877418981479</v>
      </c>
      <c r="AJ674" s="14" t="s">
        <v>47</v>
      </c>
      <c r="AK674" s="14" t="s">
        <v>47</v>
      </c>
      <c r="AL674" s="2">
        <v>46160.877418981479</v>
      </c>
      <c r="AM674" s="2">
        <v>46160.877418981479</v>
      </c>
    </row>
    <row r="675" spans="1:39" x14ac:dyDescent="0.3">
      <c r="A675" s="14" t="s">
        <v>4700</v>
      </c>
      <c r="B675" s="14" t="s">
        <v>4701</v>
      </c>
      <c r="C675" s="14" t="s">
        <v>41</v>
      </c>
      <c r="D675" s="14" t="s">
        <v>4702</v>
      </c>
      <c r="E675" s="14" t="s">
        <v>4703</v>
      </c>
      <c r="F675" s="14" t="s">
        <v>47</v>
      </c>
      <c r="G675" s="14" t="s">
        <v>47</v>
      </c>
      <c r="H675" s="14" t="s">
        <v>4704</v>
      </c>
      <c r="I675" s="14" t="s">
        <v>47</v>
      </c>
      <c r="J675" s="14" t="s">
        <v>47</v>
      </c>
      <c r="K675" s="14" t="s">
        <v>130</v>
      </c>
      <c r="L675" s="14" t="s">
        <v>47</v>
      </c>
      <c r="M675" s="1">
        <v>45763</v>
      </c>
      <c r="N675" s="1">
        <v>45763</v>
      </c>
      <c r="O675" s="1">
        <v>45763</v>
      </c>
      <c r="P675" s="14" t="s">
        <v>49</v>
      </c>
      <c r="Q675" s="14" t="s">
        <v>50</v>
      </c>
      <c r="R675">
        <v>3</v>
      </c>
      <c r="S675" t="b">
        <v>1</v>
      </c>
      <c r="T675" s="14" t="s">
        <v>47</v>
      </c>
      <c r="U675" s="14" t="s">
        <v>47</v>
      </c>
      <c r="V675" s="14" t="s">
        <v>47</v>
      </c>
      <c r="W675" s="14" t="s">
        <v>47</v>
      </c>
      <c r="X675" s="14" t="s">
        <v>51</v>
      </c>
      <c r="Y675" t="b">
        <v>0</v>
      </c>
      <c r="Z675" s="14" t="s">
        <v>47</v>
      </c>
      <c r="AA675" s="14" t="s">
        <v>47</v>
      </c>
      <c r="AB675" s="14" t="s">
        <v>47</v>
      </c>
      <c r="AC675" t="b">
        <v>1</v>
      </c>
      <c r="AD675" s="14" t="s">
        <v>52</v>
      </c>
      <c r="AE675" s="14" t="s">
        <v>4705</v>
      </c>
      <c r="AF675" s="14" t="s">
        <v>4702</v>
      </c>
      <c r="AG675" s="14" t="s">
        <v>3611</v>
      </c>
      <c r="AH675" s="14" t="s">
        <v>87</v>
      </c>
      <c r="AI675" s="2">
        <v>46160.877418981479</v>
      </c>
      <c r="AJ675" s="14" t="s">
        <v>47</v>
      </c>
      <c r="AK675" s="14" t="s">
        <v>47</v>
      </c>
      <c r="AL675" s="2">
        <v>46160.877418981479</v>
      </c>
      <c r="AM675" s="2">
        <v>46160.877418981479</v>
      </c>
    </row>
    <row r="676" spans="1:39" x14ac:dyDescent="0.3">
      <c r="A676" s="14" t="s">
        <v>4706</v>
      </c>
      <c r="B676" s="14" t="s">
        <v>4707</v>
      </c>
      <c r="C676" s="14" t="s">
        <v>41</v>
      </c>
      <c r="D676" s="14" t="s">
        <v>4708</v>
      </c>
      <c r="E676" s="14" t="s">
        <v>4709</v>
      </c>
      <c r="F676" s="14" t="s">
        <v>47</v>
      </c>
      <c r="G676" s="14" t="s">
        <v>47</v>
      </c>
      <c r="H676" s="14" t="s">
        <v>3101</v>
      </c>
      <c r="I676" s="14" t="s">
        <v>47</v>
      </c>
      <c r="J676" s="14" t="s">
        <v>47</v>
      </c>
      <c r="K676" s="14" t="s">
        <v>47</v>
      </c>
      <c r="L676" s="14" t="s">
        <v>47</v>
      </c>
      <c r="M676" s="1">
        <v>46140</v>
      </c>
      <c r="N676" s="1">
        <v>46140</v>
      </c>
      <c r="O676" s="1">
        <v>46140</v>
      </c>
      <c r="P676" s="14" t="s">
        <v>183</v>
      </c>
      <c r="Q676" s="14" t="s">
        <v>184</v>
      </c>
      <c r="R676">
        <v>2</v>
      </c>
      <c r="S676" t="b">
        <v>0</v>
      </c>
      <c r="T676" s="14" t="s">
        <v>47</v>
      </c>
      <c r="U676" s="14" t="s">
        <v>47</v>
      </c>
      <c r="V676" s="14" t="s">
        <v>47</v>
      </c>
      <c r="W676" s="14" t="s">
        <v>47</v>
      </c>
      <c r="X676" s="14" t="s">
        <v>51</v>
      </c>
      <c r="Y676" t="b">
        <v>0</v>
      </c>
      <c r="Z676" s="14" t="s">
        <v>47</v>
      </c>
      <c r="AA676" s="14" t="s">
        <v>47</v>
      </c>
      <c r="AB676" s="14" t="s">
        <v>47</v>
      </c>
      <c r="AC676" t="b">
        <v>1</v>
      </c>
      <c r="AD676" s="14" t="s">
        <v>52</v>
      </c>
      <c r="AE676" s="14" t="s">
        <v>4710</v>
      </c>
      <c r="AF676" s="14" t="s">
        <v>4708</v>
      </c>
      <c r="AG676" s="14" t="s">
        <v>3611</v>
      </c>
      <c r="AH676" s="14" t="s">
        <v>87</v>
      </c>
      <c r="AI676" s="2">
        <v>46160.877418981479</v>
      </c>
      <c r="AJ676" s="14" t="s">
        <v>47</v>
      </c>
      <c r="AK676" s="14" t="s">
        <v>47</v>
      </c>
      <c r="AL676" s="2">
        <v>46160.877418981479</v>
      </c>
      <c r="AM676" s="2">
        <v>46160.877418981479</v>
      </c>
    </row>
    <row r="677" spans="1:39" x14ac:dyDescent="0.3">
      <c r="A677" s="14" t="s">
        <v>4711</v>
      </c>
      <c r="B677" s="14" t="s">
        <v>4712</v>
      </c>
      <c r="C677" s="14" t="s">
        <v>41</v>
      </c>
      <c r="D677" s="14" t="s">
        <v>4713</v>
      </c>
      <c r="E677" s="14" t="s">
        <v>4714</v>
      </c>
      <c r="F677" s="14" t="s">
        <v>47</v>
      </c>
      <c r="G677" s="14" t="s">
        <v>47</v>
      </c>
      <c r="H677" s="14" t="s">
        <v>85</v>
      </c>
      <c r="I677" s="14" t="s">
        <v>47</v>
      </c>
      <c r="J677" s="14" t="s">
        <v>47</v>
      </c>
      <c r="K677" s="14" t="s">
        <v>48</v>
      </c>
      <c r="L677" s="14" t="s">
        <v>47</v>
      </c>
      <c r="M677" s="1">
        <v>46114</v>
      </c>
      <c r="N677" s="1">
        <v>46114</v>
      </c>
      <c r="O677" s="1">
        <v>46114</v>
      </c>
      <c r="P677" s="14" t="s">
        <v>49</v>
      </c>
      <c r="Q677" s="14" t="s">
        <v>50</v>
      </c>
      <c r="R677">
        <v>2</v>
      </c>
      <c r="S677" t="b">
        <v>0</v>
      </c>
      <c r="T677" s="14" t="s">
        <v>47</v>
      </c>
      <c r="U677" s="14" t="s">
        <v>47</v>
      </c>
      <c r="V677" s="14" t="s">
        <v>47</v>
      </c>
      <c r="W677" s="14" t="s">
        <v>47</v>
      </c>
      <c r="X677" s="14" t="s">
        <v>51</v>
      </c>
      <c r="Y677" t="b">
        <v>0</v>
      </c>
      <c r="Z677" s="14" t="s">
        <v>47</v>
      </c>
      <c r="AA677" s="14" t="s">
        <v>47</v>
      </c>
      <c r="AB677" s="14" t="s">
        <v>47</v>
      </c>
      <c r="AC677" t="b">
        <v>1</v>
      </c>
      <c r="AD677" s="14" t="s">
        <v>52</v>
      </c>
      <c r="AE677" s="14" t="s">
        <v>4715</v>
      </c>
      <c r="AF677" s="14" t="s">
        <v>4713</v>
      </c>
      <c r="AG677" s="14" t="s">
        <v>3611</v>
      </c>
      <c r="AH677" s="14" t="s">
        <v>87</v>
      </c>
      <c r="AI677" s="2">
        <v>46160.877418981479</v>
      </c>
      <c r="AJ677" s="14" t="s">
        <v>47</v>
      </c>
      <c r="AK677" s="14" t="s">
        <v>47</v>
      </c>
      <c r="AL677" s="2">
        <v>46160.877418981479</v>
      </c>
      <c r="AM677" s="2">
        <v>46160.877418981479</v>
      </c>
    </row>
    <row r="678" spans="1:39" x14ac:dyDescent="0.3">
      <c r="A678" s="14" t="s">
        <v>4716</v>
      </c>
      <c r="B678" s="14" t="s">
        <v>4717</v>
      </c>
      <c r="C678" s="14" t="s">
        <v>41</v>
      </c>
      <c r="D678" s="14" t="s">
        <v>4718</v>
      </c>
      <c r="E678" s="14" t="s">
        <v>4719</v>
      </c>
      <c r="F678" s="14" t="s">
        <v>47</v>
      </c>
      <c r="G678" s="14" t="s">
        <v>47</v>
      </c>
      <c r="H678" s="14" t="s">
        <v>3101</v>
      </c>
      <c r="I678" s="14" t="s">
        <v>47</v>
      </c>
      <c r="J678" s="14" t="s">
        <v>47</v>
      </c>
      <c r="K678" s="14" t="s">
        <v>47</v>
      </c>
      <c r="L678" s="14" t="s">
        <v>47</v>
      </c>
      <c r="M678" s="1">
        <v>46141</v>
      </c>
      <c r="N678" s="1">
        <v>46141</v>
      </c>
      <c r="O678" s="1">
        <v>46141</v>
      </c>
      <c r="P678" s="14" t="s">
        <v>183</v>
      </c>
      <c r="Q678" s="14" t="s">
        <v>184</v>
      </c>
      <c r="R678">
        <v>2</v>
      </c>
      <c r="S678" t="b">
        <v>0</v>
      </c>
      <c r="T678" s="14" t="s">
        <v>47</v>
      </c>
      <c r="U678" s="14" t="s">
        <v>47</v>
      </c>
      <c r="V678" s="14" t="s">
        <v>47</v>
      </c>
      <c r="W678" s="14" t="s">
        <v>47</v>
      </c>
      <c r="X678" s="14" t="s">
        <v>51</v>
      </c>
      <c r="Y678" t="b">
        <v>0</v>
      </c>
      <c r="Z678" s="14" t="s">
        <v>47</v>
      </c>
      <c r="AA678" s="14" t="s">
        <v>47</v>
      </c>
      <c r="AB678" s="14" t="s">
        <v>47</v>
      </c>
      <c r="AC678" t="b">
        <v>1</v>
      </c>
      <c r="AD678" s="14" t="s">
        <v>52</v>
      </c>
      <c r="AE678" s="14" t="s">
        <v>4720</v>
      </c>
      <c r="AF678" s="14" t="s">
        <v>4718</v>
      </c>
      <c r="AG678" s="14" t="s">
        <v>3611</v>
      </c>
      <c r="AH678" s="14" t="s">
        <v>87</v>
      </c>
      <c r="AI678" s="2">
        <v>46160.877418981479</v>
      </c>
      <c r="AJ678" s="14" t="s">
        <v>47</v>
      </c>
      <c r="AK678" s="14" t="s">
        <v>47</v>
      </c>
      <c r="AL678" s="2">
        <v>46160.877418981479</v>
      </c>
      <c r="AM678" s="2">
        <v>46160.877418981479</v>
      </c>
    </row>
    <row r="679" spans="1:39" x14ac:dyDescent="0.3">
      <c r="A679" s="14" t="s">
        <v>4721</v>
      </c>
      <c r="B679" s="14" t="s">
        <v>4722</v>
      </c>
      <c r="C679" s="14" t="s">
        <v>41</v>
      </c>
      <c r="D679" s="14" t="s">
        <v>4723</v>
      </c>
      <c r="E679" s="14" t="s">
        <v>4724</v>
      </c>
      <c r="F679" s="14" t="s">
        <v>47</v>
      </c>
      <c r="G679" s="14" t="s">
        <v>47</v>
      </c>
      <c r="H679" s="14" t="s">
        <v>85</v>
      </c>
      <c r="I679" s="14" t="s">
        <v>47</v>
      </c>
      <c r="J679" s="14" t="s">
        <v>47</v>
      </c>
      <c r="K679" s="14" t="s">
        <v>48</v>
      </c>
      <c r="L679" s="14" t="s">
        <v>47</v>
      </c>
      <c r="M679" s="1">
        <v>46133</v>
      </c>
      <c r="N679" s="1">
        <v>46133</v>
      </c>
      <c r="O679" s="1">
        <v>46133</v>
      </c>
      <c r="P679" s="14" t="s">
        <v>49</v>
      </c>
      <c r="Q679" s="14" t="s">
        <v>50</v>
      </c>
      <c r="R679">
        <v>2</v>
      </c>
      <c r="S679" t="b">
        <v>0</v>
      </c>
      <c r="T679" s="14" t="s">
        <v>47</v>
      </c>
      <c r="U679" s="14" t="s">
        <v>47</v>
      </c>
      <c r="V679" s="14" t="s">
        <v>47</v>
      </c>
      <c r="W679" s="14" t="s">
        <v>47</v>
      </c>
      <c r="X679" s="14" t="s">
        <v>51</v>
      </c>
      <c r="Y679" t="b">
        <v>0</v>
      </c>
      <c r="Z679" s="14" t="s">
        <v>47</v>
      </c>
      <c r="AA679" s="14" t="s">
        <v>47</v>
      </c>
      <c r="AB679" s="14" t="s">
        <v>47</v>
      </c>
      <c r="AC679" t="b">
        <v>1</v>
      </c>
      <c r="AD679" s="14" t="s">
        <v>52</v>
      </c>
      <c r="AE679" s="14" t="s">
        <v>4725</v>
      </c>
      <c r="AF679" s="14" t="s">
        <v>4723</v>
      </c>
      <c r="AG679" s="14" t="s">
        <v>3611</v>
      </c>
      <c r="AH679" s="14" t="s">
        <v>87</v>
      </c>
      <c r="AI679" s="2">
        <v>46160.877418981479</v>
      </c>
      <c r="AJ679" s="14" t="s">
        <v>47</v>
      </c>
      <c r="AK679" s="14" t="s">
        <v>47</v>
      </c>
      <c r="AL679" s="2">
        <v>46160.877418981479</v>
      </c>
      <c r="AM679" s="2">
        <v>46160.877418981479</v>
      </c>
    </row>
    <row r="680" spans="1:39" x14ac:dyDescent="0.3">
      <c r="A680" s="14" t="s">
        <v>4726</v>
      </c>
      <c r="B680" s="14" t="s">
        <v>4727</v>
      </c>
      <c r="C680" s="14" t="s">
        <v>41</v>
      </c>
      <c r="D680" s="14" t="s">
        <v>4728</v>
      </c>
      <c r="E680" s="14" t="s">
        <v>4729</v>
      </c>
      <c r="F680" s="14" t="s">
        <v>47</v>
      </c>
      <c r="G680" s="14" t="s">
        <v>47</v>
      </c>
      <c r="H680" s="14" t="s">
        <v>3101</v>
      </c>
      <c r="I680" s="14" t="s">
        <v>47</v>
      </c>
      <c r="J680" s="14" t="s">
        <v>47</v>
      </c>
      <c r="K680" s="14" t="s">
        <v>47</v>
      </c>
      <c r="L680" s="14" t="s">
        <v>47</v>
      </c>
      <c r="M680" s="1">
        <v>46130</v>
      </c>
      <c r="N680" s="1">
        <v>46130</v>
      </c>
      <c r="O680" s="1">
        <v>46130</v>
      </c>
      <c r="P680" s="14" t="s">
        <v>183</v>
      </c>
      <c r="Q680" s="14" t="s">
        <v>184</v>
      </c>
      <c r="R680">
        <v>2</v>
      </c>
      <c r="S680" t="b">
        <v>0</v>
      </c>
      <c r="T680" s="14" t="s">
        <v>47</v>
      </c>
      <c r="U680" s="14" t="s">
        <v>47</v>
      </c>
      <c r="V680" s="14" t="s">
        <v>47</v>
      </c>
      <c r="W680" s="14" t="s">
        <v>47</v>
      </c>
      <c r="X680" s="14" t="s">
        <v>51</v>
      </c>
      <c r="Y680" t="b">
        <v>0</v>
      </c>
      <c r="Z680" s="14" t="s">
        <v>47</v>
      </c>
      <c r="AA680" s="14" t="s">
        <v>47</v>
      </c>
      <c r="AB680" s="14" t="s">
        <v>47</v>
      </c>
      <c r="AC680" t="b">
        <v>1</v>
      </c>
      <c r="AD680" s="14" t="s">
        <v>52</v>
      </c>
      <c r="AE680" s="14" t="s">
        <v>4730</v>
      </c>
      <c r="AF680" s="14" t="s">
        <v>4728</v>
      </c>
      <c r="AG680" s="14" t="s">
        <v>3611</v>
      </c>
      <c r="AH680" s="14" t="s">
        <v>87</v>
      </c>
      <c r="AI680" s="2">
        <v>46160.877418981479</v>
      </c>
      <c r="AJ680" s="14" t="s">
        <v>47</v>
      </c>
      <c r="AK680" s="14" t="s">
        <v>47</v>
      </c>
      <c r="AL680" s="2">
        <v>46160.877418981479</v>
      </c>
      <c r="AM680" s="2">
        <v>46160.877418981479</v>
      </c>
    </row>
    <row r="681" spans="1:39" x14ac:dyDescent="0.3">
      <c r="A681" s="14" t="s">
        <v>4731</v>
      </c>
      <c r="B681" s="14" t="s">
        <v>4732</v>
      </c>
      <c r="C681" s="14" t="s">
        <v>41</v>
      </c>
      <c r="D681" s="14" t="s">
        <v>4733</v>
      </c>
      <c r="E681" s="14" t="s">
        <v>4734</v>
      </c>
      <c r="F681" s="14" t="s">
        <v>47</v>
      </c>
      <c r="G681" s="14" t="s">
        <v>47</v>
      </c>
      <c r="H681" s="14" t="s">
        <v>85</v>
      </c>
      <c r="I681" s="14" t="s">
        <v>47</v>
      </c>
      <c r="J681" s="14" t="s">
        <v>47</v>
      </c>
      <c r="K681" s="14" t="s">
        <v>48</v>
      </c>
      <c r="L681" s="14" t="s">
        <v>47</v>
      </c>
      <c r="M681" s="1">
        <v>46039</v>
      </c>
      <c r="N681" s="1">
        <v>46039</v>
      </c>
      <c r="O681" s="1">
        <v>46039</v>
      </c>
      <c r="P681" s="14" t="s">
        <v>49</v>
      </c>
      <c r="Q681" s="14" t="s">
        <v>50</v>
      </c>
      <c r="R681">
        <v>2</v>
      </c>
      <c r="S681" t="b">
        <v>0</v>
      </c>
      <c r="T681" s="14" t="s">
        <v>47</v>
      </c>
      <c r="U681" s="14" t="s">
        <v>47</v>
      </c>
      <c r="V681" s="14" t="s">
        <v>47</v>
      </c>
      <c r="W681" s="14" t="s">
        <v>47</v>
      </c>
      <c r="X681" s="14" t="s">
        <v>51</v>
      </c>
      <c r="Y681" t="b">
        <v>0</v>
      </c>
      <c r="Z681" s="14" t="s">
        <v>47</v>
      </c>
      <c r="AA681" s="14" t="s">
        <v>47</v>
      </c>
      <c r="AB681" s="14" t="s">
        <v>47</v>
      </c>
      <c r="AC681" t="b">
        <v>1</v>
      </c>
      <c r="AD681" s="14" t="s">
        <v>52</v>
      </c>
      <c r="AE681" s="14" t="s">
        <v>4735</v>
      </c>
      <c r="AF681" s="14" t="s">
        <v>4733</v>
      </c>
      <c r="AG681" s="14" t="s">
        <v>3611</v>
      </c>
      <c r="AH681" s="14" t="s">
        <v>87</v>
      </c>
      <c r="AI681" s="2">
        <v>46160.877418981479</v>
      </c>
      <c r="AJ681" s="14" t="s">
        <v>47</v>
      </c>
      <c r="AK681" s="14" t="s">
        <v>47</v>
      </c>
      <c r="AL681" s="2">
        <v>46160.877418981479</v>
      </c>
      <c r="AM681" s="2">
        <v>46160.877418981479</v>
      </c>
    </row>
    <row r="682" spans="1:39" x14ac:dyDescent="0.3">
      <c r="A682" s="14" t="s">
        <v>4736</v>
      </c>
      <c r="B682" s="14" t="s">
        <v>4737</v>
      </c>
      <c r="C682" s="14" t="s">
        <v>41</v>
      </c>
      <c r="D682" s="14" t="s">
        <v>4738</v>
      </c>
      <c r="E682" s="14" t="s">
        <v>4739</v>
      </c>
      <c r="F682" s="14" t="s">
        <v>47</v>
      </c>
      <c r="G682" s="14" t="s">
        <v>47</v>
      </c>
      <c r="H682" s="14" t="s">
        <v>3101</v>
      </c>
      <c r="I682" s="14" t="s">
        <v>47</v>
      </c>
      <c r="J682" s="14" t="s">
        <v>47</v>
      </c>
      <c r="K682" s="14" t="s">
        <v>47</v>
      </c>
      <c r="L682" s="14" t="s">
        <v>47</v>
      </c>
      <c r="M682" s="1">
        <v>46121</v>
      </c>
      <c r="N682" s="1">
        <v>46121</v>
      </c>
      <c r="O682" s="1">
        <v>46121</v>
      </c>
      <c r="P682" s="14" t="s">
        <v>183</v>
      </c>
      <c r="Q682" s="14" t="s">
        <v>184</v>
      </c>
      <c r="R682">
        <v>2</v>
      </c>
      <c r="S682" t="b">
        <v>0</v>
      </c>
      <c r="T682" s="14" t="s">
        <v>47</v>
      </c>
      <c r="U682" s="14" t="s">
        <v>47</v>
      </c>
      <c r="V682" s="14" t="s">
        <v>47</v>
      </c>
      <c r="W682" s="14" t="s">
        <v>47</v>
      </c>
      <c r="X682" s="14" t="s">
        <v>51</v>
      </c>
      <c r="Y682" t="b">
        <v>0</v>
      </c>
      <c r="Z682" s="14" t="s">
        <v>47</v>
      </c>
      <c r="AA682" s="14" t="s">
        <v>47</v>
      </c>
      <c r="AB682" s="14" t="s">
        <v>47</v>
      </c>
      <c r="AC682" t="b">
        <v>1</v>
      </c>
      <c r="AD682" s="14" t="s">
        <v>52</v>
      </c>
      <c r="AE682" s="14" t="s">
        <v>4740</v>
      </c>
      <c r="AF682" s="14" t="s">
        <v>4738</v>
      </c>
      <c r="AG682" s="14" t="s">
        <v>3611</v>
      </c>
      <c r="AH682" s="14" t="s">
        <v>87</v>
      </c>
      <c r="AI682" s="2">
        <v>46160.877418981479</v>
      </c>
      <c r="AJ682" s="14" t="s">
        <v>47</v>
      </c>
      <c r="AK682" s="14" t="s">
        <v>47</v>
      </c>
      <c r="AL682" s="2">
        <v>46160.877418981479</v>
      </c>
      <c r="AM682" s="2">
        <v>46160.877418981479</v>
      </c>
    </row>
    <row r="683" spans="1:39" x14ac:dyDescent="0.3">
      <c r="A683" s="14" t="s">
        <v>4741</v>
      </c>
      <c r="B683" s="14" t="s">
        <v>4742</v>
      </c>
      <c r="C683" s="14" t="s">
        <v>41</v>
      </c>
      <c r="D683" s="14" t="s">
        <v>4743</v>
      </c>
      <c r="E683" s="14" t="s">
        <v>4744</v>
      </c>
      <c r="F683" s="14" t="s">
        <v>47</v>
      </c>
      <c r="G683" s="14" t="s">
        <v>47</v>
      </c>
      <c r="H683" s="14" t="s">
        <v>3078</v>
      </c>
      <c r="I683" s="14" t="s">
        <v>47</v>
      </c>
      <c r="J683" s="14" t="s">
        <v>47</v>
      </c>
      <c r="K683" s="14" t="s">
        <v>3079</v>
      </c>
      <c r="L683" s="14" t="s">
        <v>47</v>
      </c>
      <c r="M683" s="1">
        <v>46122</v>
      </c>
      <c r="N683" s="1">
        <v>46122</v>
      </c>
      <c r="O683" s="1">
        <v>46122</v>
      </c>
      <c r="P683" s="14" t="s">
        <v>64</v>
      </c>
      <c r="Q683" s="14" t="s">
        <v>50</v>
      </c>
      <c r="R683">
        <v>2</v>
      </c>
      <c r="S683" t="b">
        <v>0</v>
      </c>
      <c r="T683" s="14" t="s">
        <v>47</v>
      </c>
      <c r="U683" s="14" t="s">
        <v>47</v>
      </c>
      <c r="V683" s="14" t="s">
        <v>47</v>
      </c>
      <c r="W683" s="14" t="s">
        <v>47</v>
      </c>
      <c r="X683" s="14" t="s">
        <v>51</v>
      </c>
      <c r="Y683" t="b">
        <v>0</v>
      </c>
      <c r="Z683" s="14" t="s">
        <v>47</v>
      </c>
      <c r="AA683" s="14" t="s">
        <v>47</v>
      </c>
      <c r="AB683" s="14" t="s">
        <v>47</v>
      </c>
      <c r="AC683" t="b">
        <v>1</v>
      </c>
      <c r="AD683" s="14" t="s">
        <v>52</v>
      </c>
      <c r="AE683" s="14" t="s">
        <v>4745</v>
      </c>
      <c r="AF683" s="14" t="s">
        <v>4743</v>
      </c>
      <c r="AG683" s="14" t="s">
        <v>3611</v>
      </c>
      <c r="AH683" s="14" t="s">
        <v>87</v>
      </c>
      <c r="AI683" s="2">
        <v>46160.877418981479</v>
      </c>
      <c r="AJ683" s="14" t="s">
        <v>47</v>
      </c>
      <c r="AK683" s="14" t="s">
        <v>47</v>
      </c>
      <c r="AL683" s="2">
        <v>46160.877418981479</v>
      </c>
      <c r="AM683" s="2">
        <v>46160.877418981479</v>
      </c>
    </row>
    <row r="684" spans="1:39" x14ac:dyDescent="0.3">
      <c r="A684" s="14" t="s">
        <v>4746</v>
      </c>
      <c r="B684" s="14" t="s">
        <v>4747</v>
      </c>
      <c r="C684" s="14" t="s">
        <v>41</v>
      </c>
      <c r="D684" s="14" t="s">
        <v>4748</v>
      </c>
      <c r="E684" s="14" t="s">
        <v>4749</v>
      </c>
      <c r="F684" s="14" t="s">
        <v>47</v>
      </c>
      <c r="G684" s="14" t="s">
        <v>47</v>
      </c>
      <c r="H684" s="14" t="s">
        <v>3101</v>
      </c>
      <c r="I684" s="14" t="s">
        <v>47</v>
      </c>
      <c r="J684" s="14" t="s">
        <v>47</v>
      </c>
      <c r="K684" s="14" t="s">
        <v>47</v>
      </c>
      <c r="L684" s="14" t="s">
        <v>47</v>
      </c>
      <c r="M684" s="1">
        <v>46122</v>
      </c>
      <c r="N684" s="1">
        <v>46122</v>
      </c>
      <c r="O684" s="1">
        <v>46122</v>
      </c>
      <c r="P684" s="14" t="s">
        <v>183</v>
      </c>
      <c r="Q684" s="14" t="s">
        <v>184</v>
      </c>
      <c r="R684">
        <v>2</v>
      </c>
      <c r="S684" t="b">
        <v>0</v>
      </c>
      <c r="T684" s="14" t="s">
        <v>47</v>
      </c>
      <c r="U684" s="14" t="s">
        <v>47</v>
      </c>
      <c r="V684" s="14" t="s">
        <v>47</v>
      </c>
      <c r="W684" s="14" t="s">
        <v>47</v>
      </c>
      <c r="X684" s="14" t="s">
        <v>51</v>
      </c>
      <c r="Y684" t="b">
        <v>0</v>
      </c>
      <c r="Z684" s="14" t="s">
        <v>47</v>
      </c>
      <c r="AA684" s="14" t="s">
        <v>47</v>
      </c>
      <c r="AB684" s="14" t="s">
        <v>47</v>
      </c>
      <c r="AC684" t="b">
        <v>1</v>
      </c>
      <c r="AD684" s="14" t="s">
        <v>52</v>
      </c>
      <c r="AE684" s="14" t="s">
        <v>4750</v>
      </c>
      <c r="AF684" s="14" t="s">
        <v>4748</v>
      </c>
      <c r="AG684" s="14" t="s">
        <v>3611</v>
      </c>
      <c r="AH684" s="14" t="s">
        <v>87</v>
      </c>
      <c r="AI684" s="2">
        <v>46160.877418981479</v>
      </c>
      <c r="AJ684" s="14" t="s">
        <v>47</v>
      </c>
      <c r="AK684" s="14" t="s">
        <v>47</v>
      </c>
      <c r="AL684" s="2">
        <v>46160.877418981479</v>
      </c>
      <c r="AM684" s="2">
        <v>46160.877418981479</v>
      </c>
    </row>
    <row r="685" spans="1:39" x14ac:dyDescent="0.3">
      <c r="A685" s="14" t="s">
        <v>4751</v>
      </c>
      <c r="B685" s="14" t="s">
        <v>4752</v>
      </c>
      <c r="C685" s="14" t="s">
        <v>41</v>
      </c>
      <c r="D685" s="14" t="s">
        <v>4753</v>
      </c>
      <c r="E685" s="14" t="s">
        <v>4754</v>
      </c>
      <c r="F685" s="14" t="s">
        <v>47</v>
      </c>
      <c r="G685" s="14" t="s">
        <v>47</v>
      </c>
      <c r="H685" s="14" t="s">
        <v>3101</v>
      </c>
      <c r="I685" s="14" t="s">
        <v>47</v>
      </c>
      <c r="J685" s="14" t="s">
        <v>47</v>
      </c>
      <c r="K685" s="14" t="s">
        <v>47</v>
      </c>
      <c r="L685" s="14" t="s">
        <v>47</v>
      </c>
      <c r="M685" s="1">
        <v>46140</v>
      </c>
      <c r="N685" s="1">
        <v>46140</v>
      </c>
      <c r="O685" s="1">
        <v>46140</v>
      </c>
      <c r="P685" s="14" t="s">
        <v>183</v>
      </c>
      <c r="Q685" s="14" t="s">
        <v>184</v>
      </c>
      <c r="R685">
        <v>2</v>
      </c>
      <c r="S685" t="b">
        <v>0</v>
      </c>
      <c r="T685" s="14" t="s">
        <v>47</v>
      </c>
      <c r="U685" s="14" t="s">
        <v>47</v>
      </c>
      <c r="V685" s="14" t="s">
        <v>47</v>
      </c>
      <c r="W685" s="14" t="s">
        <v>47</v>
      </c>
      <c r="X685" s="14" t="s">
        <v>51</v>
      </c>
      <c r="Y685" t="b">
        <v>0</v>
      </c>
      <c r="Z685" s="14" t="s">
        <v>47</v>
      </c>
      <c r="AA685" s="14" t="s">
        <v>47</v>
      </c>
      <c r="AB685" s="14" t="s">
        <v>47</v>
      </c>
      <c r="AC685" t="b">
        <v>1</v>
      </c>
      <c r="AD685" s="14" t="s">
        <v>52</v>
      </c>
      <c r="AE685" s="14" t="s">
        <v>4755</v>
      </c>
      <c r="AF685" s="14" t="s">
        <v>4753</v>
      </c>
      <c r="AG685" s="14" t="s">
        <v>3611</v>
      </c>
      <c r="AH685" s="14" t="s">
        <v>87</v>
      </c>
      <c r="AI685" s="2">
        <v>46160.877418981479</v>
      </c>
      <c r="AJ685" s="14" t="s">
        <v>47</v>
      </c>
      <c r="AK685" s="14" t="s">
        <v>47</v>
      </c>
      <c r="AL685" s="2">
        <v>46160.877418981479</v>
      </c>
      <c r="AM685" s="2">
        <v>46160.877418981479</v>
      </c>
    </row>
    <row r="686" spans="1:39" x14ac:dyDescent="0.3">
      <c r="A686" s="14" t="s">
        <v>4756</v>
      </c>
      <c r="B686" s="14" t="s">
        <v>4757</v>
      </c>
      <c r="C686" s="14" t="s">
        <v>41</v>
      </c>
      <c r="D686" s="14" t="s">
        <v>4758</v>
      </c>
      <c r="E686" s="14" t="s">
        <v>4759</v>
      </c>
      <c r="F686" s="14" t="s">
        <v>47</v>
      </c>
      <c r="G686" s="14" t="s">
        <v>47</v>
      </c>
      <c r="H686" s="14" t="s">
        <v>3007</v>
      </c>
      <c r="I686" s="14" t="s">
        <v>47</v>
      </c>
      <c r="J686" s="14" t="s">
        <v>47</v>
      </c>
      <c r="K686" s="14" t="s">
        <v>3008</v>
      </c>
      <c r="L686" s="14" t="s">
        <v>47</v>
      </c>
      <c r="M686" s="1">
        <v>46140</v>
      </c>
      <c r="N686" s="1">
        <v>46140</v>
      </c>
      <c r="O686" s="1">
        <v>46140</v>
      </c>
      <c r="P686" s="14" t="s">
        <v>315</v>
      </c>
      <c r="Q686" s="14" t="s">
        <v>76</v>
      </c>
      <c r="R686">
        <v>4</v>
      </c>
      <c r="S686" t="b">
        <v>1</v>
      </c>
      <c r="T686" s="14" t="s">
        <v>47</v>
      </c>
      <c r="U686" s="14" t="s">
        <v>47</v>
      </c>
      <c r="V686" s="14" t="s">
        <v>47</v>
      </c>
      <c r="W686" s="14" t="s">
        <v>47</v>
      </c>
      <c r="X686" s="14" t="s">
        <v>51</v>
      </c>
      <c r="Y686" t="b">
        <v>0</v>
      </c>
      <c r="Z686" s="14" t="s">
        <v>47</v>
      </c>
      <c r="AA686" s="14" t="s">
        <v>47</v>
      </c>
      <c r="AB686" s="14" t="s">
        <v>47</v>
      </c>
      <c r="AC686" t="b">
        <v>1</v>
      </c>
      <c r="AD686" s="14" t="s">
        <v>52</v>
      </c>
      <c r="AE686" s="14" t="s">
        <v>4760</v>
      </c>
      <c r="AF686" s="14" t="s">
        <v>4758</v>
      </c>
      <c r="AG686" s="14" t="s">
        <v>3611</v>
      </c>
      <c r="AH686" s="14" t="s">
        <v>87</v>
      </c>
      <c r="AI686" s="2">
        <v>46160.877418981479</v>
      </c>
      <c r="AJ686" s="14" t="s">
        <v>47</v>
      </c>
      <c r="AK686" s="14" t="s">
        <v>47</v>
      </c>
      <c r="AL686" s="2">
        <v>46160.877418981479</v>
      </c>
      <c r="AM686" s="2">
        <v>46160.877418981479</v>
      </c>
    </row>
    <row r="687" spans="1:39" x14ac:dyDescent="0.3">
      <c r="A687" s="14" t="s">
        <v>4761</v>
      </c>
      <c r="B687" s="14" t="s">
        <v>4762</v>
      </c>
      <c r="C687" s="14" t="s">
        <v>41</v>
      </c>
      <c r="D687" s="14" t="s">
        <v>4763</v>
      </c>
      <c r="E687" s="14" t="s">
        <v>4764</v>
      </c>
      <c r="F687" s="14" t="s">
        <v>47</v>
      </c>
      <c r="G687" s="14" t="s">
        <v>47</v>
      </c>
      <c r="H687" s="14" t="s">
        <v>3101</v>
      </c>
      <c r="I687" s="14" t="s">
        <v>47</v>
      </c>
      <c r="J687" s="14" t="s">
        <v>47</v>
      </c>
      <c r="K687" s="14" t="s">
        <v>47</v>
      </c>
      <c r="L687" s="14" t="s">
        <v>47</v>
      </c>
      <c r="M687" s="1">
        <v>46139</v>
      </c>
      <c r="N687" s="1">
        <v>46139</v>
      </c>
      <c r="O687" s="1">
        <v>46139</v>
      </c>
      <c r="P687" s="14" t="s">
        <v>183</v>
      </c>
      <c r="Q687" s="14" t="s">
        <v>184</v>
      </c>
      <c r="R687">
        <v>2</v>
      </c>
      <c r="S687" t="b">
        <v>0</v>
      </c>
      <c r="T687" s="14" t="s">
        <v>47</v>
      </c>
      <c r="U687" s="14" t="s">
        <v>47</v>
      </c>
      <c r="V687" s="14" t="s">
        <v>47</v>
      </c>
      <c r="W687" s="14" t="s">
        <v>47</v>
      </c>
      <c r="X687" s="14" t="s">
        <v>51</v>
      </c>
      <c r="Y687" t="b">
        <v>0</v>
      </c>
      <c r="Z687" s="14" t="s">
        <v>47</v>
      </c>
      <c r="AA687" s="14" t="s">
        <v>47</v>
      </c>
      <c r="AB687" s="14" t="s">
        <v>47</v>
      </c>
      <c r="AC687" t="b">
        <v>1</v>
      </c>
      <c r="AD687" s="14" t="s">
        <v>52</v>
      </c>
      <c r="AE687" s="14" t="s">
        <v>4765</v>
      </c>
      <c r="AF687" s="14" t="s">
        <v>4763</v>
      </c>
      <c r="AG687" s="14" t="s">
        <v>3611</v>
      </c>
      <c r="AH687" s="14" t="s">
        <v>87</v>
      </c>
      <c r="AI687" s="2">
        <v>46160.877418981479</v>
      </c>
      <c r="AJ687" s="14" t="s">
        <v>47</v>
      </c>
      <c r="AK687" s="14" t="s">
        <v>47</v>
      </c>
      <c r="AL687" s="2">
        <v>46160.877418981479</v>
      </c>
      <c r="AM687" s="2">
        <v>46160.877418981479</v>
      </c>
    </row>
    <row r="688" spans="1:39" x14ac:dyDescent="0.3">
      <c r="A688" s="14" t="s">
        <v>4766</v>
      </c>
      <c r="B688" s="14" t="s">
        <v>4767</v>
      </c>
      <c r="C688" s="14" t="s">
        <v>41</v>
      </c>
      <c r="D688" s="14" t="s">
        <v>4768</v>
      </c>
      <c r="E688" s="14" t="s">
        <v>4769</v>
      </c>
      <c r="F688" s="14" t="s">
        <v>47</v>
      </c>
      <c r="G688" s="14" t="s">
        <v>47</v>
      </c>
      <c r="H688" s="14" t="s">
        <v>3101</v>
      </c>
      <c r="I688" s="14" t="s">
        <v>47</v>
      </c>
      <c r="J688" s="14" t="s">
        <v>47</v>
      </c>
      <c r="K688" s="14" t="s">
        <v>47</v>
      </c>
      <c r="L688" s="14" t="s">
        <v>47</v>
      </c>
      <c r="M688" s="1">
        <v>46119</v>
      </c>
      <c r="N688" s="1">
        <v>46119</v>
      </c>
      <c r="O688" s="1">
        <v>46119</v>
      </c>
      <c r="P688" s="14" t="s">
        <v>183</v>
      </c>
      <c r="Q688" s="14" t="s">
        <v>184</v>
      </c>
      <c r="R688">
        <v>2</v>
      </c>
      <c r="S688" t="b">
        <v>0</v>
      </c>
      <c r="T688" s="14" t="s">
        <v>47</v>
      </c>
      <c r="U688" s="14" t="s">
        <v>47</v>
      </c>
      <c r="V688" s="14" t="s">
        <v>47</v>
      </c>
      <c r="W688" s="14" t="s">
        <v>47</v>
      </c>
      <c r="X688" s="14" t="s">
        <v>51</v>
      </c>
      <c r="Y688" t="b">
        <v>0</v>
      </c>
      <c r="Z688" s="14" t="s">
        <v>47</v>
      </c>
      <c r="AA688" s="14" t="s">
        <v>47</v>
      </c>
      <c r="AB688" s="14" t="s">
        <v>47</v>
      </c>
      <c r="AC688" t="b">
        <v>1</v>
      </c>
      <c r="AD688" s="14" t="s">
        <v>52</v>
      </c>
      <c r="AE688" s="14" t="s">
        <v>4770</v>
      </c>
      <c r="AF688" s="14" t="s">
        <v>4768</v>
      </c>
      <c r="AG688" s="14" t="s">
        <v>3611</v>
      </c>
      <c r="AH688" s="14" t="s">
        <v>87</v>
      </c>
      <c r="AI688" s="2">
        <v>46160.877418981479</v>
      </c>
      <c r="AJ688" s="14" t="s">
        <v>47</v>
      </c>
      <c r="AK688" s="14" t="s">
        <v>47</v>
      </c>
      <c r="AL688" s="2">
        <v>46160.877418981479</v>
      </c>
      <c r="AM688" s="2">
        <v>46160.877418981479</v>
      </c>
    </row>
    <row r="689" spans="1:39" x14ac:dyDescent="0.3">
      <c r="A689" s="14" t="s">
        <v>4771</v>
      </c>
      <c r="B689" s="14" t="s">
        <v>4772</v>
      </c>
      <c r="C689" s="14" t="s">
        <v>41</v>
      </c>
      <c r="D689" s="14" t="s">
        <v>4773</v>
      </c>
      <c r="E689" s="14" t="s">
        <v>4774</v>
      </c>
      <c r="F689" s="14" t="s">
        <v>47</v>
      </c>
      <c r="G689" s="14" t="s">
        <v>47</v>
      </c>
      <c r="H689" s="14" t="s">
        <v>3101</v>
      </c>
      <c r="I689" s="14" t="s">
        <v>47</v>
      </c>
      <c r="J689" s="14" t="s">
        <v>47</v>
      </c>
      <c r="K689" s="14" t="s">
        <v>47</v>
      </c>
      <c r="L689" s="14" t="s">
        <v>47</v>
      </c>
      <c r="M689" s="1">
        <v>46114</v>
      </c>
      <c r="N689" s="1">
        <v>46114</v>
      </c>
      <c r="O689" s="1">
        <v>46114</v>
      </c>
      <c r="P689" s="14" t="s">
        <v>183</v>
      </c>
      <c r="Q689" s="14" t="s">
        <v>184</v>
      </c>
      <c r="R689">
        <v>2</v>
      </c>
      <c r="S689" t="b">
        <v>0</v>
      </c>
      <c r="T689" s="14" t="s">
        <v>47</v>
      </c>
      <c r="U689" s="14" t="s">
        <v>47</v>
      </c>
      <c r="V689" s="14" t="s">
        <v>47</v>
      </c>
      <c r="W689" s="14" t="s">
        <v>47</v>
      </c>
      <c r="X689" s="14" t="s">
        <v>51</v>
      </c>
      <c r="Y689" t="b">
        <v>0</v>
      </c>
      <c r="Z689" s="14" t="s">
        <v>47</v>
      </c>
      <c r="AA689" s="14" t="s">
        <v>47</v>
      </c>
      <c r="AB689" s="14" t="s">
        <v>47</v>
      </c>
      <c r="AC689" t="b">
        <v>1</v>
      </c>
      <c r="AD689" s="14" t="s">
        <v>52</v>
      </c>
      <c r="AE689" s="14" t="s">
        <v>4775</v>
      </c>
      <c r="AF689" s="14" t="s">
        <v>4773</v>
      </c>
      <c r="AG689" s="14" t="s">
        <v>3611</v>
      </c>
      <c r="AH689" s="14" t="s">
        <v>87</v>
      </c>
      <c r="AI689" s="2">
        <v>46160.877418981479</v>
      </c>
      <c r="AJ689" s="14" t="s">
        <v>47</v>
      </c>
      <c r="AK689" s="14" t="s">
        <v>47</v>
      </c>
      <c r="AL689" s="2">
        <v>46160.877418981479</v>
      </c>
      <c r="AM689" s="2">
        <v>46160.877418981479</v>
      </c>
    </row>
    <row r="690" spans="1:39" x14ac:dyDescent="0.3">
      <c r="A690" s="14" t="s">
        <v>4776</v>
      </c>
      <c r="B690" s="14" t="s">
        <v>4777</v>
      </c>
      <c r="C690" s="14" t="s">
        <v>41</v>
      </c>
      <c r="D690" s="14" t="s">
        <v>4778</v>
      </c>
      <c r="E690" s="14" t="s">
        <v>4779</v>
      </c>
      <c r="F690" s="14" t="s">
        <v>47</v>
      </c>
      <c r="G690" s="14" t="s">
        <v>47</v>
      </c>
      <c r="H690" s="14" t="s">
        <v>3101</v>
      </c>
      <c r="I690" s="14" t="s">
        <v>47</v>
      </c>
      <c r="J690" s="14" t="s">
        <v>47</v>
      </c>
      <c r="K690" s="14" t="s">
        <v>47</v>
      </c>
      <c r="L690" s="14" t="s">
        <v>47</v>
      </c>
      <c r="M690" s="1">
        <v>46127</v>
      </c>
      <c r="N690" s="1">
        <v>46127</v>
      </c>
      <c r="O690" s="1">
        <v>46127</v>
      </c>
      <c r="P690" s="14" t="s">
        <v>183</v>
      </c>
      <c r="Q690" s="14" t="s">
        <v>184</v>
      </c>
      <c r="R690">
        <v>2</v>
      </c>
      <c r="S690" t="b">
        <v>0</v>
      </c>
      <c r="T690" s="14" t="s">
        <v>47</v>
      </c>
      <c r="U690" s="14" t="s">
        <v>47</v>
      </c>
      <c r="V690" s="14" t="s">
        <v>47</v>
      </c>
      <c r="W690" s="14" t="s">
        <v>47</v>
      </c>
      <c r="X690" s="14" t="s">
        <v>51</v>
      </c>
      <c r="Y690" t="b">
        <v>0</v>
      </c>
      <c r="Z690" s="14" t="s">
        <v>47</v>
      </c>
      <c r="AA690" s="14" t="s">
        <v>47</v>
      </c>
      <c r="AB690" s="14" t="s">
        <v>47</v>
      </c>
      <c r="AC690" t="b">
        <v>1</v>
      </c>
      <c r="AD690" s="14" t="s">
        <v>52</v>
      </c>
      <c r="AE690" s="14" t="s">
        <v>4780</v>
      </c>
      <c r="AF690" s="14" t="s">
        <v>4778</v>
      </c>
      <c r="AG690" s="14" t="s">
        <v>3611</v>
      </c>
      <c r="AH690" s="14" t="s">
        <v>87</v>
      </c>
      <c r="AI690" s="2">
        <v>46160.877418981479</v>
      </c>
      <c r="AJ690" s="14" t="s">
        <v>47</v>
      </c>
      <c r="AK690" s="14" t="s">
        <v>47</v>
      </c>
      <c r="AL690" s="2">
        <v>46160.877418981479</v>
      </c>
      <c r="AM690" s="2">
        <v>46160.877418981479</v>
      </c>
    </row>
    <row r="691" spans="1:39" x14ac:dyDescent="0.3">
      <c r="A691" s="14" t="s">
        <v>4781</v>
      </c>
      <c r="B691" s="14" t="s">
        <v>4782</v>
      </c>
      <c r="C691" s="14" t="s">
        <v>41</v>
      </c>
      <c r="D691" s="14" t="s">
        <v>4783</v>
      </c>
      <c r="E691" s="14" t="s">
        <v>4784</v>
      </c>
      <c r="F691" s="14" t="s">
        <v>47</v>
      </c>
      <c r="G691" s="14" t="s">
        <v>47</v>
      </c>
      <c r="H691" s="14" t="s">
        <v>3101</v>
      </c>
      <c r="I691" s="14" t="s">
        <v>47</v>
      </c>
      <c r="J691" s="14" t="s">
        <v>47</v>
      </c>
      <c r="K691" s="14" t="s">
        <v>47</v>
      </c>
      <c r="L691" s="14" t="s">
        <v>47</v>
      </c>
      <c r="M691" s="1">
        <v>46133</v>
      </c>
      <c r="N691" s="1">
        <v>46133</v>
      </c>
      <c r="O691" s="1">
        <v>46133</v>
      </c>
      <c r="P691" s="14" t="s">
        <v>183</v>
      </c>
      <c r="Q691" s="14" t="s">
        <v>184</v>
      </c>
      <c r="R691">
        <v>2</v>
      </c>
      <c r="S691" t="b">
        <v>0</v>
      </c>
      <c r="T691" s="14" t="s">
        <v>47</v>
      </c>
      <c r="U691" s="14" t="s">
        <v>47</v>
      </c>
      <c r="V691" s="14" t="s">
        <v>47</v>
      </c>
      <c r="W691" s="14" t="s">
        <v>47</v>
      </c>
      <c r="X691" s="14" t="s">
        <v>51</v>
      </c>
      <c r="Y691" t="b">
        <v>0</v>
      </c>
      <c r="Z691" s="14" t="s">
        <v>47</v>
      </c>
      <c r="AA691" s="14" t="s">
        <v>47</v>
      </c>
      <c r="AB691" s="14" t="s">
        <v>47</v>
      </c>
      <c r="AC691" t="b">
        <v>1</v>
      </c>
      <c r="AD691" s="14" t="s">
        <v>52</v>
      </c>
      <c r="AE691" s="14" t="s">
        <v>4785</v>
      </c>
      <c r="AF691" s="14" t="s">
        <v>4783</v>
      </c>
      <c r="AG691" s="14" t="s">
        <v>3611</v>
      </c>
      <c r="AH691" s="14" t="s">
        <v>87</v>
      </c>
      <c r="AI691" s="2">
        <v>46160.877418981479</v>
      </c>
      <c r="AJ691" s="14" t="s">
        <v>47</v>
      </c>
      <c r="AK691" s="14" t="s">
        <v>47</v>
      </c>
      <c r="AL691" s="2">
        <v>46160.877418981479</v>
      </c>
      <c r="AM691" s="2">
        <v>46160.877418981479</v>
      </c>
    </row>
    <row r="692" spans="1:39" x14ac:dyDescent="0.3">
      <c r="A692" s="14" t="s">
        <v>4786</v>
      </c>
      <c r="B692" s="14" t="s">
        <v>4787</v>
      </c>
      <c r="C692" s="14" t="s">
        <v>41</v>
      </c>
      <c r="D692" s="14" t="s">
        <v>4788</v>
      </c>
      <c r="E692" s="14" t="s">
        <v>4789</v>
      </c>
      <c r="F692" s="14" t="s">
        <v>47</v>
      </c>
      <c r="G692" s="14" t="s">
        <v>47</v>
      </c>
      <c r="H692" s="14" t="s">
        <v>3078</v>
      </c>
      <c r="I692" s="14" t="s">
        <v>47</v>
      </c>
      <c r="J692" s="14" t="s">
        <v>47</v>
      </c>
      <c r="K692" s="14" t="s">
        <v>3079</v>
      </c>
      <c r="L692" s="14" t="s">
        <v>47</v>
      </c>
      <c r="M692" s="1">
        <v>46135</v>
      </c>
      <c r="N692" s="1">
        <v>46135</v>
      </c>
      <c r="O692" s="1">
        <v>46135</v>
      </c>
      <c r="P692" s="14" t="s">
        <v>64</v>
      </c>
      <c r="Q692" s="14" t="s">
        <v>50</v>
      </c>
      <c r="R692">
        <v>2</v>
      </c>
      <c r="S692" t="b">
        <v>0</v>
      </c>
      <c r="T692" s="14" t="s">
        <v>47</v>
      </c>
      <c r="U692" s="14" t="s">
        <v>47</v>
      </c>
      <c r="V692" s="14" t="s">
        <v>47</v>
      </c>
      <c r="W692" s="14" t="s">
        <v>47</v>
      </c>
      <c r="X692" s="14" t="s">
        <v>51</v>
      </c>
      <c r="Y692" t="b">
        <v>0</v>
      </c>
      <c r="Z692" s="14" t="s">
        <v>47</v>
      </c>
      <c r="AA692" s="14" t="s">
        <v>47</v>
      </c>
      <c r="AB692" s="14" t="s">
        <v>47</v>
      </c>
      <c r="AC692" t="b">
        <v>1</v>
      </c>
      <c r="AD692" s="14" t="s">
        <v>52</v>
      </c>
      <c r="AE692" s="14" t="s">
        <v>4790</v>
      </c>
      <c r="AF692" s="14" t="s">
        <v>4788</v>
      </c>
      <c r="AG692" s="14" t="s">
        <v>3611</v>
      </c>
      <c r="AH692" s="14" t="s">
        <v>87</v>
      </c>
      <c r="AI692" s="2">
        <v>46160.877418981479</v>
      </c>
      <c r="AJ692" s="14" t="s">
        <v>47</v>
      </c>
      <c r="AK692" s="14" t="s">
        <v>47</v>
      </c>
      <c r="AL692" s="2">
        <v>46160.877418981479</v>
      </c>
      <c r="AM692" s="2">
        <v>46160.877418981479</v>
      </c>
    </row>
    <row r="693" spans="1:39" x14ac:dyDescent="0.3">
      <c r="A693" s="14" t="s">
        <v>4791</v>
      </c>
      <c r="B693" s="14" t="s">
        <v>4792</v>
      </c>
      <c r="C693" s="14" t="s">
        <v>41</v>
      </c>
      <c r="D693" s="14" t="s">
        <v>4793</v>
      </c>
      <c r="E693" s="14" t="s">
        <v>4794</v>
      </c>
      <c r="F693" s="14" t="s">
        <v>47</v>
      </c>
      <c r="G693" s="14" t="s">
        <v>47</v>
      </c>
      <c r="H693" s="14" t="s">
        <v>85</v>
      </c>
      <c r="I693" s="14" t="s">
        <v>47</v>
      </c>
      <c r="J693" s="14" t="s">
        <v>47</v>
      </c>
      <c r="K693" s="14" t="s">
        <v>48</v>
      </c>
      <c r="L693" s="14" t="s">
        <v>47</v>
      </c>
      <c r="M693" s="1">
        <v>46129</v>
      </c>
      <c r="N693" s="1">
        <v>46129</v>
      </c>
      <c r="O693" s="1">
        <v>46129</v>
      </c>
      <c r="P693" s="14" t="s">
        <v>49</v>
      </c>
      <c r="Q693" s="14" t="s">
        <v>50</v>
      </c>
      <c r="R693">
        <v>2</v>
      </c>
      <c r="S693" t="b">
        <v>0</v>
      </c>
      <c r="T693" s="14" t="s">
        <v>47</v>
      </c>
      <c r="U693" s="14" t="s">
        <v>47</v>
      </c>
      <c r="V693" s="14" t="s">
        <v>47</v>
      </c>
      <c r="W693" s="14" t="s">
        <v>47</v>
      </c>
      <c r="X693" s="14" t="s">
        <v>51</v>
      </c>
      <c r="Y693" t="b">
        <v>0</v>
      </c>
      <c r="Z693" s="14" t="s">
        <v>47</v>
      </c>
      <c r="AA693" s="14" t="s">
        <v>47</v>
      </c>
      <c r="AB693" s="14" t="s">
        <v>47</v>
      </c>
      <c r="AC693" t="b">
        <v>1</v>
      </c>
      <c r="AD693" s="14" t="s">
        <v>52</v>
      </c>
      <c r="AE693" s="14" t="s">
        <v>4795</v>
      </c>
      <c r="AF693" s="14" t="s">
        <v>4793</v>
      </c>
      <c r="AG693" s="14" t="s">
        <v>3611</v>
      </c>
      <c r="AH693" s="14" t="s">
        <v>87</v>
      </c>
      <c r="AI693" s="2">
        <v>46160.877418981479</v>
      </c>
      <c r="AJ693" s="14" t="s">
        <v>47</v>
      </c>
      <c r="AK693" s="14" t="s">
        <v>47</v>
      </c>
      <c r="AL693" s="2">
        <v>46160.877418981479</v>
      </c>
      <c r="AM693" s="2">
        <v>46160.877418981479</v>
      </c>
    </row>
    <row r="694" spans="1:39" x14ac:dyDescent="0.3">
      <c r="A694" s="14" t="s">
        <v>4796</v>
      </c>
      <c r="B694" s="14" t="s">
        <v>4797</v>
      </c>
      <c r="C694" s="14" t="s">
        <v>41</v>
      </c>
      <c r="D694" s="14" t="s">
        <v>4798</v>
      </c>
      <c r="E694" s="14" t="s">
        <v>4799</v>
      </c>
      <c r="F694" s="14" t="s">
        <v>47</v>
      </c>
      <c r="G694" s="14" t="s">
        <v>47</v>
      </c>
      <c r="H694" s="14" t="s">
        <v>85</v>
      </c>
      <c r="I694" s="14" t="s">
        <v>47</v>
      </c>
      <c r="J694" s="14" t="s">
        <v>47</v>
      </c>
      <c r="K694" s="14" t="s">
        <v>48</v>
      </c>
      <c r="L694" s="14" t="s">
        <v>47</v>
      </c>
      <c r="M694" s="1">
        <v>46130</v>
      </c>
      <c r="N694" s="1">
        <v>46130</v>
      </c>
      <c r="O694" s="1">
        <v>46130</v>
      </c>
      <c r="P694" s="14" t="s">
        <v>49</v>
      </c>
      <c r="Q694" s="14" t="s">
        <v>50</v>
      </c>
      <c r="R694">
        <v>2</v>
      </c>
      <c r="S694" t="b">
        <v>0</v>
      </c>
      <c r="T694" s="14" t="s">
        <v>47</v>
      </c>
      <c r="U694" s="14" t="s">
        <v>47</v>
      </c>
      <c r="V694" s="14" t="s">
        <v>47</v>
      </c>
      <c r="W694" s="14" t="s">
        <v>47</v>
      </c>
      <c r="X694" s="14" t="s">
        <v>51</v>
      </c>
      <c r="Y694" t="b">
        <v>0</v>
      </c>
      <c r="Z694" s="14" t="s">
        <v>47</v>
      </c>
      <c r="AA694" s="14" t="s">
        <v>47</v>
      </c>
      <c r="AB694" s="14" t="s">
        <v>47</v>
      </c>
      <c r="AC694" t="b">
        <v>1</v>
      </c>
      <c r="AD694" s="14" t="s">
        <v>52</v>
      </c>
      <c r="AE694" s="14" t="s">
        <v>4800</v>
      </c>
      <c r="AF694" s="14" t="s">
        <v>4798</v>
      </c>
      <c r="AG694" s="14" t="s">
        <v>3611</v>
      </c>
      <c r="AH694" s="14" t="s">
        <v>87</v>
      </c>
      <c r="AI694" s="2">
        <v>46160.877418981479</v>
      </c>
      <c r="AJ694" s="14" t="s">
        <v>47</v>
      </c>
      <c r="AK694" s="14" t="s">
        <v>47</v>
      </c>
      <c r="AL694" s="2">
        <v>46160.877418981479</v>
      </c>
      <c r="AM694" s="2">
        <v>46160.877418981479</v>
      </c>
    </row>
    <row r="695" spans="1:39" x14ac:dyDescent="0.3">
      <c r="A695" s="14" t="s">
        <v>4801</v>
      </c>
      <c r="B695" s="14" t="s">
        <v>4802</v>
      </c>
      <c r="C695" s="14" t="s">
        <v>41</v>
      </c>
      <c r="D695" s="14" t="s">
        <v>4803</v>
      </c>
      <c r="E695" s="14" t="s">
        <v>4804</v>
      </c>
      <c r="F695" s="14" t="s">
        <v>47</v>
      </c>
      <c r="G695" s="14" t="s">
        <v>47</v>
      </c>
      <c r="H695" s="14" t="s">
        <v>85</v>
      </c>
      <c r="I695" s="14" t="s">
        <v>47</v>
      </c>
      <c r="J695" s="14" t="s">
        <v>47</v>
      </c>
      <c r="K695" s="14" t="s">
        <v>48</v>
      </c>
      <c r="L695" s="14" t="s">
        <v>47</v>
      </c>
      <c r="M695" s="1">
        <v>46114</v>
      </c>
      <c r="N695" s="1">
        <v>46114</v>
      </c>
      <c r="O695" s="1">
        <v>46114</v>
      </c>
      <c r="P695" s="14" t="s">
        <v>49</v>
      </c>
      <c r="Q695" s="14" t="s">
        <v>50</v>
      </c>
      <c r="R695">
        <v>2</v>
      </c>
      <c r="S695" t="b">
        <v>0</v>
      </c>
      <c r="T695" s="14" t="s">
        <v>47</v>
      </c>
      <c r="U695" s="14" t="s">
        <v>47</v>
      </c>
      <c r="V695" s="14" t="s">
        <v>47</v>
      </c>
      <c r="W695" s="14" t="s">
        <v>47</v>
      </c>
      <c r="X695" s="14" t="s">
        <v>51</v>
      </c>
      <c r="Y695" t="b">
        <v>0</v>
      </c>
      <c r="Z695" s="14" t="s">
        <v>47</v>
      </c>
      <c r="AA695" s="14" t="s">
        <v>47</v>
      </c>
      <c r="AB695" s="14" t="s">
        <v>47</v>
      </c>
      <c r="AC695" t="b">
        <v>1</v>
      </c>
      <c r="AD695" s="14" t="s">
        <v>52</v>
      </c>
      <c r="AE695" s="14" t="s">
        <v>4805</v>
      </c>
      <c r="AF695" s="14" t="s">
        <v>4803</v>
      </c>
      <c r="AG695" s="14" t="s">
        <v>3611</v>
      </c>
      <c r="AH695" s="14" t="s">
        <v>87</v>
      </c>
      <c r="AI695" s="2">
        <v>46160.877418981479</v>
      </c>
      <c r="AJ695" s="14" t="s">
        <v>47</v>
      </c>
      <c r="AK695" s="14" t="s">
        <v>47</v>
      </c>
      <c r="AL695" s="2">
        <v>46160.877418981479</v>
      </c>
      <c r="AM695" s="2">
        <v>46160.877418981479</v>
      </c>
    </row>
    <row r="696" spans="1:39" x14ac:dyDescent="0.3">
      <c r="A696" s="14" t="s">
        <v>4806</v>
      </c>
      <c r="B696" s="14" t="s">
        <v>4807</v>
      </c>
      <c r="C696" s="14" t="s">
        <v>41</v>
      </c>
      <c r="D696" s="14" t="s">
        <v>4808</v>
      </c>
      <c r="E696" s="14" t="s">
        <v>4809</v>
      </c>
      <c r="F696" s="14" t="s">
        <v>47</v>
      </c>
      <c r="G696" s="14" t="s">
        <v>47</v>
      </c>
      <c r="H696" s="14" t="s">
        <v>3101</v>
      </c>
      <c r="I696" s="14" t="s">
        <v>47</v>
      </c>
      <c r="J696" s="14" t="s">
        <v>47</v>
      </c>
      <c r="K696" s="14" t="s">
        <v>47</v>
      </c>
      <c r="L696" s="14" t="s">
        <v>47</v>
      </c>
      <c r="M696" s="1">
        <v>46134</v>
      </c>
      <c r="N696" s="1">
        <v>46134</v>
      </c>
      <c r="O696" s="1">
        <v>46134</v>
      </c>
      <c r="P696" s="14" t="s">
        <v>183</v>
      </c>
      <c r="Q696" s="14" t="s">
        <v>184</v>
      </c>
      <c r="R696">
        <v>2</v>
      </c>
      <c r="S696" t="b">
        <v>0</v>
      </c>
      <c r="T696" s="14" t="s">
        <v>47</v>
      </c>
      <c r="U696" s="14" t="s">
        <v>47</v>
      </c>
      <c r="V696" s="14" t="s">
        <v>47</v>
      </c>
      <c r="W696" s="14" t="s">
        <v>47</v>
      </c>
      <c r="X696" s="14" t="s">
        <v>51</v>
      </c>
      <c r="Y696" t="b">
        <v>0</v>
      </c>
      <c r="Z696" s="14" t="s">
        <v>47</v>
      </c>
      <c r="AA696" s="14" t="s">
        <v>47</v>
      </c>
      <c r="AB696" s="14" t="s">
        <v>47</v>
      </c>
      <c r="AC696" t="b">
        <v>1</v>
      </c>
      <c r="AD696" s="14" t="s">
        <v>52</v>
      </c>
      <c r="AE696" s="14" t="s">
        <v>4810</v>
      </c>
      <c r="AF696" s="14" t="s">
        <v>4808</v>
      </c>
      <c r="AG696" s="14" t="s">
        <v>3611</v>
      </c>
      <c r="AH696" s="14" t="s">
        <v>87</v>
      </c>
      <c r="AI696" s="2">
        <v>46160.877418981479</v>
      </c>
      <c r="AJ696" s="14" t="s">
        <v>47</v>
      </c>
      <c r="AK696" s="14" t="s">
        <v>47</v>
      </c>
      <c r="AL696" s="2">
        <v>46160.877418981479</v>
      </c>
      <c r="AM696" s="2">
        <v>46160.877418981479</v>
      </c>
    </row>
    <row r="697" spans="1:39" x14ac:dyDescent="0.3">
      <c r="A697" s="14" t="s">
        <v>4811</v>
      </c>
      <c r="B697" s="14" t="s">
        <v>4812</v>
      </c>
      <c r="C697" s="14" t="s">
        <v>41</v>
      </c>
      <c r="D697" s="14" t="s">
        <v>4813</v>
      </c>
      <c r="E697" s="14" t="s">
        <v>4814</v>
      </c>
      <c r="F697" s="14" t="s">
        <v>47</v>
      </c>
      <c r="G697" s="14" t="s">
        <v>47</v>
      </c>
      <c r="H697" s="14" t="s">
        <v>1761</v>
      </c>
      <c r="I697" s="14" t="s">
        <v>47</v>
      </c>
      <c r="J697" s="14" t="s">
        <v>47</v>
      </c>
      <c r="K697" s="14" t="s">
        <v>1128</v>
      </c>
      <c r="L697" s="14" t="s">
        <v>47</v>
      </c>
      <c r="M697" s="1">
        <v>46132</v>
      </c>
      <c r="N697" s="1">
        <v>46132</v>
      </c>
      <c r="O697" s="1">
        <v>46132</v>
      </c>
      <c r="P697" s="14" t="s">
        <v>465</v>
      </c>
      <c r="Q697" s="14" t="s">
        <v>371</v>
      </c>
      <c r="R697">
        <v>4</v>
      </c>
      <c r="S697" t="b">
        <v>1</v>
      </c>
      <c r="T697" s="14" t="s">
        <v>47</v>
      </c>
      <c r="U697" s="14" t="s">
        <v>47</v>
      </c>
      <c r="V697" s="14" t="s">
        <v>47</v>
      </c>
      <c r="W697" s="14" t="s">
        <v>47</v>
      </c>
      <c r="X697" s="14" t="s">
        <v>51</v>
      </c>
      <c r="Y697" t="b">
        <v>0</v>
      </c>
      <c r="Z697" s="14" t="s">
        <v>47</v>
      </c>
      <c r="AA697" s="14" t="s">
        <v>47</v>
      </c>
      <c r="AB697" s="14" t="s">
        <v>47</v>
      </c>
      <c r="AC697" t="b">
        <v>1</v>
      </c>
      <c r="AD697" s="14" t="s">
        <v>52</v>
      </c>
      <c r="AE697" s="14" t="s">
        <v>4815</v>
      </c>
      <c r="AF697" s="14" t="s">
        <v>4813</v>
      </c>
      <c r="AG697" s="14" t="s">
        <v>3611</v>
      </c>
      <c r="AH697" s="14" t="s">
        <v>87</v>
      </c>
      <c r="AI697" s="2">
        <v>46160.877418981479</v>
      </c>
      <c r="AJ697" s="14" t="s">
        <v>47</v>
      </c>
      <c r="AK697" s="14" t="s">
        <v>47</v>
      </c>
      <c r="AL697" s="2">
        <v>46160.877418981479</v>
      </c>
      <c r="AM697" s="2">
        <v>46160.877418981479</v>
      </c>
    </row>
    <row r="698" spans="1:39" x14ac:dyDescent="0.3">
      <c r="A698" s="14" t="s">
        <v>4816</v>
      </c>
      <c r="B698" s="14" t="s">
        <v>4817</v>
      </c>
      <c r="C698" s="14" t="s">
        <v>41</v>
      </c>
      <c r="D698" s="14" t="s">
        <v>4818</v>
      </c>
      <c r="E698" s="14" t="s">
        <v>4819</v>
      </c>
      <c r="F698" s="14" t="s">
        <v>47</v>
      </c>
      <c r="G698" s="14" t="s">
        <v>47</v>
      </c>
      <c r="H698" s="14" t="s">
        <v>3101</v>
      </c>
      <c r="I698" s="14" t="s">
        <v>47</v>
      </c>
      <c r="J698" s="14" t="s">
        <v>47</v>
      </c>
      <c r="K698" s="14" t="s">
        <v>47</v>
      </c>
      <c r="L698" s="14" t="s">
        <v>47</v>
      </c>
      <c r="M698" s="1">
        <v>46139</v>
      </c>
      <c r="N698" s="1">
        <v>46139</v>
      </c>
      <c r="O698" s="1">
        <v>46139</v>
      </c>
      <c r="P698" s="14" t="s">
        <v>183</v>
      </c>
      <c r="Q698" s="14" t="s">
        <v>184</v>
      </c>
      <c r="R698">
        <v>2</v>
      </c>
      <c r="S698" t="b">
        <v>0</v>
      </c>
      <c r="T698" s="14" t="s">
        <v>47</v>
      </c>
      <c r="U698" s="14" t="s">
        <v>47</v>
      </c>
      <c r="V698" s="14" t="s">
        <v>47</v>
      </c>
      <c r="W698" s="14" t="s">
        <v>47</v>
      </c>
      <c r="X698" s="14" t="s">
        <v>51</v>
      </c>
      <c r="Y698" t="b">
        <v>0</v>
      </c>
      <c r="Z698" s="14" t="s">
        <v>47</v>
      </c>
      <c r="AA698" s="14" t="s">
        <v>47</v>
      </c>
      <c r="AB698" s="14" t="s">
        <v>47</v>
      </c>
      <c r="AC698" t="b">
        <v>1</v>
      </c>
      <c r="AD698" s="14" t="s">
        <v>52</v>
      </c>
      <c r="AE698" s="14" t="s">
        <v>4820</v>
      </c>
      <c r="AF698" s="14" t="s">
        <v>4818</v>
      </c>
      <c r="AG698" s="14" t="s">
        <v>3611</v>
      </c>
      <c r="AH698" s="14" t="s">
        <v>87</v>
      </c>
      <c r="AI698" s="2">
        <v>46160.877418981479</v>
      </c>
      <c r="AJ698" s="14" t="s">
        <v>47</v>
      </c>
      <c r="AK698" s="14" t="s">
        <v>47</v>
      </c>
      <c r="AL698" s="2">
        <v>46160.877418981479</v>
      </c>
      <c r="AM698" s="2">
        <v>46160.877418981479</v>
      </c>
    </row>
    <row r="699" spans="1:39" x14ac:dyDescent="0.3">
      <c r="A699" s="14" t="s">
        <v>4821</v>
      </c>
      <c r="B699" s="14" t="s">
        <v>4822</v>
      </c>
      <c r="C699" s="14" t="s">
        <v>41</v>
      </c>
      <c r="D699" s="14" t="s">
        <v>4823</v>
      </c>
      <c r="E699" s="14" t="s">
        <v>4824</v>
      </c>
      <c r="F699" s="14" t="s">
        <v>47</v>
      </c>
      <c r="G699" s="14" t="s">
        <v>47</v>
      </c>
      <c r="H699" s="14" t="s">
        <v>3101</v>
      </c>
      <c r="I699" s="14" t="s">
        <v>47</v>
      </c>
      <c r="J699" s="14" t="s">
        <v>47</v>
      </c>
      <c r="K699" s="14" t="s">
        <v>47</v>
      </c>
      <c r="L699" s="14" t="s">
        <v>47</v>
      </c>
      <c r="M699" s="1">
        <v>46129</v>
      </c>
      <c r="N699" s="1">
        <v>46129</v>
      </c>
      <c r="O699" s="1">
        <v>46129</v>
      </c>
      <c r="P699" s="14" t="s">
        <v>183</v>
      </c>
      <c r="Q699" s="14" t="s">
        <v>184</v>
      </c>
      <c r="R699">
        <v>2</v>
      </c>
      <c r="S699" t="b">
        <v>0</v>
      </c>
      <c r="T699" s="14" t="s">
        <v>47</v>
      </c>
      <c r="U699" s="14" t="s">
        <v>47</v>
      </c>
      <c r="V699" s="14" t="s">
        <v>47</v>
      </c>
      <c r="W699" s="14" t="s">
        <v>47</v>
      </c>
      <c r="X699" s="14" t="s">
        <v>51</v>
      </c>
      <c r="Y699" t="b">
        <v>0</v>
      </c>
      <c r="Z699" s="14" t="s">
        <v>47</v>
      </c>
      <c r="AA699" s="14" t="s">
        <v>47</v>
      </c>
      <c r="AB699" s="14" t="s">
        <v>47</v>
      </c>
      <c r="AC699" t="b">
        <v>1</v>
      </c>
      <c r="AD699" s="14" t="s">
        <v>52</v>
      </c>
      <c r="AE699" s="14" t="s">
        <v>4825</v>
      </c>
      <c r="AF699" s="14" t="s">
        <v>4823</v>
      </c>
      <c r="AG699" s="14" t="s">
        <v>3611</v>
      </c>
      <c r="AH699" s="14" t="s">
        <v>87</v>
      </c>
      <c r="AI699" s="2">
        <v>46160.877418981479</v>
      </c>
      <c r="AJ699" s="14" t="s">
        <v>47</v>
      </c>
      <c r="AK699" s="14" t="s">
        <v>47</v>
      </c>
      <c r="AL699" s="2">
        <v>46160.877418981479</v>
      </c>
      <c r="AM699" s="2">
        <v>46160.877418981479</v>
      </c>
    </row>
    <row r="700" spans="1:39" x14ac:dyDescent="0.3">
      <c r="A700" s="14" t="s">
        <v>4826</v>
      </c>
      <c r="B700" s="14" t="s">
        <v>4827</v>
      </c>
      <c r="C700" s="14" t="s">
        <v>41</v>
      </c>
      <c r="D700" s="14" t="s">
        <v>4828</v>
      </c>
      <c r="E700" s="14" t="s">
        <v>4829</v>
      </c>
      <c r="F700" s="14" t="s">
        <v>47</v>
      </c>
      <c r="G700" s="14" t="s">
        <v>47</v>
      </c>
      <c r="H700" s="14" t="s">
        <v>174</v>
      </c>
      <c r="I700" s="14" t="s">
        <v>47</v>
      </c>
      <c r="J700" s="14" t="s">
        <v>47</v>
      </c>
      <c r="K700" s="14" t="s">
        <v>130</v>
      </c>
      <c r="L700" s="14" t="s">
        <v>47</v>
      </c>
      <c r="M700" s="1">
        <v>46136</v>
      </c>
      <c r="N700" s="1">
        <v>46136</v>
      </c>
      <c r="O700" s="1">
        <v>46136</v>
      </c>
      <c r="P700" s="14" t="s">
        <v>49</v>
      </c>
      <c r="Q700" s="14" t="s">
        <v>50</v>
      </c>
      <c r="R700">
        <v>3</v>
      </c>
      <c r="S700" t="b">
        <v>1</v>
      </c>
      <c r="T700" s="14" t="s">
        <v>47</v>
      </c>
      <c r="U700" s="14" t="s">
        <v>47</v>
      </c>
      <c r="V700" s="14" t="s">
        <v>47</v>
      </c>
      <c r="W700" s="14" t="s">
        <v>47</v>
      </c>
      <c r="X700" s="14" t="s">
        <v>51</v>
      </c>
      <c r="Y700" t="b">
        <v>0</v>
      </c>
      <c r="Z700" s="14" t="s">
        <v>47</v>
      </c>
      <c r="AA700" s="14" t="s">
        <v>47</v>
      </c>
      <c r="AB700" s="14" t="s">
        <v>47</v>
      </c>
      <c r="AC700" t="b">
        <v>1</v>
      </c>
      <c r="AD700" s="14" t="s">
        <v>52</v>
      </c>
      <c r="AE700" s="14" t="s">
        <v>4830</v>
      </c>
      <c r="AF700" s="14" t="s">
        <v>4828</v>
      </c>
      <c r="AG700" s="14" t="s">
        <v>3611</v>
      </c>
      <c r="AH700" s="14" t="s">
        <v>87</v>
      </c>
      <c r="AI700" s="2">
        <v>46160.877418981479</v>
      </c>
      <c r="AJ700" s="14" t="s">
        <v>47</v>
      </c>
      <c r="AK700" s="14" t="s">
        <v>47</v>
      </c>
      <c r="AL700" s="2">
        <v>46160.877418981479</v>
      </c>
      <c r="AM700" s="2">
        <v>46160.877418981479</v>
      </c>
    </row>
    <row r="701" spans="1:39" x14ac:dyDescent="0.3">
      <c r="A701" s="14" t="s">
        <v>4831</v>
      </c>
      <c r="B701" s="14" t="s">
        <v>4832</v>
      </c>
      <c r="C701" s="14" t="s">
        <v>41</v>
      </c>
      <c r="D701" s="14" t="s">
        <v>4833</v>
      </c>
      <c r="E701" s="14" t="s">
        <v>4834</v>
      </c>
      <c r="F701" s="14" t="s">
        <v>47</v>
      </c>
      <c r="G701" s="14" t="s">
        <v>47</v>
      </c>
      <c r="H701" s="14" t="s">
        <v>3507</v>
      </c>
      <c r="I701" s="14" t="s">
        <v>47</v>
      </c>
      <c r="J701" s="14" t="s">
        <v>47</v>
      </c>
      <c r="K701" s="14" t="s">
        <v>3508</v>
      </c>
      <c r="L701" s="14" t="s">
        <v>47</v>
      </c>
      <c r="M701" s="1">
        <v>46118</v>
      </c>
      <c r="N701" s="1">
        <v>46118</v>
      </c>
      <c r="O701" s="1">
        <v>46118</v>
      </c>
      <c r="P701" s="14" t="s">
        <v>465</v>
      </c>
      <c r="Q701" s="14" t="s">
        <v>371</v>
      </c>
      <c r="R701">
        <v>4</v>
      </c>
      <c r="S701" t="b">
        <v>1</v>
      </c>
      <c r="T701" s="14" t="s">
        <v>47</v>
      </c>
      <c r="U701" s="14" t="s">
        <v>47</v>
      </c>
      <c r="V701" s="14" t="s">
        <v>47</v>
      </c>
      <c r="W701" s="14" t="s">
        <v>47</v>
      </c>
      <c r="X701" s="14" t="s">
        <v>51</v>
      </c>
      <c r="Y701" t="b">
        <v>0</v>
      </c>
      <c r="Z701" s="14" t="s">
        <v>47</v>
      </c>
      <c r="AA701" s="14" t="s">
        <v>47</v>
      </c>
      <c r="AB701" s="14" t="s">
        <v>47</v>
      </c>
      <c r="AC701" t="b">
        <v>1</v>
      </c>
      <c r="AD701" s="14" t="s">
        <v>52</v>
      </c>
      <c r="AE701" s="14" t="s">
        <v>4835</v>
      </c>
      <c r="AF701" s="14" t="s">
        <v>4833</v>
      </c>
      <c r="AG701" s="14" t="s">
        <v>3611</v>
      </c>
      <c r="AH701" s="14" t="s">
        <v>87</v>
      </c>
      <c r="AI701" s="2">
        <v>46160.877418981479</v>
      </c>
      <c r="AJ701" s="14" t="s">
        <v>47</v>
      </c>
      <c r="AK701" s="14" t="s">
        <v>47</v>
      </c>
      <c r="AL701" s="2">
        <v>46160.877418981479</v>
      </c>
      <c r="AM701" s="2">
        <v>46160.877418981479</v>
      </c>
    </row>
    <row r="702" spans="1:39" x14ac:dyDescent="0.3">
      <c r="A702" s="14" t="s">
        <v>4836</v>
      </c>
      <c r="B702" s="14" t="s">
        <v>4837</v>
      </c>
      <c r="C702" s="14" t="s">
        <v>41</v>
      </c>
      <c r="D702" s="14" t="s">
        <v>4838</v>
      </c>
      <c r="E702" s="14" t="s">
        <v>4839</v>
      </c>
      <c r="F702" s="14" t="s">
        <v>47</v>
      </c>
      <c r="G702" s="14" t="s">
        <v>47</v>
      </c>
      <c r="H702" s="14" t="s">
        <v>3507</v>
      </c>
      <c r="I702" s="14" t="s">
        <v>47</v>
      </c>
      <c r="J702" s="14" t="s">
        <v>47</v>
      </c>
      <c r="K702" s="14" t="s">
        <v>3508</v>
      </c>
      <c r="L702" s="14" t="s">
        <v>47</v>
      </c>
      <c r="M702" s="1">
        <v>46125</v>
      </c>
      <c r="N702" s="1">
        <v>46125</v>
      </c>
      <c r="O702" s="1">
        <v>46125</v>
      </c>
      <c r="P702" s="14" t="s">
        <v>465</v>
      </c>
      <c r="Q702" s="14" t="s">
        <v>371</v>
      </c>
      <c r="R702">
        <v>4</v>
      </c>
      <c r="S702" t="b">
        <v>1</v>
      </c>
      <c r="T702" s="14" t="s">
        <v>47</v>
      </c>
      <c r="U702" s="14" t="s">
        <v>47</v>
      </c>
      <c r="V702" s="14" t="s">
        <v>47</v>
      </c>
      <c r="W702" s="14" t="s">
        <v>47</v>
      </c>
      <c r="X702" s="14" t="s">
        <v>51</v>
      </c>
      <c r="Y702" t="b">
        <v>0</v>
      </c>
      <c r="Z702" s="14" t="s">
        <v>47</v>
      </c>
      <c r="AA702" s="14" t="s">
        <v>47</v>
      </c>
      <c r="AB702" s="14" t="s">
        <v>47</v>
      </c>
      <c r="AC702" t="b">
        <v>1</v>
      </c>
      <c r="AD702" s="14" t="s">
        <v>52</v>
      </c>
      <c r="AE702" s="14" t="s">
        <v>4840</v>
      </c>
      <c r="AF702" s="14" t="s">
        <v>4838</v>
      </c>
      <c r="AG702" s="14" t="s">
        <v>3611</v>
      </c>
      <c r="AH702" s="14" t="s">
        <v>87</v>
      </c>
      <c r="AI702" s="2">
        <v>46160.877418981479</v>
      </c>
      <c r="AJ702" s="14" t="s">
        <v>47</v>
      </c>
      <c r="AK702" s="14" t="s">
        <v>47</v>
      </c>
      <c r="AL702" s="2">
        <v>46160.877418981479</v>
      </c>
      <c r="AM702" s="2">
        <v>46160.877418981479</v>
      </c>
    </row>
    <row r="703" spans="1:39" x14ac:dyDescent="0.3">
      <c r="A703" s="14" t="s">
        <v>4841</v>
      </c>
      <c r="B703" s="14" t="s">
        <v>4842</v>
      </c>
      <c r="C703" s="14" t="s">
        <v>41</v>
      </c>
      <c r="D703" s="14" t="s">
        <v>4843</v>
      </c>
      <c r="E703" s="14" t="s">
        <v>4844</v>
      </c>
      <c r="F703" s="14" t="s">
        <v>47</v>
      </c>
      <c r="G703" s="14" t="s">
        <v>47</v>
      </c>
      <c r="H703" s="14" t="s">
        <v>3101</v>
      </c>
      <c r="I703" s="14" t="s">
        <v>47</v>
      </c>
      <c r="J703" s="14" t="s">
        <v>47</v>
      </c>
      <c r="K703" s="14" t="s">
        <v>47</v>
      </c>
      <c r="L703" s="14" t="s">
        <v>47</v>
      </c>
      <c r="M703" s="1">
        <v>46134</v>
      </c>
      <c r="N703" s="1">
        <v>46134</v>
      </c>
      <c r="O703" s="1">
        <v>46134</v>
      </c>
      <c r="P703" s="14" t="s">
        <v>183</v>
      </c>
      <c r="Q703" s="14" t="s">
        <v>184</v>
      </c>
      <c r="R703">
        <v>2</v>
      </c>
      <c r="S703" t="b">
        <v>0</v>
      </c>
      <c r="T703" s="14" t="s">
        <v>47</v>
      </c>
      <c r="U703" s="14" t="s">
        <v>47</v>
      </c>
      <c r="V703" s="14" t="s">
        <v>47</v>
      </c>
      <c r="W703" s="14" t="s">
        <v>47</v>
      </c>
      <c r="X703" s="14" t="s">
        <v>51</v>
      </c>
      <c r="Y703" t="b">
        <v>0</v>
      </c>
      <c r="Z703" s="14" t="s">
        <v>47</v>
      </c>
      <c r="AA703" s="14" t="s">
        <v>47</v>
      </c>
      <c r="AB703" s="14" t="s">
        <v>47</v>
      </c>
      <c r="AC703" t="b">
        <v>1</v>
      </c>
      <c r="AD703" s="14" t="s">
        <v>52</v>
      </c>
      <c r="AE703" s="14" t="s">
        <v>4845</v>
      </c>
      <c r="AF703" s="14" t="s">
        <v>4843</v>
      </c>
      <c r="AG703" s="14" t="s">
        <v>3611</v>
      </c>
      <c r="AH703" s="14" t="s">
        <v>87</v>
      </c>
      <c r="AI703" s="2">
        <v>46160.877418981479</v>
      </c>
      <c r="AJ703" s="14" t="s">
        <v>47</v>
      </c>
      <c r="AK703" s="14" t="s">
        <v>47</v>
      </c>
      <c r="AL703" s="2">
        <v>46160.877418981479</v>
      </c>
      <c r="AM703" s="2">
        <v>46160.877418981479</v>
      </c>
    </row>
    <row r="704" spans="1:39" x14ac:dyDescent="0.3">
      <c r="A704" s="14" t="s">
        <v>4846</v>
      </c>
      <c r="B704" s="14" t="s">
        <v>4847</v>
      </c>
      <c r="C704" s="14" t="s">
        <v>41</v>
      </c>
      <c r="D704" s="14" t="s">
        <v>4848</v>
      </c>
      <c r="E704" s="14" t="s">
        <v>4849</v>
      </c>
      <c r="F704" s="14" t="s">
        <v>47</v>
      </c>
      <c r="G704" s="14" t="s">
        <v>47</v>
      </c>
      <c r="H704" s="14" t="s">
        <v>3507</v>
      </c>
      <c r="I704" s="14" t="s">
        <v>47</v>
      </c>
      <c r="J704" s="14" t="s">
        <v>47</v>
      </c>
      <c r="K704" s="14" t="s">
        <v>3508</v>
      </c>
      <c r="L704" s="14" t="s">
        <v>47</v>
      </c>
      <c r="M704" s="1">
        <v>46122</v>
      </c>
      <c r="N704" s="1">
        <v>46122</v>
      </c>
      <c r="O704" s="1">
        <v>46122</v>
      </c>
      <c r="P704" s="14" t="s">
        <v>465</v>
      </c>
      <c r="Q704" s="14" t="s">
        <v>371</v>
      </c>
      <c r="R704">
        <v>4</v>
      </c>
      <c r="S704" t="b">
        <v>1</v>
      </c>
      <c r="T704" s="14" t="s">
        <v>47</v>
      </c>
      <c r="U704" s="14" t="s">
        <v>47</v>
      </c>
      <c r="V704" s="14" t="s">
        <v>47</v>
      </c>
      <c r="W704" s="14" t="s">
        <v>47</v>
      </c>
      <c r="X704" s="14" t="s">
        <v>51</v>
      </c>
      <c r="Y704" t="b">
        <v>0</v>
      </c>
      <c r="Z704" s="14" t="s">
        <v>47</v>
      </c>
      <c r="AA704" s="14" t="s">
        <v>47</v>
      </c>
      <c r="AB704" s="14" t="s">
        <v>47</v>
      </c>
      <c r="AC704" t="b">
        <v>1</v>
      </c>
      <c r="AD704" s="14" t="s">
        <v>52</v>
      </c>
      <c r="AE704" s="14" t="s">
        <v>4850</v>
      </c>
      <c r="AF704" s="14" t="s">
        <v>4848</v>
      </c>
      <c r="AG704" s="14" t="s">
        <v>3611</v>
      </c>
      <c r="AH704" s="14" t="s">
        <v>87</v>
      </c>
      <c r="AI704" s="2">
        <v>46160.877418981479</v>
      </c>
      <c r="AJ704" s="14" t="s">
        <v>47</v>
      </c>
      <c r="AK704" s="14" t="s">
        <v>47</v>
      </c>
      <c r="AL704" s="2">
        <v>46160.877418981479</v>
      </c>
      <c r="AM704" s="2">
        <v>46160.877418981479</v>
      </c>
    </row>
    <row r="705" spans="1:39" x14ac:dyDescent="0.3">
      <c r="A705" s="14" t="s">
        <v>4851</v>
      </c>
      <c r="B705" s="14" t="s">
        <v>4852</v>
      </c>
      <c r="C705" s="14" t="s">
        <v>41</v>
      </c>
      <c r="D705" s="14" t="s">
        <v>4853</v>
      </c>
      <c r="E705" s="14" t="s">
        <v>4854</v>
      </c>
      <c r="F705" s="14" t="s">
        <v>47</v>
      </c>
      <c r="G705" s="14" t="s">
        <v>47</v>
      </c>
      <c r="H705" s="14" t="s">
        <v>3507</v>
      </c>
      <c r="I705" s="14" t="s">
        <v>47</v>
      </c>
      <c r="J705" s="14" t="s">
        <v>47</v>
      </c>
      <c r="K705" s="14" t="s">
        <v>3508</v>
      </c>
      <c r="L705" s="14" t="s">
        <v>47</v>
      </c>
      <c r="M705" s="1">
        <v>46122</v>
      </c>
      <c r="N705" s="1">
        <v>46122</v>
      </c>
      <c r="O705" s="1">
        <v>46122</v>
      </c>
      <c r="P705" s="14" t="s">
        <v>465</v>
      </c>
      <c r="Q705" s="14" t="s">
        <v>371</v>
      </c>
      <c r="R705">
        <v>4</v>
      </c>
      <c r="S705" t="b">
        <v>1</v>
      </c>
      <c r="T705" s="14" t="s">
        <v>47</v>
      </c>
      <c r="U705" s="14" t="s">
        <v>47</v>
      </c>
      <c r="V705" s="14" t="s">
        <v>47</v>
      </c>
      <c r="W705" s="14" t="s">
        <v>47</v>
      </c>
      <c r="X705" s="14" t="s">
        <v>51</v>
      </c>
      <c r="Y705" t="b">
        <v>0</v>
      </c>
      <c r="Z705" s="14" t="s">
        <v>47</v>
      </c>
      <c r="AA705" s="14" t="s">
        <v>47</v>
      </c>
      <c r="AB705" s="14" t="s">
        <v>47</v>
      </c>
      <c r="AC705" t="b">
        <v>1</v>
      </c>
      <c r="AD705" s="14" t="s">
        <v>52</v>
      </c>
      <c r="AE705" s="14" t="s">
        <v>4855</v>
      </c>
      <c r="AF705" s="14" t="s">
        <v>4853</v>
      </c>
      <c r="AG705" s="14" t="s">
        <v>3611</v>
      </c>
      <c r="AH705" s="14" t="s">
        <v>87</v>
      </c>
      <c r="AI705" s="2">
        <v>46160.877418981479</v>
      </c>
      <c r="AJ705" s="14" t="s">
        <v>47</v>
      </c>
      <c r="AK705" s="14" t="s">
        <v>47</v>
      </c>
      <c r="AL705" s="2">
        <v>46160.877418981479</v>
      </c>
      <c r="AM705" s="2">
        <v>46160.877418981479</v>
      </c>
    </row>
    <row r="706" spans="1:39" x14ac:dyDescent="0.3">
      <c r="A706" s="14" t="s">
        <v>4856</v>
      </c>
      <c r="B706" s="14" t="s">
        <v>4857</v>
      </c>
      <c r="C706" s="14" t="s">
        <v>41</v>
      </c>
      <c r="D706" s="14" t="s">
        <v>4858</v>
      </c>
      <c r="E706" s="14" t="s">
        <v>4859</v>
      </c>
      <c r="F706" s="14" t="s">
        <v>47</v>
      </c>
      <c r="G706" s="14" t="s">
        <v>47</v>
      </c>
      <c r="H706" s="14" t="s">
        <v>720</v>
      </c>
      <c r="I706" s="14" t="s">
        <v>47</v>
      </c>
      <c r="J706" s="14" t="s">
        <v>47</v>
      </c>
      <c r="K706" s="14" t="s">
        <v>721</v>
      </c>
      <c r="L706" s="14" t="s">
        <v>47</v>
      </c>
      <c r="M706" s="1">
        <v>46114</v>
      </c>
      <c r="N706" s="1">
        <v>46114</v>
      </c>
      <c r="O706" s="1">
        <v>46114</v>
      </c>
      <c r="P706" s="14" t="s">
        <v>722</v>
      </c>
      <c r="Q706" s="14" t="s">
        <v>50</v>
      </c>
      <c r="R706">
        <v>3</v>
      </c>
      <c r="S706" t="b">
        <v>1</v>
      </c>
      <c r="T706" s="14" t="s">
        <v>47</v>
      </c>
      <c r="U706" s="14" t="s">
        <v>47</v>
      </c>
      <c r="V706" s="14" t="s">
        <v>47</v>
      </c>
      <c r="W706" s="14" t="s">
        <v>47</v>
      </c>
      <c r="X706" s="14" t="s">
        <v>51</v>
      </c>
      <c r="Y706" t="b">
        <v>0</v>
      </c>
      <c r="Z706" s="14" t="s">
        <v>47</v>
      </c>
      <c r="AA706" s="14" t="s">
        <v>47</v>
      </c>
      <c r="AB706" s="14" t="s">
        <v>47</v>
      </c>
      <c r="AC706" t="b">
        <v>1</v>
      </c>
      <c r="AD706" s="14" t="s">
        <v>52</v>
      </c>
      <c r="AE706" s="14" t="s">
        <v>4860</v>
      </c>
      <c r="AF706" s="14" t="s">
        <v>4858</v>
      </c>
      <c r="AG706" s="14" t="s">
        <v>3611</v>
      </c>
      <c r="AH706" s="14" t="s">
        <v>87</v>
      </c>
      <c r="AI706" s="2">
        <v>46160.877418981479</v>
      </c>
      <c r="AJ706" s="14" t="s">
        <v>47</v>
      </c>
      <c r="AK706" s="14" t="s">
        <v>47</v>
      </c>
      <c r="AL706" s="2">
        <v>46160.877418981479</v>
      </c>
      <c r="AM706" s="2">
        <v>46160.877418981479</v>
      </c>
    </row>
    <row r="707" spans="1:39" x14ac:dyDescent="0.3">
      <c r="A707" s="14" t="s">
        <v>4360</v>
      </c>
      <c r="B707" s="14" t="s">
        <v>4361</v>
      </c>
      <c r="C707" s="14" t="s">
        <v>41</v>
      </c>
      <c r="D707" s="14" t="s">
        <v>4362</v>
      </c>
      <c r="E707" s="14" t="s">
        <v>4363</v>
      </c>
      <c r="F707" s="14" t="s">
        <v>47</v>
      </c>
      <c r="G707" s="14" t="s">
        <v>47</v>
      </c>
      <c r="H707" s="14" t="s">
        <v>3507</v>
      </c>
      <c r="I707" s="14" t="s">
        <v>47</v>
      </c>
      <c r="J707" s="14" t="s">
        <v>47</v>
      </c>
      <c r="K707" s="14" t="s">
        <v>3508</v>
      </c>
      <c r="L707" s="14" t="s">
        <v>47</v>
      </c>
      <c r="M707" s="1">
        <v>46122</v>
      </c>
      <c r="N707" s="1">
        <v>46122</v>
      </c>
      <c r="O707" s="1">
        <v>46122</v>
      </c>
      <c r="P707" s="14" t="s">
        <v>465</v>
      </c>
      <c r="Q707" s="14" t="s">
        <v>371</v>
      </c>
      <c r="R707">
        <v>4</v>
      </c>
      <c r="S707" t="b">
        <v>1</v>
      </c>
      <c r="T707" s="14" t="s">
        <v>47</v>
      </c>
      <c r="U707" s="14" t="s">
        <v>47</v>
      </c>
      <c r="V707" s="14" t="s">
        <v>47</v>
      </c>
      <c r="W707" s="14" t="s">
        <v>47</v>
      </c>
      <c r="X707" s="14" t="s">
        <v>51</v>
      </c>
      <c r="Y707" t="b">
        <v>0</v>
      </c>
      <c r="Z707" s="14" t="s">
        <v>47</v>
      </c>
      <c r="AA707" s="14" t="s">
        <v>47</v>
      </c>
      <c r="AB707" s="14" t="s">
        <v>47</v>
      </c>
      <c r="AC707" t="b">
        <v>1</v>
      </c>
      <c r="AD707" s="14" t="s">
        <v>52</v>
      </c>
      <c r="AE707" s="14" t="s">
        <v>4364</v>
      </c>
      <c r="AF707" s="14" t="s">
        <v>4362</v>
      </c>
      <c r="AG707" s="14" t="s">
        <v>3611</v>
      </c>
      <c r="AH707" s="14" t="s">
        <v>87</v>
      </c>
      <c r="AI707" s="2">
        <v>46160.901643518519</v>
      </c>
      <c r="AJ707" s="14" t="s">
        <v>47</v>
      </c>
      <c r="AK707" s="14" t="s">
        <v>47</v>
      </c>
      <c r="AL707" s="2">
        <v>46160.901643518519</v>
      </c>
      <c r="AM707" s="2">
        <v>46160.901643518519</v>
      </c>
    </row>
    <row r="708" spans="1:39" x14ac:dyDescent="0.3">
      <c r="A708" s="14" t="s">
        <v>4365</v>
      </c>
      <c r="B708" s="14" t="s">
        <v>4366</v>
      </c>
      <c r="C708" s="14" t="s">
        <v>41</v>
      </c>
      <c r="D708" s="14" t="s">
        <v>4367</v>
      </c>
      <c r="E708" s="14" t="s">
        <v>4368</v>
      </c>
      <c r="F708" s="14" t="s">
        <v>47</v>
      </c>
      <c r="G708" s="14" t="s">
        <v>47</v>
      </c>
      <c r="H708" s="14" t="s">
        <v>1761</v>
      </c>
      <c r="I708" s="14" t="s">
        <v>47</v>
      </c>
      <c r="J708" s="14" t="s">
        <v>47</v>
      </c>
      <c r="K708" s="14" t="s">
        <v>1128</v>
      </c>
      <c r="L708" s="14" t="s">
        <v>47</v>
      </c>
      <c r="M708" s="1">
        <v>45757</v>
      </c>
      <c r="N708" s="1">
        <v>45757</v>
      </c>
      <c r="O708" s="1">
        <v>45757</v>
      </c>
      <c r="P708" s="14" t="s">
        <v>465</v>
      </c>
      <c r="Q708" s="14" t="s">
        <v>371</v>
      </c>
      <c r="R708">
        <v>4</v>
      </c>
      <c r="S708" t="b">
        <v>1</v>
      </c>
      <c r="T708" s="14" t="s">
        <v>47</v>
      </c>
      <c r="U708" s="14" t="s">
        <v>47</v>
      </c>
      <c r="V708" s="14" t="s">
        <v>47</v>
      </c>
      <c r="W708" s="14" t="s">
        <v>47</v>
      </c>
      <c r="X708" s="14" t="s">
        <v>51</v>
      </c>
      <c r="Y708" t="b">
        <v>0</v>
      </c>
      <c r="Z708" s="14" t="s">
        <v>47</v>
      </c>
      <c r="AA708" s="14" t="s">
        <v>47</v>
      </c>
      <c r="AB708" s="14" t="s">
        <v>47</v>
      </c>
      <c r="AC708" t="b">
        <v>1</v>
      </c>
      <c r="AD708" s="14" t="s">
        <v>52</v>
      </c>
      <c r="AE708" s="14" t="s">
        <v>4369</v>
      </c>
      <c r="AF708" s="14" t="s">
        <v>4367</v>
      </c>
      <c r="AG708" s="14" t="s">
        <v>3611</v>
      </c>
      <c r="AH708" s="14" t="s">
        <v>87</v>
      </c>
      <c r="AI708" s="2">
        <v>46160.901643518519</v>
      </c>
      <c r="AJ708" s="14" t="s">
        <v>47</v>
      </c>
      <c r="AK708" s="14" t="s">
        <v>47</v>
      </c>
      <c r="AL708" s="2">
        <v>46160.901643518519</v>
      </c>
      <c r="AM708" s="2">
        <v>46160.901643518519</v>
      </c>
    </row>
    <row r="709" spans="1:39" x14ac:dyDescent="0.3">
      <c r="A709" s="14" t="s">
        <v>4370</v>
      </c>
      <c r="B709" s="14" t="s">
        <v>4371</v>
      </c>
      <c r="C709" s="14" t="s">
        <v>41</v>
      </c>
      <c r="D709" s="14" t="s">
        <v>4372</v>
      </c>
      <c r="E709" s="14" t="s">
        <v>4373</v>
      </c>
      <c r="F709" s="14" t="s">
        <v>47</v>
      </c>
      <c r="G709" s="14" t="s">
        <v>47</v>
      </c>
      <c r="H709" s="14" t="s">
        <v>3101</v>
      </c>
      <c r="I709" s="14" t="s">
        <v>47</v>
      </c>
      <c r="J709" s="14" t="s">
        <v>47</v>
      </c>
      <c r="K709" s="14" t="s">
        <v>47</v>
      </c>
      <c r="L709" s="14" t="s">
        <v>47</v>
      </c>
      <c r="M709" s="1">
        <v>46122</v>
      </c>
      <c r="N709" s="1">
        <v>46122</v>
      </c>
      <c r="O709" s="1">
        <v>46122</v>
      </c>
      <c r="P709" s="14" t="s">
        <v>183</v>
      </c>
      <c r="Q709" s="14" t="s">
        <v>184</v>
      </c>
      <c r="R709">
        <v>2</v>
      </c>
      <c r="S709" t="b">
        <v>0</v>
      </c>
      <c r="T709" s="14" t="s">
        <v>47</v>
      </c>
      <c r="U709" s="14" t="s">
        <v>47</v>
      </c>
      <c r="V709" s="14" t="s">
        <v>47</v>
      </c>
      <c r="W709" s="14" t="s">
        <v>47</v>
      </c>
      <c r="X709" s="14" t="s">
        <v>51</v>
      </c>
      <c r="Y709" t="b">
        <v>0</v>
      </c>
      <c r="Z709" s="14" t="s">
        <v>47</v>
      </c>
      <c r="AA709" s="14" t="s">
        <v>47</v>
      </c>
      <c r="AB709" s="14" t="s">
        <v>47</v>
      </c>
      <c r="AC709" t="b">
        <v>1</v>
      </c>
      <c r="AD709" s="14" t="s">
        <v>52</v>
      </c>
      <c r="AE709" s="14" t="s">
        <v>4374</v>
      </c>
      <c r="AF709" s="14" t="s">
        <v>4372</v>
      </c>
      <c r="AG709" s="14" t="s">
        <v>3611</v>
      </c>
      <c r="AH709" s="14" t="s">
        <v>87</v>
      </c>
      <c r="AI709" s="2">
        <v>46160.901643518519</v>
      </c>
      <c r="AJ709" s="14" t="s">
        <v>47</v>
      </c>
      <c r="AK709" s="14" t="s">
        <v>47</v>
      </c>
      <c r="AL709" s="2">
        <v>46160.901643518519</v>
      </c>
      <c r="AM709" s="2">
        <v>46160.901643518519</v>
      </c>
    </row>
    <row r="710" spans="1:39" x14ac:dyDescent="0.3">
      <c r="A710" s="14" t="s">
        <v>4375</v>
      </c>
      <c r="B710" s="14" t="s">
        <v>4376</v>
      </c>
      <c r="C710" s="14" t="s">
        <v>41</v>
      </c>
      <c r="D710" s="14" t="s">
        <v>4377</v>
      </c>
      <c r="E710" s="14" t="s">
        <v>4378</v>
      </c>
      <c r="F710" s="14" t="s">
        <v>47</v>
      </c>
      <c r="G710" s="14" t="s">
        <v>47</v>
      </c>
      <c r="H710" s="14" t="s">
        <v>3101</v>
      </c>
      <c r="I710" s="14" t="s">
        <v>47</v>
      </c>
      <c r="J710" s="14" t="s">
        <v>47</v>
      </c>
      <c r="K710" s="14" t="s">
        <v>47</v>
      </c>
      <c r="L710" s="14" t="s">
        <v>47</v>
      </c>
      <c r="M710" s="1">
        <v>46139</v>
      </c>
      <c r="N710" s="1">
        <v>46139</v>
      </c>
      <c r="O710" s="1">
        <v>46139</v>
      </c>
      <c r="P710" s="14" t="s">
        <v>183</v>
      </c>
      <c r="Q710" s="14" t="s">
        <v>184</v>
      </c>
      <c r="R710">
        <v>2</v>
      </c>
      <c r="S710" t="b">
        <v>0</v>
      </c>
      <c r="T710" s="14" t="s">
        <v>47</v>
      </c>
      <c r="U710" s="14" t="s">
        <v>47</v>
      </c>
      <c r="V710" s="14" t="s">
        <v>47</v>
      </c>
      <c r="W710" s="14" t="s">
        <v>47</v>
      </c>
      <c r="X710" s="14" t="s">
        <v>51</v>
      </c>
      <c r="Y710" t="b">
        <v>0</v>
      </c>
      <c r="Z710" s="14" t="s">
        <v>47</v>
      </c>
      <c r="AA710" s="14" t="s">
        <v>47</v>
      </c>
      <c r="AB710" s="14" t="s">
        <v>47</v>
      </c>
      <c r="AC710" t="b">
        <v>1</v>
      </c>
      <c r="AD710" s="14" t="s">
        <v>52</v>
      </c>
      <c r="AE710" s="14" t="s">
        <v>4379</v>
      </c>
      <c r="AF710" s="14" t="s">
        <v>4377</v>
      </c>
      <c r="AG710" s="14" t="s">
        <v>3611</v>
      </c>
      <c r="AH710" s="14" t="s">
        <v>87</v>
      </c>
      <c r="AI710" s="2">
        <v>46160.901643518519</v>
      </c>
      <c r="AJ710" s="14" t="s">
        <v>47</v>
      </c>
      <c r="AK710" s="14" t="s">
        <v>47</v>
      </c>
      <c r="AL710" s="2">
        <v>46160.901643518519</v>
      </c>
      <c r="AM710" s="2">
        <v>46160.901643518519</v>
      </c>
    </row>
    <row r="711" spans="1:39" x14ac:dyDescent="0.3">
      <c r="A711" s="14" t="s">
        <v>4380</v>
      </c>
      <c r="B711" s="14" t="s">
        <v>4381</v>
      </c>
      <c r="C711" s="14" t="s">
        <v>41</v>
      </c>
      <c r="D711" s="14" t="s">
        <v>4382</v>
      </c>
      <c r="E711" s="14" t="s">
        <v>4383</v>
      </c>
      <c r="F711" s="14" t="s">
        <v>47</v>
      </c>
      <c r="G711" s="14" t="s">
        <v>47</v>
      </c>
      <c r="H711" s="14" t="s">
        <v>1761</v>
      </c>
      <c r="I711" s="14" t="s">
        <v>47</v>
      </c>
      <c r="J711" s="14" t="s">
        <v>47</v>
      </c>
      <c r="K711" s="14" t="s">
        <v>1128</v>
      </c>
      <c r="L711" s="14" t="s">
        <v>47</v>
      </c>
      <c r="M711" s="1">
        <v>46122</v>
      </c>
      <c r="N711" s="1">
        <v>46122</v>
      </c>
      <c r="O711" s="1">
        <v>46122</v>
      </c>
      <c r="P711" s="14" t="s">
        <v>465</v>
      </c>
      <c r="Q711" s="14" t="s">
        <v>371</v>
      </c>
      <c r="R711">
        <v>4</v>
      </c>
      <c r="S711" t="b">
        <v>1</v>
      </c>
      <c r="T711" s="14" t="s">
        <v>47</v>
      </c>
      <c r="U711" s="14" t="s">
        <v>47</v>
      </c>
      <c r="V711" s="14" t="s">
        <v>47</v>
      </c>
      <c r="W711" s="14" t="s">
        <v>47</v>
      </c>
      <c r="X711" s="14" t="s">
        <v>51</v>
      </c>
      <c r="Y711" t="b">
        <v>0</v>
      </c>
      <c r="Z711" s="14" t="s">
        <v>47</v>
      </c>
      <c r="AA711" s="14" t="s">
        <v>47</v>
      </c>
      <c r="AB711" s="14" t="s">
        <v>47</v>
      </c>
      <c r="AC711" t="b">
        <v>1</v>
      </c>
      <c r="AD711" s="14" t="s">
        <v>52</v>
      </c>
      <c r="AE711" s="14" t="s">
        <v>4384</v>
      </c>
      <c r="AF711" s="14" t="s">
        <v>4382</v>
      </c>
      <c r="AG711" s="14" t="s">
        <v>3611</v>
      </c>
      <c r="AH711" s="14" t="s">
        <v>87</v>
      </c>
      <c r="AI711" s="2">
        <v>46160.901643518519</v>
      </c>
      <c r="AJ711" s="14" t="s">
        <v>47</v>
      </c>
      <c r="AK711" s="14" t="s">
        <v>47</v>
      </c>
      <c r="AL711" s="2">
        <v>46160.901643518519</v>
      </c>
      <c r="AM711" s="2">
        <v>46160.901643518519</v>
      </c>
    </row>
    <row r="712" spans="1:39" x14ac:dyDescent="0.3">
      <c r="A712" s="14" t="s">
        <v>4385</v>
      </c>
      <c r="B712" s="14" t="s">
        <v>4386</v>
      </c>
      <c r="C712" s="14" t="s">
        <v>41</v>
      </c>
      <c r="D712" s="14" t="s">
        <v>4387</v>
      </c>
      <c r="E712" s="14" t="s">
        <v>4388</v>
      </c>
      <c r="F712" s="14" t="s">
        <v>47</v>
      </c>
      <c r="G712" s="14" t="s">
        <v>47</v>
      </c>
      <c r="H712" s="14" t="s">
        <v>1761</v>
      </c>
      <c r="I712" s="14" t="s">
        <v>47</v>
      </c>
      <c r="J712" s="14" t="s">
        <v>47</v>
      </c>
      <c r="K712" s="14" t="s">
        <v>1128</v>
      </c>
      <c r="L712" s="14" t="s">
        <v>47</v>
      </c>
      <c r="M712" s="1">
        <v>46122</v>
      </c>
      <c r="N712" s="1">
        <v>46122</v>
      </c>
      <c r="O712" s="1">
        <v>46122</v>
      </c>
      <c r="P712" s="14" t="s">
        <v>465</v>
      </c>
      <c r="Q712" s="14" t="s">
        <v>371</v>
      </c>
      <c r="R712">
        <v>4</v>
      </c>
      <c r="S712" t="b">
        <v>1</v>
      </c>
      <c r="T712" s="14" t="s">
        <v>47</v>
      </c>
      <c r="U712" s="14" t="s">
        <v>47</v>
      </c>
      <c r="V712" s="14" t="s">
        <v>47</v>
      </c>
      <c r="W712" s="14" t="s">
        <v>47</v>
      </c>
      <c r="X712" s="14" t="s">
        <v>51</v>
      </c>
      <c r="Y712" t="b">
        <v>0</v>
      </c>
      <c r="Z712" s="14" t="s">
        <v>47</v>
      </c>
      <c r="AA712" s="14" t="s">
        <v>47</v>
      </c>
      <c r="AB712" s="14" t="s">
        <v>47</v>
      </c>
      <c r="AC712" t="b">
        <v>1</v>
      </c>
      <c r="AD712" s="14" t="s">
        <v>52</v>
      </c>
      <c r="AE712" s="14" t="s">
        <v>4389</v>
      </c>
      <c r="AF712" s="14" t="s">
        <v>4387</v>
      </c>
      <c r="AG712" s="14" t="s">
        <v>3611</v>
      </c>
      <c r="AH712" s="14" t="s">
        <v>87</v>
      </c>
      <c r="AI712" s="2">
        <v>46160.901643518519</v>
      </c>
      <c r="AJ712" s="14" t="s">
        <v>47</v>
      </c>
      <c r="AK712" s="14" t="s">
        <v>47</v>
      </c>
      <c r="AL712" s="2">
        <v>46160.901643518519</v>
      </c>
      <c r="AM712" s="2">
        <v>46160.901643518519</v>
      </c>
    </row>
    <row r="713" spans="1:39" x14ac:dyDescent="0.3">
      <c r="A713" s="14" t="s">
        <v>4390</v>
      </c>
      <c r="B713" s="14" t="s">
        <v>4391</v>
      </c>
      <c r="C713" s="14" t="s">
        <v>41</v>
      </c>
      <c r="D713" s="14" t="s">
        <v>4392</v>
      </c>
      <c r="E713" s="14" t="s">
        <v>4393</v>
      </c>
      <c r="F713" s="14" t="s">
        <v>47</v>
      </c>
      <c r="G713" s="14" t="s">
        <v>47</v>
      </c>
      <c r="H713" s="14" t="s">
        <v>3101</v>
      </c>
      <c r="I713" s="14" t="s">
        <v>47</v>
      </c>
      <c r="J713" s="14" t="s">
        <v>47</v>
      </c>
      <c r="K713" s="14" t="s">
        <v>47</v>
      </c>
      <c r="L713" s="14" t="s">
        <v>47</v>
      </c>
      <c r="M713" s="1">
        <v>46111</v>
      </c>
      <c r="N713" s="1">
        <v>46111</v>
      </c>
      <c r="O713" s="1">
        <v>46111</v>
      </c>
      <c r="P713" s="14" t="s">
        <v>183</v>
      </c>
      <c r="Q713" s="14" t="s">
        <v>184</v>
      </c>
      <c r="R713">
        <v>2</v>
      </c>
      <c r="S713" t="b">
        <v>0</v>
      </c>
      <c r="T713" s="14" t="s">
        <v>47</v>
      </c>
      <c r="U713" s="14" t="s">
        <v>47</v>
      </c>
      <c r="V713" s="14" t="s">
        <v>47</v>
      </c>
      <c r="W713" s="14" t="s">
        <v>47</v>
      </c>
      <c r="X713" s="14" t="s">
        <v>51</v>
      </c>
      <c r="Y713" t="b">
        <v>0</v>
      </c>
      <c r="Z713" s="14" t="s">
        <v>47</v>
      </c>
      <c r="AA713" s="14" t="s">
        <v>47</v>
      </c>
      <c r="AB713" s="14" t="s">
        <v>47</v>
      </c>
      <c r="AC713" t="b">
        <v>1</v>
      </c>
      <c r="AD713" s="14" t="s">
        <v>52</v>
      </c>
      <c r="AE713" s="14" t="s">
        <v>4394</v>
      </c>
      <c r="AF713" s="14" t="s">
        <v>4392</v>
      </c>
      <c r="AG713" s="14" t="s">
        <v>3611</v>
      </c>
      <c r="AH713" s="14" t="s">
        <v>87</v>
      </c>
      <c r="AI713" s="2">
        <v>46160.901643518519</v>
      </c>
      <c r="AJ713" s="14" t="s">
        <v>47</v>
      </c>
      <c r="AK713" s="14" t="s">
        <v>47</v>
      </c>
      <c r="AL713" s="2">
        <v>46160.901643518519</v>
      </c>
      <c r="AM713" s="2">
        <v>46160.901643518519</v>
      </c>
    </row>
    <row r="714" spans="1:39" x14ac:dyDescent="0.3">
      <c r="A714" s="14" t="s">
        <v>4395</v>
      </c>
      <c r="B714" s="14" t="s">
        <v>4396</v>
      </c>
      <c r="C714" s="14" t="s">
        <v>41</v>
      </c>
      <c r="D714" s="14" t="s">
        <v>4397</v>
      </c>
      <c r="E714" s="14" t="s">
        <v>4398</v>
      </c>
      <c r="F714" s="14" t="s">
        <v>47</v>
      </c>
      <c r="G714" s="14" t="s">
        <v>47</v>
      </c>
      <c r="H714" s="14" t="s">
        <v>1761</v>
      </c>
      <c r="I714" s="14" t="s">
        <v>47</v>
      </c>
      <c r="J714" s="14" t="s">
        <v>47</v>
      </c>
      <c r="K714" s="14" t="s">
        <v>1128</v>
      </c>
      <c r="L714" s="14" t="s">
        <v>47</v>
      </c>
      <c r="M714" s="1">
        <v>46122</v>
      </c>
      <c r="N714" s="1">
        <v>46122</v>
      </c>
      <c r="O714" s="1">
        <v>46122</v>
      </c>
      <c r="P714" s="14" t="s">
        <v>465</v>
      </c>
      <c r="Q714" s="14" t="s">
        <v>371</v>
      </c>
      <c r="R714">
        <v>4</v>
      </c>
      <c r="S714" t="b">
        <v>1</v>
      </c>
      <c r="T714" s="14" t="s">
        <v>47</v>
      </c>
      <c r="U714" s="14" t="s">
        <v>47</v>
      </c>
      <c r="V714" s="14" t="s">
        <v>47</v>
      </c>
      <c r="W714" s="14" t="s">
        <v>47</v>
      </c>
      <c r="X714" s="14" t="s">
        <v>51</v>
      </c>
      <c r="Y714" t="b">
        <v>0</v>
      </c>
      <c r="Z714" s="14" t="s">
        <v>47</v>
      </c>
      <c r="AA714" s="14" t="s">
        <v>47</v>
      </c>
      <c r="AB714" s="14" t="s">
        <v>47</v>
      </c>
      <c r="AC714" t="b">
        <v>1</v>
      </c>
      <c r="AD714" s="14" t="s">
        <v>52</v>
      </c>
      <c r="AE714" s="14" t="s">
        <v>4399</v>
      </c>
      <c r="AF714" s="14" t="s">
        <v>4397</v>
      </c>
      <c r="AG714" s="14" t="s">
        <v>3611</v>
      </c>
      <c r="AH714" s="14" t="s">
        <v>87</v>
      </c>
      <c r="AI714" s="2">
        <v>46160.901643518519</v>
      </c>
      <c r="AJ714" s="14" t="s">
        <v>47</v>
      </c>
      <c r="AK714" s="14" t="s">
        <v>47</v>
      </c>
      <c r="AL714" s="2">
        <v>46160.901643518519</v>
      </c>
      <c r="AM714" s="2">
        <v>46160.901643518519</v>
      </c>
    </row>
    <row r="715" spans="1:39" x14ac:dyDescent="0.3">
      <c r="A715" s="14" t="s">
        <v>4400</v>
      </c>
      <c r="B715" s="14" t="s">
        <v>4401</v>
      </c>
      <c r="C715" s="14" t="s">
        <v>41</v>
      </c>
      <c r="D715" s="14" t="s">
        <v>4402</v>
      </c>
      <c r="E715" s="14" t="s">
        <v>4403</v>
      </c>
      <c r="F715" s="14" t="s">
        <v>47</v>
      </c>
      <c r="G715" s="14" t="s">
        <v>47</v>
      </c>
      <c r="H715" s="14" t="s">
        <v>1761</v>
      </c>
      <c r="I715" s="14" t="s">
        <v>47</v>
      </c>
      <c r="J715" s="14" t="s">
        <v>47</v>
      </c>
      <c r="K715" s="14" t="s">
        <v>1128</v>
      </c>
      <c r="L715" s="14" t="s">
        <v>47</v>
      </c>
      <c r="M715" s="1">
        <v>45757</v>
      </c>
      <c r="N715" s="1">
        <v>45757</v>
      </c>
      <c r="O715" s="1">
        <v>45757</v>
      </c>
      <c r="P715" s="14" t="s">
        <v>465</v>
      </c>
      <c r="Q715" s="14" t="s">
        <v>371</v>
      </c>
      <c r="R715">
        <v>4</v>
      </c>
      <c r="S715" t="b">
        <v>1</v>
      </c>
      <c r="T715" s="14" t="s">
        <v>47</v>
      </c>
      <c r="U715" s="14" t="s">
        <v>47</v>
      </c>
      <c r="V715" s="14" t="s">
        <v>47</v>
      </c>
      <c r="W715" s="14" t="s">
        <v>47</v>
      </c>
      <c r="X715" s="14" t="s">
        <v>51</v>
      </c>
      <c r="Y715" t="b">
        <v>0</v>
      </c>
      <c r="Z715" s="14" t="s">
        <v>47</v>
      </c>
      <c r="AA715" s="14" t="s">
        <v>47</v>
      </c>
      <c r="AB715" s="14" t="s">
        <v>47</v>
      </c>
      <c r="AC715" t="b">
        <v>1</v>
      </c>
      <c r="AD715" s="14" t="s">
        <v>52</v>
      </c>
      <c r="AE715" s="14" t="s">
        <v>4404</v>
      </c>
      <c r="AF715" s="14" t="s">
        <v>4402</v>
      </c>
      <c r="AG715" s="14" t="s">
        <v>3611</v>
      </c>
      <c r="AH715" s="14" t="s">
        <v>87</v>
      </c>
      <c r="AI715" s="2">
        <v>46160.901643518519</v>
      </c>
      <c r="AJ715" s="14" t="s">
        <v>47</v>
      </c>
      <c r="AK715" s="14" t="s">
        <v>47</v>
      </c>
      <c r="AL715" s="2">
        <v>46160.901643518519</v>
      </c>
      <c r="AM715" s="2">
        <v>46160.901643518519</v>
      </c>
    </row>
    <row r="716" spans="1:39" x14ac:dyDescent="0.3">
      <c r="A716" s="14" t="s">
        <v>4405</v>
      </c>
      <c r="B716" s="14" t="s">
        <v>4406</v>
      </c>
      <c r="C716" s="14" t="s">
        <v>41</v>
      </c>
      <c r="D716" s="14" t="s">
        <v>4407</v>
      </c>
      <c r="E716" s="14" t="s">
        <v>4408</v>
      </c>
      <c r="F716" s="14" t="s">
        <v>47</v>
      </c>
      <c r="G716" s="14" t="s">
        <v>47</v>
      </c>
      <c r="H716" s="14" t="s">
        <v>1761</v>
      </c>
      <c r="I716" s="14" t="s">
        <v>47</v>
      </c>
      <c r="J716" s="14" t="s">
        <v>47</v>
      </c>
      <c r="K716" s="14" t="s">
        <v>1128</v>
      </c>
      <c r="L716" s="14" t="s">
        <v>47</v>
      </c>
      <c r="M716" s="1">
        <v>46122</v>
      </c>
      <c r="N716" s="1">
        <v>46122</v>
      </c>
      <c r="O716" s="1">
        <v>46122</v>
      </c>
      <c r="P716" s="14" t="s">
        <v>465</v>
      </c>
      <c r="Q716" s="14" t="s">
        <v>371</v>
      </c>
      <c r="R716">
        <v>4</v>
      </c>
      <c r="S716" t="b">
        <v>1</v>
      </c>
      <c r="T716" s="14" t="s">
        <v>47</v>
      </c>
      <c r="U716" s="14" t="s">
        <v>47</v>
      </c>
      <c r="V716" s="14" t="s">
        <v>47</v>
      </c>
      <c r="W716" s="14" t="s">
        <v>47</v>
      </c>
      <c r="X716" s="14" t="s">
        <v>51</v>
      </c>
      <c r="Y716" t="b">
        <v>0</v>
      </c>
      <c r="Z716" s="14" t="s">
        <v>47</v>
      </c>
      <c r="AA716" s="14" t="s">
        <v>47</v>
      </c>
      <c r="AB716" s="14" t="s">
        <v>47</v>
      </c>
      <c r="AC716" t="b">
        <v>1</v>
      </c>
      <c r="AD716" s="14" t="s">
        <v>52</v>
      </c>
      <c r="AE716" s="14" t="s">
        <v>4409</v>
      </c>
      <c r="AF716" s="14" t="s">
        <v>4407</v>
      </c>
      <c r="AG716" s="14" t="s">
        <v>3611</v>
      </c>
      <c r="AH716" s="14" t="s">
        <v>87</v>
      </c>
      <c r="AI716" s="2">
        <v>46160.901643518519</v>
      </c>
      <c r="AJ716" s="14" t="s">
        <v>47</v>
      </c>
      <c r="AK716" s="14" t="s">
        <v>47</v>
      </c>
      <c r="AL716" s="2">
        <v>46160.901643518519</v>
      </c>
      <c r="AM716" s="2">
        <v>46160.901643518519</v>
      </c>
    </row>
    <row r="717" spans="1:39" x14ac:dyDescent="0.3">
      <c r="A717" s="14" t="s">
        <v>4410</v>
      </c>
      <c r="B717" s="14" t="s">
        <v>4411</v>
      </c>
      <c r="C717" s="14" t="s">
        <v>41</v>
      </c>
      <c r="D717" s="14" t="s">
        <v>4412</v>
      </c>
      <c r="E717" s="14" t="s">
        <v>4413</v>
      </c>
      <c r="F717" s="14" t="s">
        <v>47</v>
      </c>
      <c r="G717" s="14" t="s">
        <v>47</v>
      </c>
      <c r="H717" s="14" t="s">
        <v>3507</v>
      </c>
      <c r="I717" s="14" t="s">
        <v>47</v>
      </c>
      <c r="J717" s="14" t="s">
        <v>47</v>
      </c>
      <c r="K717" s="14" t="s">
        <v>3508</v>
      </c>
      <c r="L717" s="14" t="s">
        <v>47</v>
      </c>
      <c r="M717" s="1">
        <v>46122</v>
      </c>
      <c r="N717" s="1">
        <v>46122</v>
      </c>
      <c r="O717" s="1">
        <v>46122</v>
      </c>
      <c r="P717" s="14" t="s">
        <v>465</v>
      </c>
      <c r="Q717" s="14" t="s">
        <v>371</v>
      </c>
      <c r="R717">
        <v>4</v>
      </c>
      <c r="S717" t="b">
        <v>1</v>
      </c>
      <c r="T717" s="14" t="s">
        <v>47</v>
      </c>
      <c r="U717" s="14" t="s">
        <v>47</v>
      </c>
      <c r="V717" s="14" t="s">
        <v>47</v>
      </c>
      <c r="W717" s="14" t="s">
        <v>47</v>
      </c>
      <c r="X717" s="14" t="s">
        <v>51</v>
      </c>
      <c r="Y717" t="b">
        <v>0</v>
      </c>
      <c r="Z717" s="14" t="s">
        <v>47</v>
      </c>
      <c r="AA717" s="14" t="s">
        <v>47</v>
      </c>
      <c r="AB717" s="14" t="s">
        <v>47</v>
      </c>
      <c r="AC717" t="b">
        <v>1</v>
      </c>
      <c r="AD717" s="14" t="s">
        <v>52</v>
      </c>
      <c r="AE717" s="14" t="s">
        <v>4414</v>
      </c>
      <c r="AF717" s="14" t="s">
        <v>4412</v>
      </c>
      <c r="AG717" s="14" t="s">
        <v>3611</v>
      </c>
      <c r="AH717" s="14" t="s">
        <v>87</v>
      </c>
      <c r="AI717" s="2">
        <v>46160.901643518519</v>
      </c>
      <c r="AJ717" s="14" t="s">
        <v>47</v>
      </c>
      <c r="AK717" s="14" t="s">
        <v>47</v>
      </c>
      <c r="AL717" s="2">
        <v>46160.901643518519</v>
      </c>
      <c r="AM717" s="2">
        <v>46160.901643518519</v>
      </c>
    </row>
    <row r="718" spans="1:39" x14ac:dyDescent="0.3">
      <c r="A718" s="14" t="s">
        <v>4415</v>
      </c>
      <c r="B718" s="14" t="s">
        <v>4416</v>
      </c>
      <c r="C718" s="14" t="s">
        <v>41</v>
      </c>
      <c r="D718" s="14" t="s">
        <v>4417</v>
      </c>
      <c r="E718" s="14" t="s">
        <v>4418</v>
      </c>
      <c r="F718" s="14" t="s">
        <v>47</v>
      </c>
      <c r="G718" s="14" t="s">
        <v>47</v>
      </c>
      <c r="H718" s="14" t="s">
        <v>3101</v>
      </c>
      <c r="I718" s="14" t="s">
        <v>47</v>
      </c>
      <c r="J718" s="14" t="s">
        <v>47</v>
      </c>
      <c r="K718" s="14" t="s">
        <v>47</v>
      </c>
      <c r="L718" s="14" t="s">
        <v>47</v>
      </c>
      <c r="M718" s="1">
        <v>46122</v>
      </c>
      <c r="N718" s="1">
        <v>46122</v>
      </c>
      <c r="O718" s="1">
        <v>46122</v>
      </c>
      <c r="P718" s="14" t="s">
        <v>183</v>
      </c>
      <c r="Q718" s="14" t="s">
        <v>184</v>
      </c>
      <c r="R718">
        <v>2</v>
      </c>
      <c r="S718" t="b">
        <v>0</v>
      </c>
      <c r="T718" s="14" t="s">
        <v>47</v>
      </c>
      <c r="U718" s="14" t="s">
        <v>47</v>
      </c>
      <c r="V718" s="14" t="s">
        <v>47</v>
      </c>
      <c r="W718" s="14" t="s">
        <v>47</v>
      </c>
      <c r="X718" s="14" t="s">
        <v>51</v>
      </c>
      <c r="Y718" t="b">
        <v>0</v>
      </c>
      <c r="Z718" s="14" t="s">
        <v>47</v>
      </c>
      <c r="AA718" s="14" t="s">
        <v>47</v>
      </c>
      <c r="AB718" s="14" t="s">
        <v>47</v>
      </c>
      <c r="AC718" t="b">
        <v>1</v>
      </c>
      <c r="AD718" s="14" t="s">
        <v>52</v>
      </c>
      <c r="AE718" s="14" t="s">
        <v>4419</v>
      </c>
      <c r="AF718" s="14" t="s">
        <v>4417</v>
      </c>
      <c r="AG718" s="14" t="s">
        <v>3611</v>
      </c>
      <c r="AH718" s="14" t="s">
        <v>87</v>
      </c>
      <c r="AI718" s="2">
        <v>46160.901643518519</v>
      </c>
      <c r="AJ718" s="14" t="s">
        <v>47</v>
      </c>
      <c r="AK718" s="14" t="s">
        <v>47</v>
      </c>
      <c r="AL718" s="2">
        <v>46160.901643518519</v>
      </c>
      <c r="AM718" s="2">
        <v>46160.901643518519</v>
      </c>
    </row>
    <row r="719" spans="1:39" x14ac:dyDescent="0.3">
      <c r="A719" s="14" t="s">
        <v>4420</v>
      </c>
      <c r="B719" s="14" t="s">
        <v>4421</v>
      </c>
      <c r="C719" s="14" t="s">
        <v>41</v>
      </c>
      <c r="D719" s="14" t="s">
        <v>4422</v>
      </c>
      <c r="E719" s="14" t="s">
        <v>4423</v>
      </c>
      <c r="F719" s="14" t="s">
        <v>47</v>
      </c>
      <c r="G719" s="14" t="s">
        <v>47</v>
      </c>
      <c r="H719" s="14" t="s">
        <v>3507</v>
      </c>
      <c r="I719" s="14" t="s">
        <v>47</v>
      </c>
      <c r="J719" s="14" t="s">
        <v>47</v>
      </c>
      <c r="K719" s="14" t="s">
        <v>3508</v>
      </c>
      <c r="L719" s="14" t="s">
        <v>47</v>
      </c>
      <c r="M719" s="1">
        <v>46122</v>
      </c>
      <c r="N719" s="1">
        <v>46122</v>
      </c>
      <c r="O719" s="1">
        <v>46122</v>
      </c>
      <c r="P719" s="14" t="s">
        <v>465</v>
      </c>
      <c r="Q719" s="14" t="s">
        <v>371</v>
      </c>
      <c r="R719">
        <v>4</v>
      </c>
      <c r="S719" t="b">
        <v>1</v>
      </c>
      <c r="T719" s="14" t="s">
        <v>47</v>
      </c>
      <c r="U719" s="14" t="s">
        <v>47</v>
      </c>
      <c r="V719" s="14" t="s">
        <v>47</v>
      </c>
      <c r="W719" s="14" t="s">
        <v>47</v>
      </c>
      <c r="X719" s="14" t="s">
        <v>51</v>
      </c>
      <c r="Y719" t="b">
        <v>0</v>
      </c>
      <c r="Z719" s="14" t="s">
        <v>47</v>
      </c>
      <c r="AA719" s="14" t="s">
        <v>47</v>
      </c>
      <c r="AB719" s="14" t="s">
        <v>47</v>
      </c>
      <c r="AC719" t="b">
        <v>1</v>
      </c>
      <c r="AD719" s="14" t="s">
        <v>52</v>
      </c>
      <c r="AE719" s="14" t="s">
        <v>4424</v>
      </c>
      <c r="AF719" s="14" t="s">
        <v>4422</v>
      </c>
      <c r="AG719" s="14" t="s">
        <v>3611</v>
      </c>
      <c r="AH719" s="14" t="s">
        <v>87</v>
      </c>
      <c r="AI719" s="2">
        <v>46160.901643518519</v>
      </c>
      <c r="AJ719" s="14" t="s">
        <v>47</v>
      </c>
      <c r="AK719" s="14" t="s">
        <v>47</v>
      </c>
      <c r="AL719" s="2">
        <v>46160.901643518519</v>
      </c>
      <c r="AM719" s="2">
        <v>46160.901643518519</v>
      </c>
    </row>
    <row r="720" spans="1:39" x14ac:dyDescent="0.3">
      <c r="A720" s="14" t="s">
        <v>4425</v>
      </c>
      <c r="B720" s="14" t="s">
        <v>4426</v>
      </c>
      <c r="C720" s="14" t="s">
        <v>41</v>
      </c>
      <c r="D720" s="14" t="s">
        <v>4427</v>
      </c>
      <c r="E720" s="14" t="s">
        <v>4428</v>
      </c>
      <c r="F720" s="14" t="s">
        <v>47</v>
      </c>
      <c r="G720" s="14" t="s">
        <v>47</v>
      </c>
      <c r="H720" s="14" t="s">
        <v>3101</v>
      </c>
      <c r="I720" s="14" t="s">
        <v>47</v>
      </c>
      <c r="J720" s="14" t="s">
        <v>47</v>
      </c>
      <c r="K720" s="14" t="s">
        <v>47</v>
      </c>
      <c r="L720" s="14" t="s">
        <v>47</v>
      </c>
      <c r="M720" s="1">
        <v>46122</v>
      </c>
      <c r="N720" s="1">
        <v>46122</v>
      </c>
      <c r="O720" s="1">
        <v>46122</v>
      </c>
      <c r="P720" s="14" t="s">
        <v>183</v>
      </c>
      <c r="Q720" s="14" t="s">
        <v>184</v>
      </c>
      <c r="R720">
        <v>2</v>
      </c>
      <c r="S720" t="b">
        <v>0</v>
      </c>
      <c r="T720" s="14" t="s">
        <v>47</v>
      </c>
      <c r="U720" s="14" t="s">
        <v>47</v>
      </c>
      <c r="V720" s="14" t="s">
        <v>47</v>
      </c>
      <c r="W720" s="14" t="s">
        <v>47</v>
      </c>
      <c r="X720" s="14" t="s">
        <v>51</v>
      </c>
      <c r="Y720" t="b">
        <v>0</v>
      </c>
      <c r="Z720" s="14" t="s">
        <v>47</v>
      </c>
      <c r="AA720" s="14" t="s">
        <v>47</v>
      </c>
      <c r="AB720" s="14" t="s">
        <v>47</v>
      </c>
      <c r="AC720" t="b">
        <v>1</v>
      </c>
      <c r="AD720" s="14" t="s">
        <v>52</v>
      </c>
      <c r="AE720" s="14" t="s">
        <v>4429</v>
      </c>
      <c r="AF720" s="14" t="s">
        <v>4427</v>
      </c>
      <c r="AG720" s="14" t="s">
        <v>3611</v>
      </c>
      <c r="AH720" s="14" t="s">
        <v>87</v>
      </c>
      <c r="AI720" s="2">
        <v>46160.901643518519</v>
      </c>
      <c r="AJ720" s="14" t="s">
        <v>47</v>
      </c>
      <c r="AK720" s="14" t="s">
        <v>47</v>
      </c>
      <c r="AL720" s="2">
        <v>46160.901643518519</v>
      </c>
      <c r="AM720" s="2">
        <v>46160.901643518519</v>
      </c>
    </row>
    <row r="721" spans="1:39" x14ac:dyDescent="0.3">
      <c r="A721" s="14" t="s">
        <v>4430</v>
      </c>
      <c r="B721" s="14" t="s">
        <v>4431</v>
      </c>
      <c r="C721" s="14" t="s">
        <v>41</v>
      </c>
      <c r="D721" s="14" t="s">
        <v>4432</v>
      </c>
      <c r="E721" s="14" t="s">
        <v>4433</v>
      </c>
      <c r="F721" s="14" t="s">
        <v>47</v>
      </c>
      <c r="G721" s="14" t="s">
        <v>47</v>
      </c>
      <c r="H721" s="14" t="s">
        <v>3101</v>
      </c>
      <c r="I721" s="14" t="s">
        <v>47</v>
      </c>
      <c r="J721" s="14" t="s">
        <v>47</v>
      </c>
      <c r="K721" s="14" t="s">
        <v>47</v>
      </c>
      <c r="L721" s="14" t="s">
        <v>47</v>
      </c>
      <c r="M721" s="1">
        <v>46122</v>
      </c>
      <c r="N721" s="1">
        <v>46122</v>
      </c>
      <c r="O721" s="1">
        <v>46122</v>
      </c>
      <c r="P721" s="14" t="s">
        <v>183</v>
      </c>
      <c r="Q721" s="14" t="s">
        <v>184</v>
      </c>
      <c r="R721">
        <v>2</v>
      </c>
      <c r="S721" t="b">
        <v>0</v>
      </c>
      <c r="T721" s="14" t="s">
        <v>47</v>
      </c>
      <c r="U721" s="14" t="s">
        <v>47</v>
      </c>
      <c r="V721" s="14" t="s">
        <v>47</v>
      </c>
      <c r="W721" s="14" t="s">
        <v>47</v>
      </c>
      <c r="X721" s="14" t="s">
        <v>51</v>
      </c>
      <c r="Y721" t="b">
        <v>0</v>
      </c>
      <c r="Z721" s="14" t="s">
        <v>47</v>
      </c>
      <c r="AA721" s="14" t="s">
        <v>47</v>
      </c>
      <c r="AB721" s="14" t="s">
        <v>47</v>
      </c>
      <c r="AC721" t="b">
        <v>1</v>
      </c>
      <c r="AD721" s="14" t="s">
        <v>52</v>
      </c>
      <c r="AE721" s="14" t="s">
        <v>4434</v>
      </c>
      <c r="AF721" s="14" t="s">
        <v>4432</v>
      </c>
      <c r="AG721" s="14" t="s">
        <v>3611</v>
      </c>
      <c r="AH721" s="14" t="s">
        <v>87</v>
      </c>
      <c r="AI721" s="2">
        <v>46160.901643518519</v>
      </c>
      <c r="AJ721" s="14" t="s">
        <v>47</v>
      </c>
      <c r="AK721" s="14" t="s">
        <v>47</v>
      </c>
      <c r="AL721" s="2">
        <v>46160.901643518519</v>
      </c>
      <c r="AM721" s="2">
        <v>46160.901643518519</v>
      </c>
    </row>
    <row r="722" spans="1:39" x14ac:dyDescent="0.3">
      <c r="A722" s="14" t="s">
        <v>4435</v>
      </c>
      <c r="B722" s="14" t="s">
        <v>4436</v>
      </c>
      <c r="C722" s="14" t="s">
        <v>41</v>
      </c>
      <c r="D722" s="14" t="s">
        <v>4437</v>
      </c>
      <c r="E722" s="14" t="s">
        <v>4438</v>
      </c>
      <c r="F722" s="14" t="s">
        <v>47</v>
      </c>
      <c r="G722" s="14" t="s">
        <v>47</v>
      </c>
      <c r="H722" s="14" t="s">
        <v>85</v>
      </c>
      <c r="I722" s="14" t="s">
        <v>47</v>
      </c>
      <c r="J722" s="14" t="s">
        <v>47</v>
      </c>
      <c r="K722" s="14" t="s">
        <v>48</v>
      </c>
      <c r="L722" s="14" t="s">
        <v>47</v>
      </c>
      <c r="M722" s="1">
        <v>46130</v>
      </c>
      <c r="N722" s="1">
        <v>46130</v>
      </c>
      <c r="O722" s="1">
        <v>46130</v>
      </c>
      <c r="P722" s="14" t="s">
        <v>49</v>
      </c>
      <c r="Q722" s="14" t="s">
        <v>50</v>
      </c>
      <c r="R722">
        <v>2</v>
      </c>
      <c r="S722" t="b">
        <v>0</v>
      </c>
      <c r="T722" s="14" t="s">
        <v>47</v>
      </c>
      <c r="U722" s="14" t="s">
        <v>47</v>
      </c>
      <c r="V722" s="14" t="s">
        <v>47</v>
      </c>
      <c r="W722" s="14" t="s">
        <v>47</v>
      </c>
      <c r="X722" s="14" t="s">
        <v>51</v>
      </c>
      <c r="Y722" t="b">
        <v>0</v>
      </c>
      <c r="Z722" s="14" t="s">
        <v>47</v>
      </c>
      <c r="AA722" s="14" t="s">
        <v>47</v>
      </c>
      <c r="AB722" s="14" t="s">
        <v>47</v>
      </c>
      <c r="AC722" t="b">
        <v>1</v>
      </c>
      <c r="AD722" s="14" t="s">
        <v>52</v>
      </c>
      <c r="AE722" s="14" t="s">
        <v>4439</v>
      </c>
      <c r="AF722" s="14" t="s">
        <v>4437</v>
      </c>
      <c r="AG722" s="14" t="s">
        <v>3611</v>
      </c>
      <c r="AH722" s="14" t="s">
        <v>87</v>
      </c>
      <c r="AI722" s="2">
        <v>46160.901643518519</v>
      </c>
      <c r="AJ722" s="14" t="s">
        <v>47</v>
      </c>
      <c r="AK722" s="14" t="s">
        <v>47</v>
      </c>
      <c r="AL722" s="2">
        <v>46160.901643518519</v>
      </c>
      <c r="AM722" s="2">
        <v>46160.901643518519</v>
      </c>
    </row>
    <row r="723" spans="1:39" x14ac:dyDescent="0.3">
      <c r="A723" s="14" t="s">
        <v>4440</v>
      </c>
      <c r="B723" s="14" t="s">
        <v>4441</v>
      </c>
      <c r="C723" s="14" t="s">
        <v>41</v>
      </c>
      <c r="D723" s="14" t="s">
        <v>4442</v>
      </c>
      <c r="E723" s="14" t="s">
        <v>4443</v>
      </c>
      <c r="F723" s="14" t="s">
        <v>47</v>
      </c>
      <c r="G723" s="14" t="s">
        <v>47</v>
      </c>
      <c r="H723" s="14" t="s">
        <v>3101</v>
      </c>
      <c r="I723" s="14" t="s">
        <v>47</v>
      </c>
      <c r="J723" s="14" t="s">
        <v>47</v>
      </c>
      <c r="K723" s="14" t="s">
        <v>47</v>
      </c>
      <c r="L723" s="14" t="s">
        <v>47</v>
      </c>
      <c r="M723" s="1">
        <v>46122</v>
      </c>
      <c r="N723" s="1">
        <v>46122</v>
      </c>
      <c r="O723" s="1">
        <v>46122</v>
      </c>
      <c r="P723" s="14" t="s">
        <v>183</v>
      </c>
      <c r="Q723" s="14" t="s">
        <v>184</v>
      </c>
      <c r="R723">
        <v>2</v>
      </c>
      <c r="S723" t="b">
        <v>0</v>
      </c>
      <c r="T723" s="14" t="s">
        <v>47</v>
      </c>
      <c r="U723" s="14" t="s">
        <v>47</v>
      </c>
      <c r="V723" s="14" t="s">
        <v>47</v>
      </c>
      <c r="W723" s="14" t="s">
        <v>47</v>
      </c>
      <c r="X723" s="14" t="s">
        <v>51</v>
      </c>
      <c r="Y723" t="b">
        <v>0</v>
      </c>
      <c r="Z723" s="14" t="s">
        <v>47</v>
      </c>
      <c r="AA723" s="14" t="s">
        <v>47</v>
      </c>
      <c r="AB723" s="14" t="s">
        <v>47</v>
      </c>
      <c r="AC723" t="b">
        <v>1</v>
      </c>
      <c r="AD723" s="14" t="s">
        <v>52</v>
      </c>
      <c r="AE723" s="14" t="s">
        <v>4444</v>
      </c>
      <c r="AF723" s="14" t="s">
        <v>4442</v>
      </c>
      <c r="AG723" s="14" t="s">
        <v>3611</v>
      </c>
      <c r="AH723" s="14" t="s">
        <v>87</v>
      </c>
      <c r="AI723" s="2">
        <v>46160.901643518519</v>
      </c>
      <c r="AJ723" s="14" t="s">
        <v>47</v>
      </c>
      <c r="AK723" s="14" t="s">
        <v>47</v>
      </c>
      <c r="AL723" s="2">
        <v>46160.901643518519</v>
      </c>
      <c r="AM723" s="2">
        <v>46160.901643518519</v>
      </c>
    </row>
    <row r="724" spans="1:39" x14ac:dyDescent="0.3">
      <c r="A724" s="14" t="s">
        <v>4445</v>
      </c>
      <c r="B724" s="14" t="s">
        <v>4446</v>
      </c>
      <c r="C724" s="14" t="s">
        <v>41</v>
      </c>
      <c r="D724" s="14" t="s">
        <v>4447</v>
      </c>
      <c r="E724" s="14" t="s">
        <v>4448</v>
      </c>
      <c r="F724" s="14" t="s">
        <v>47</v>
      </c>
      <c r="G724" s="14" t="s">
        <v>47</v>
      </c>
      <c r="H724" s="14" t="s">
        <v>1761</v>
      </c>
      <c r="I724" s="14" t="s">
        <v>47</v>
      </c>
      <c r="J724" s="14" t="s">
        <v>47</v>
      </c>
      <c r="K724" s="14" t="s">
        <v>1128</v>
      </c>
      <c r="L724" s="14" t="s">
        <v>47</v>
      </c>
      <c r="M724" s="1">
        <v>46122</v>
      </c>
      <c r="N724" s="1">
        <v>46122</v>
      </c>
      <c r="O724" s="1">
        <v>46122</v>
      </c>
      <c r="P724" s="14" t="s">
        <v>465</v>
      </c>
      <c r="Q724" s="14" t="s">
        <v>371</v>
      </c>
      <c r="R724">
        <v>4</v>
      </c>
      <c r="S724" t="b">
        <v>1</v>
      </c>
      <c r="T724" s="14" t="s">
        <v>47</v>
      </c>
      <c r="U724" s="14" t="s">
        <v>47</v>
      </c>
      <c r="V724" s="14" t="s">
        <v>47</v>
      </c>
      <c r="W724" s="14" t="s">
        <v>47</v>
      </c>
      <c r="X724" s="14" t="s">
        <v>51</v>
      </c>
      <c r="Y724" t="b">
        <v>0</v>
      </c>
      <c r="Z724" s="14" t="s">
        <v>47</v>
      </c>
      <c r="AA724" s="14" t="s">
        <v>47</v>
      </c>
      <c r="AB724" s="14" t="s">
        <v>47</v>
      </c>
      <c r="AC724" t="b">
        <v>1</v>
      </c>
      <c r="AD724" s="14" t="s">
        <v>52</v>
      </c>
      <c r="AE724" s="14" t="s">
        <v>4449</v>
      </c>
      <c r="AF724" s="14" t="s">
        <v>4447</v>
      </c>
      <c r="AG724" s="14" t="s">
        <v>3611</v>
      </c>
      <c r="AH724" s="14" t="s">
        <v>87</v>
      </c>
      <c r="AI724" s="2">
        <v>46160.901643518519</v>
      </c>
      <c r="AJ724" s="14" t="s">
        <v>47</v>
      </c>
      <c r="AK724" s="14" t="s">
        <v>47</v>
      </c>
      <c r="AL724" s="2">
        <v>46160.901643518519</v>
      </c>
      <c r="AM724" s="2">
        <v>46160.901643518519</v>
      </c>
    </row>
    <row r="725" spans="1:39" x14ac:dyDescent="0.3">
      <c r="A725" s="14" t="s">
        <v>4450</v>
      </c>
      <c r="B725" s="14" t="s">
        <v>4451</v>
      </c>
      <c r="C725" s="14" t="s">
        <v>41</v>
      </c>
      <c r="D725" s="14" t="s">
        <v>4452</v>
      </c>
      <c r="E725" s="14" t="s">
        <v>4453</v>
      </c>
      <c r="F725" s="14" t="s">
        <v>47</v>
      </c>
      <c r="G725" s="14" t="s">
        <v>47</v>
      </c>
      <c r="H725" s="14" t="s">
        <v>1761</v>
      </c>
      <c r="I725" s="14" t="s">
        <v>47</v>
      </c>
      <c r="J725" s="14" t="s">
        <v>47</v>
      </c>
      <c r="K725" s="14" t="s">
        <v>1128</v>
      </c>
      <c r="L725" s="14" t="s">
        <v>47</v>
      </c>
      <c r="M725" s="1">
        <v>46122</v>
      </c>
      <c r="N725" s="1">
        <v>46122</v>
      </c>
      <c r="O725" s="1">
        <v>46122</v>
      </c>
      <c r="P725" s="14" t="s">
        <v>465</v>
      </c>
      <c r="Q725" s="14" t="s">
        <v>371</v>
      </c>
      <c r="R725">
        <v>4</v>
      </c>
      <c r="S725" t="b">
        <v>1</v>
      </c>
      <c r="T725" s="14" t="s">
        <v>47</v>
      </c>
      <c r="U725" s="14" t="s">
        <v>47</v>
      </c>
      <c r="V725" s="14" t="s">
        <v>47</v>
      </c>
      <c r="W725" s="14" t="s">
        <v>47</v>
      </c>
      <c r="X725" s="14" t="s">
        <v>51</v>
      </c>
      <c r="Y725" t="b">
        <v>0</v>
      </c>
      <c r="Z725" s="14" t="s">
        <v>47</v>
      </c>
      <c r="AA725" s="14" t="s">
        <v>47</v>
      </c>
      <c r="AB725" s="14" t="s">
        <v>47</v>
      </c>
      <c r="AC725" t="b">
        <v>1</v>
      </c>
      <c r="AD725" s="14" t="s">
        <v>52</v>
      </c>
      <c r="AE725" s="14" t="s">
        <v>4454</v>
      </c>
      <c r="AF725" s="14" t="s">
        <v>4452</v>
      </c>
      <c r="AG725" s="14" t="s">
        <v>3611</v>
      </c>
      <c r="AH725" s="14" t="s">
        <v>87</v>
      </c>
      <c r="AI725" s="2">
        <v>46160.901643518519</v>
      </c>
      <c r="AJ725" s="14" t="s">
        <v>47</v>
      </c>
      <c r="AK725" s="14" t="s">
        <v>47</v>
      </c>
      <c r="AL725" s="2">
        <v>46160.901643518519</v>
      </c>
      <c r="AM725" s="2">
        <v>46160.901643518519</v>
      </c>
    </row>
    <row r="726" spans="1:39" x14ac:dyDescent="0.3">
      <c r="A726" s="14" t="s">
        <v>4455</v>
      </c>
      <c r="B726" s="14" t="s">
        <v>4456</v>
      </c>
      <c r="C726" s="14" t="s">
        <v>41</v>
      </c>
      <c r="D726" s="14" t="s">
        <v>4457</v>
      </c>
      <c r="E726" s="14" t="s">
        <v>4458</v>
      </c>
      <c r="F726" s="14" t="s">
        <v>47</v>
      </c>
      <c r="G726" s="14" t="s">
        <v>47</v>
      </c>
      <c r="H726" s="14" t="s">
        <v>3101</v>
      </c>
      <c r="I726" s="14" t="s">
        <v>47</v>
      </c>
      <c r="J726" s="14" t="s">
        <v>47</v>
      </c>
      <c r="K726" s="14" t="s">
        <v>47</v>
      </c>
      <c r="L726" s="14" t="s">
        <v>47</v>
      </c>
      <c r="M726" s="1">
        <v>46122</v>
      </c>
      <c r="N726" s="1">
        <v>46122</v>
      </c>
      <c r="O726" s="1">
        <v>46122</v>
      </c>
      <c r="P726" s="14" t="s">
        <v>183</v>
      </c>
      <c r="Q726" s="14" t="s">
        <v>184</v>
      </c>
      <c r="R726">
        <v>2</v>
      </c>
      <c r="S726" t="b">
        <v>0</v>
      </c>
      <c r="T726" s="14" t="s">
        <v>47</v>
      </c>
      <c r="U726" s="14" t="s">
        <v>47</v>
      </c>
      <c r="V726" s="14" t="s">
        <v>47</v>
      </c>
      <c r="W726" s="14" t="s">
        <v>47</v>
      </c>
      <c r="X726" s="14" t="s">
        <v>51</v>
      </c>
      <c r="Y726" t="b">
        <v>0</v>
      </c>
      <c r="Z726" s="14" t="s">
        <v>47</v>
      </c>
      <c r="AA726" s="14" t="s">
        <v>47</v>
      </c>
      <c r="AB726" s="14" t="s">
        <v>47</v>
      </c>
      <c r="AC726" t="b">
        <v>1</v>
      </c>
      <c r="AD726" s="14" t="s">
        <v>52</v>
      </c>
      <c r="AE726" s="14" t="s">
        <v>4459</v>
      </c>
      <c r="AF726" s="14" t="s">
        <v>4457</v>
      </c>
      <c r="AG726" s="14" t="s">
        <v>3611</v>
      </c>
      <c r="AH726" s="14" t="s">
        <v>87</v>
      </c>
      <c r="AI726" s="2">
        <v>46160.901643518519</v>
      </c>
      <c r="AJ726" s="14" t="s">
        <v>47</v>
      </c>
      <c r="AK726" s="14" t="s">
        <v>47</v>
      </c>
      <c r="AL726" s="2">
        <v>46160.901643518519</v>
      </c>
      <c r="AM726" s="2">
        <v>46160.901643518519</v>
      </c>
    </row>
    <row r="727" spans="1:39" x14ac:dyDescent="0.3">
      <c r="A727" s="14" t="s">
        <v>4460</v>
      </c>
      <c r="B727" s="14" t="s">
        <v>4461</v>
      </c>
      <c r="C727" s="14" t="s">
        <v>41</v>
      </c>
      <c r="D727" s="14" t="s">
        <v>4462</v>
      </c>
      <c r="E727" s="14" t="s">
        <v>4463</v>
      </c>
      <c r="F727" s="14" t="s">
        <v>47</v>
      </c>
      <c r="G727" s="14" t="s">
        <v>47</v>
      </c>
      <c r="H727" s="14" t="s">
        <v>3507</v>
      </c>
      <c r="I727" s="14" t="s">
        <v>47</v>
      </c>
      <c r="J727" s="14" t="s">
        <v>47</v>
      </c>
      <c r="K727" s="14" t="s">
        <v>3508</v>
      </c>
      <c r="L727" s="14" t="s">
        <v>47</v>
      </c>
      <c r="M727" s="1">
        <v>46122</v>
      </c>
      <c r="N727" s="1">
        <v>46122</v>
      </c>
      <c r="O727" s="1">
        <v>46122</v>
      </c>
      <c r="P727" s="14" t="s">
        <v>465</v>
      </c>
      <c r="Q727" s="14" t="s">
        <v>371</v>
      </c>
      <c r="R727">
        <v>4</v>
      </c>
      <c r="S727" t="b">
        <v>1</v>
      </c>
      <c r="T727" s="14" t="s">
        <v>47</v>
      </c>
      <c r="U727" s="14" t="s">
        <v>47</v>
      </c>
      <c r="V727" s="14" t="s">
        <v>47</v>
      </c>
      <c r="W727" s="14" t="s">
        <v>47</v>
      </c>
      <c r="X727" s="14" t="s">
        <v>51</v>
      </c>
      <c r="Y727" t="b">
        <v>0</v>
      </c>
      <c r="Z727" s="14" t="s">
        <v>47</v>
      </c>
      <c r="AA727" s="14" t="s">
        <v>47</v>
      </c>
      <c r="AB727" s="14" t="s">
        <v>47</v>
      </c>
      <c r="AC727" t="b">
        <v>1</v>
      </c>
      <c r="AD727" s="14" t="s">
        <v>52</v>
      </c>
      <c r="AE727" s="14" t="s">
        <v>4464</v>
      </c>
      <c r="AF727" s="14" t="s">
        <v>4462</v>
      </c>
      <c r="AG727" s="14" t="s">
        <v>3611</v>
      </c>
      <c r="AH727" s="14" t="s">
        <v>87</v>
      </c>
      <c r="AI727" s="2">
        <v>46160.901643518519</v>
      </c>
      <c r="AJ727" s="14" t="s">
        <v>47</v>
      </c>
      <c r="AK727" s="14" t="s">
        <v>47</v>
      </c>
      <c r="AL727" s="2">
        <v>46160.901643518519</v>
      </c>
      <c r="AM727" s="2">
        <v>46160.901643518519</v>
      </c>
    </row>
    <row r="728" spans="1:39" x14ac:dyDescent="0.3">
      <c r="A728" s="14" t="s">
        <v>4465</v>
      </c>
      <c r="B728" s="14" t="s">
        <v>4466</v>
      </c>
      <c r="C728" s="14" t="s">
        <v>41</v>
      </c>
      <c r="D728" s="14" t="s">
        <v>4467</v>
      </c>
      <c r="E728" s="14" t="s">
        <v>4468</v>
      </c>
      <c r="F728" s="14" t="s">
        <v>47</v>
      </c>
      <c r="G728" s="14" t="s">
        <v>47</v>
      </c>
      <c r="H728" s="14" t="s">
        <v>3507</v>
      </c>
      <c r="I728" s="14" t="s">
        <v>47</v>
      </c>
      <c r="J728" s="14" t="s">
        <v>47</v>
      </c>
      <c r="K728" s="14" t="s">
        <v>3508</v>
      </c>
      <c r="L728" s="14" t="s">
        <v>47</v>
      </c>
      <c r="M728" s="1">
        <v>46122</v>
      </c>
      <c r="N728" s="1">
        <v>46122</v>
      </c>
      <c r="O728" s="1">
        <v>46122</v>
      </c>
      <c r="P728" s="14" t="s">
        <v>465</v>
      </c>
      <c r="Q728" s="14" t="s">
        <v>371</v>
      </c>
      <c r="R728">
        <v>4</v>
      </c>
      <c r="S728" t="b">
        <v>1</v>
      </c>
      <c r="T728" s="14" t="s">
        <v>47</v>
      </c>
      <c r="U728" s="14" t="s">
        <v>47</v>
      </c>
      <c r="V728" s="14" t="s">
        <v>47</v>
      </c>
      <c r="W728" s="14" t="s">
        <v>47</v>
      </c>
      <c r="X728" s="14" t="s">
        <v>51</v>
      </c>
      <c r="Y728" t="b">
        <v>0</v>
      </c>
      <c r="Z728" s="14" t="s">
        <v>47</v>
      </c>
      <c r="AA728" s="14" t="s">
        <v>47</v>
      </c>
      <c r="AB728" s="14" t="s">
        <v>47</v>
      </c>
      <c r="AC728" t="b">
        <v>1</v>
      </c>
      <c r="AD728" s="14" t="s">
        <v>52</v>
      </c>
      <c r="AE728" s="14" t="s">
        <v>4469</v>
      </c>
      <c r="AF728" s="14" t="s">
        <v>4467</v>
      </c>
      <c r="AG728" s="14" t="s">
        <v>3611</v>
      </c>
      <c r="AH728" s="14" t="s">
        <v>87</v>
      </c>
      <c r="AI728" s="2">
        <v>46160.901643518519</v>
      </c>
      <c r="AJ728" s="14" t="s">
        <v>47</v>
      </c>
      <c r="AK728" s="14" t="s">
        <v>47</v>
      </c>
      <c r="AL728" s="2">
        <v>46160.901643518519</v>
      </c>
      <c r="AM728" s="2">
        <v>46160.901643518519</v>
      </c>
    </row>
    <row r="729" spans="1:39" x14ac:dyDescent="0.3">
      <c r="A729" s="14" t="s">
        <v>4470</v>
      </c>
      <c r="B729" s="14" t="s">
        <v>4471</v>
      </c>
      <c r="C729" s="14" t="s">
        <v>41</v>
      </c>
      <c r="D729" s="14" t="s">
        <v>4472</v>
      </c>
      <c r="E729" s="14" t="s">
        <v>4473</v>
      </c>
      <c r="F729" s="14" t="s">
        <v>47</v>
      </c>
      <c r="G729" s="14" t="s">
        <v>47</v>
      </c>
      <c r="H729" s="14" t="s">
        <v>3507</v>
      </c>
      <c r="I729" s="14" t="s">
        <v>47</v>
      </c>
      <c r="J729" s="14" t="s">
        <v>47</v>
      </c>
      <c r="K729" s="14" t="s">
        <v>3508</v>
      </c>
      <c r="L729" s="14" t="s">
        <v>47</v>
      </c>
      <c r="M729" s="1">
        <v>46122</v>
      </c>
      <c r="N729" s="1">
        <v>46122</v>
      </c>
      <c r="O729" s="1">
        <v>46122</v>
      </c>
      <c r="P729" s="14" t="s">
        <v>465</v>
      </c>
      <c r="Q729" s="14" t="s">
        <v>371</v>
      </c>
      <c r="R729">
        <v>4</v>
      </c>
      <c r="S729" t="b">
        <v>1</v>
      </c>
      <c r="T729" s="14" t="s">
        <v>47</v>
      </c>
      <c r="U729" s="14" t="s">
        <v>47</v>
      </c>
      <c r="V729" s="14" t="s">
        <v>47</v>
      </c>
      <c r="W729" s="14" t="s">
        <v>47</v>
      </c>
      <c r="X729" s="14" t="s">
        <v>51</v>
      </c>
      <c r="Y729" t="b">
        <v>0</v>
      </c>
      <c r="Z729" s="14" t="s">
        <v>47</v>
      </c>
      <c r="AA729" s="14" t="s">
        <v>47</v>
      </c>
      <c r="AB729" s="14" t="s">
        <v>47</v>
      </c>
      <c r="AC729" t="b">
        <v>1</v>
      </c>
      <c r="AD729" s="14" t="s">
        <v>52</v>
      </c>
      <c r="AE729" s="14" t="s">
        <v>4474</v>
      </c>
      <c r="AF729" s="14" t="s">
        <v>4472</v>
      </c>
      <c r="AG729" s="14" t="s">
        <v>3611</v>
      </c>
      <c r="AH729" s="14" t="s">
        <v>87</v>
      </c>
      <c r="AI729" s="2">
        <v>46160.901655092595</v>
      </c>
      <c r="AJ729" s="14" t="s">
        <v>47</v>
      </c>
      <c r="AK729" s="14" t="s">
        <v>47</v>
      </c>
      <c r="AL729" s="2">
        <v>46160.901655092595</v>
      </c>
      <c r="AM729" s="2">
        <v>46160.901655092595</v>
      </c>
    </row>
    <row r="730" spans="1:39" x14ac:dyDescent="0.3">
      <c r="A730" s="14" t="s">
        <v>4475</v>
      </c>
      <c r="B730" s="14" t="s">
        <v>4476</v>
      </c>
      <c r="C730" s="14" t="s">
        <v>41</v>
      </c>
      <c r="D730" s="14" t="s">
        <v>4477</v>
      </c>
      <c r="E730" s="14" t="s">
        <v>4478</v>
      </c>
      <c r="F730" s="14" t="s">
        <v>47</v>
      </c>
      <c r="G730" s="14" t="s">
        <v>47</v>
      </c>
      <c r="H730" s="14" t="s">
        <v>1761</v>
      </c>
      <c r="I730" s="14" t="s">
        <v>47</v>
      </c>
      <c r="J730" s="14" t="s">
        <v>47</v>
      </c>
      <c r="K730" s="14" t="s">
        <v>1128</v>
      </c>
      <c r="L730" s="14" t="s">
        <v>47</v>
      </c>
      <c r="M730" s="1">
        <v>46122</v>
      </c>
      <c r="N730" s="1">
        <v>46122</v>
      </c>
      <c r="O730" s="1">
        <v>46122</v>
      </c>
      <c r="P730" s="14" t="s">
        <v>465</v>
      </c>
      <c r="Q730" s="14" t="s">
        <v>371</v>
      </c>
      <c r="R730">
        <v>4</v>
      </c>
      <c r="S730" t="b">
        <v>1</v>
      </c>
      <c r="T730" s="14" t="s">
        <v>47</v>
      </c>
      <c r="U730" s="14" t="s">
        <v>47</v>
      </c>
      <c r="V730" s="14" t="s">
        <v>47</v>
      </c>
      <c r="W730" s="14" t="s">
        <v>47</v>
      </c>
      <c r="X730" s="14" t="s">
        <v>51</v>
      </c>
      <c r="Y730" t="b">
        <v>0</v>
      </c>
      <c r="Z730" s="14" t="s">
        <v>47</v>
      </c>
      <c r="AA730" s="14" t="s">
        <v>47</v>
      </c>
      <c r="AB730" s="14" t="s">
        <v>47</v>
      </c>
      <c r="AC730" t="b">
        <v>1</v>
      </c>
      <c r="AD730" s="14" t="s">
        <v>52</v>
      </c>
      <c r="AE730" s="14" t="s">
        <v>4479</v>
      </c>
      <c r="AF730" s="14" t="s">
        <v>4477</v>
      </c>
      <c r="AG730" s="14" t="s">
        <v>3611</v>
      </c>
      <c r="AH730" s="14" t="s">
        <v>87</v>
      </c>
      <c r="AI730" s="2">
        <v>46160.901655092595</v>
      </c>
      <c r="AJ730" s="14" t="s">
        <v>47</v>
      </c>
      <c r="AK730" s="14" t="s">
        <v>47</v>
      </c>
      <c r="AL730" s="2">
        <v>46160.901655092595</v>
      </c>
      <c r="AM730" s="2">
        <v>46160.901655092595</v>
      </c>
    </row>
    <row r="731" spans="1:39" x14ac:dyDescent="0.3">
      <c r="A731" s="14" t="s">
        <v>4480</v>
      </c>
      <c r="B731" s="14" t="s">
        <v>4481</v>
      </c>
      <c r="C731" s="14" t="s">
        <v>41</v>
      </c>
      <c r="D731" s="14" t="s">
        <v>4482</v>
      </c>
      <c r="E731" s="14" t="s">
        <v>4483</v>
      </c>
      <c r="F731" s="14" t="s">
        <v>47</v>
      </c>
      <c r="G731" s="14" t="s">
        <v>47</v>
      </c>
      <c r="H731" s="14" t="s">
        <v>1761</v>
      </c>
      <c r="I731" s="14" t="s">
        <v>47</v>
      </c>
      <c r="J731" s="14" t="s">
        <v>47</v>
      </c>
      <c r="K731" s="14" t="s">
        <v>1128</v>
      </c>
      <c r="L731" s="14" t="s">
        <v>47</v>
      </c>
      <c r="M731" s="1">
        <v>46122</v>
      </c>
      <c r="N731" s="1">
        <v>46122</v>
      </c>
      <c r="O731" s="1">
        <v>46122</v>
      </c>
      <c r="P731" s="14" t="s">
        <v>465</v>
      </c>
      <c r="Q731" s="14" t="s">
        <v>371</v>
      </c>
      <c r="R731">
        <v>4</v>
      </c>
      <c r="S731" t="b">
        <v>1</v>
      </c>
      <c r="T731" s="14" t="s">
        <v>47</v>
      </c>
      <c r="U731" s="14" t="s">
        <v>47</v>
      </c>
      <c r="V731" s="14" t="s">
        <v>47</v>
      </c>
      <c r="W731" s="14" t="s">
        <v>47</v>
      </c>
      <c r="X731" s="14" t="s">
        <v>51</v>
      </c>
      <c r="Y731" t="b">
        <v>0</v>
      </c>
      <c r="Z731" s="14" t="s">
        <v>47</v>
      </c>
      <c r="AA731" s="14" t="s">
        <v>47</v>
      </c>
      <c r="AB731" s="14" t="s">
        <v>47</v>
      </c>
      <c r="AC731" t="b">
        <v>1</v>
      </c>
      <c r="AD731" s="14" t="s">
        <v>52</v>
      </c>
      <c r="AE731" s="14" t="s">
        <v>4484</v>
      </c>
      <c r="AF731" s="14" t="s">
        <v>4482</v>
      </c>
      <c r="AG731" s="14" t="s">
        <v>3611</v>
      </c>
      <c r="AH731" s="14" t="s">
        <v>87</v>
      </c>
      <c r="AI731" s="2">
        <v>46160.901655092595</v>
      </c>
      <c r="AJ731" s="14" t="s">
        <v>47</v>
      </c>
      <c r="AK731" s="14" t="s">
        <v>47</v>
      </c>
      <c r="AL731" s="2">
        <v>46160.901655092595</v>
      </c>
      <c r="AM731" s="2">
        <v>46160.901655092595</v>
      </c>
    </row>
    <row r="732" spans="1:39" x14ac:dyDescent="0.3">
      <c r="A732" s="14" t="s">
        <v>4485</v>
      </c>
      <c r="B732" s="14" t="s">
        <v>4486</v>
      </c>
      <c r="C732" s="14" t="s">
        <v>41</v>
      </c>
      <c r="D732" s="14" t="s">
        <v>4487</v>
      </c>
      <c r="E732" s="14" t="s">
        <v>4488</v>
      </c>
      <c r="F732" s="14" t="s">
        <v>47</v>
      </c>
      <c r="G732" s="14" t="s">
        <v>47</v>
      </c>
      <c r="H732" s="14" t="s">
        <v>1761</v>
      </c>
      <c r="I732" s="14" t="s">
        <v>47</v>
      </c>
      <c r="J732" s="14" t="s">
        <v>47</v>
      </c>
      <c r="K732" s="14" t="s">
        <v>1128</v>
      </c>
      <c r="L732" s="14" t="s">
        <v>47</v>
      </c>
      <c r="M732" s="1">
        <v>46122</v>
      </c>
      <c r="N732" s="1">
        <v>46122</v>
      </c>
      <c r="O732" s="1">
        <v>46122</v>
      </c>
      <c r="P732" s="14" t="s">
        <v>465</v>
      </c>
      <c r="Q732" s="14" t="s">
        <v>371</v>
      </c>
      <c r="R732">
        <v>4</v>
      </c>
      <c r="S732" t="b">
        <v>1</v>
      </c>
      <c r="T732" s="14" t="s">
        <v>47</v>
      </c>
      <c r="U732" s="14" t="s">
        <v>47</v>
      </c>
      <c r="V732" s="14" t="s">
        <v>47</v>
      </c>
      <c r="W732" s="14" t="s">
        <v>47</v>
      </c>
      <c r="X732" s="14" t="s">
        <v>51</v>
      </c>
      <c r="Y732" t="b">
        <v>0</v>
      </c>
      <c r="Z732" s="14" t="s">
        <v>47</v>
      </c>
      <c r="AA732" s="14" t="s">
        <v>47</v>
      </c>
      <c r="AB732" s="14" t="s">
        <v>47</v>
      </c>
      <c r="AC732" t="b">
        <v>1</v>
      </c>
      <c r="AD732" s="14" t="s">
        <v>52</v>
      </c>
      <c r="AE732" s="14" t="s">
        <v>4489</v>
      </c>
      <c r="AF732" s="14" t="s">
        <v>4487</v>
      </c>
      <c r="AG732" s="14" t="s">
        <v>3611</v>
      </c>
      <c r="AH732" s="14" t="s">
        <v>87</v>
      </c>
      <c r="AI732" s="2">
        <v>46160.901655092595</v>
      </c>
      <c r="AJ732" s="14" t="s">
        <v>47</v>
      </c>
      <c r="AK732" s="14" t="s">
        <v>47</v>
      </c>
      <c r="AL732" s="2">
        <v>46160.901655092595</v>
      </c>
      <c r="AM732" s="2">
        <v>46160.901655092595</v>
      </c>
    </row>
    <row r="733" spans="1:39" x14ac:dyDescent="0.3">
      <c r="A733" s="14" t="s">
        <v>4490</v>
      </c>
      <c r="B733" s="14" t="s">
        <v>4491</v>
      </c>
      <c r="C733" s="14" t="s">
        <v>41</v>
      </c>
      <c r="D733" s="14" t="s">
        <v>4492</v>
      </c>
      <c r="E733" s="14" t="s">
        <v>4493</v>
      </c>
      <c r="F733" s="14" t="s">
        <v>47</v>
      </c>
      <c r="G733" s="14" t="s">
        <v>47</v>
      </c>
      <c r="H733" s="14" t="s">
        <v>3507</v>
      </c>
      <c r="I733" s="14" t="s">
        <v>47</v>
      </c>
      <c r="J733" s="14" t="s">
        <v>47</v>
      </c>
      <c r="K733" s="14" t="s">
        <v>3508</v>
      </c>
      <c r="L733" s="14" t="s">
        <v>47</v>
      </c>
      <c r="M733" s="1">
        <v>46122</v>
      </c>
      <c r="N733" s="1">
        <v>46122</v>
      </c>
      <c r="O733" s="1">
        <v>46122</v>
      </c>
      <c r="P733" s="14" t="s">
        <v>465</v>
      </c>
      <c r="Q733" s="14" t="s">
        <v>371</v>
      </c>
      <c r="R733">
        <v>4</v>
      </c>
      <c r="S733" t="b">
        <v>1</v>
      </c>
      <c r="T733" s="14" t="s">
        <v>47</v>
      </c>
      <c r="U733" s="14" t="s">
        <v>47</v>
      </c>
      <c r="V733" s="14" t="s">
        <v>47</v>
      </c>
      <c r="W733" s="14" t="s">
        <v>47</v>
      </c>
      <c r="X733" s="14" t="s">
        <v>51</v>
      </c>
      <c r="Y733" t="b">
        <v>0</v>
      </c>
      <c r="Z733" s="14" t="s">
        <v>47</v>
      </c>
      <c r="AA733" s="14" t="s">
        <v>47</v>
      </c>
      <c r="AB733" s="14" t="s">
        <v>47</v>
      </c>
      <c r="AC733" t="b">
        <v>1</v>
      </c>
      <c r="AD733" s="14" t="s">
        <v>52</v>
      </c>
      <c r="AE733" s="14" t="s">
        <v>4494</v>
      </c>
      <c r="AF733" s="14" t="s">
        <v>4492</v>
      </c>
      <c r="AG733" s="14" t="s">
        <v>3611</v>
      </c>
      <c r="AH733" s="14" t="s">
        <v>87</v>
      </c>
      <c r="AI733" s="2">
        <v>46160.901655092595</v>
      </c>
      <c r="AJ733" s="14" t="s">
        <v>47</v>
      </c>
      <c r="AK733" s="14" t="s">
        <v>47</v>
      </c>
      <c r="AL733" s="2">
        <v>46160.901655092595</v>
      </c>
      <c r="AM733" s="2">
        <v>46160.901655092595</v>
      </c>
    </row>
    <row r="734" spans="1:39" x14ac:dyDescent="0.3">
      <c r="A734" s="14" t="s">
        <v>4495</v>
      </c>
      <c r="B734" s="14" t="s">
        <v>4496</v>
      </c>
      <c r="C734" s="14" t="s">
        <v>41</v>
      </c>
      <c r="D734" s="14" t="s">
        <v>4497</v>
      </c>
      <c r="E734" s="14" t="s">
        <v>4498</v>
      </c>
      <c r="F734" s="14" t="s">
        <v>47</v>
      </c>
      <c r="G734" s="14" t="s">
        <v>47</v>
      </c>
      <c r="H734" s="14" t="s">
        <v>1761</v>
      </c>
      <c r="I734" s="14" t="s">
        <v>47</v>
      </c>
      <c r="J734" s="14" t="s">
        <v>47</v>
      </c>
      <c r="K734" s="14" t="s">
        <v>1128</v>
      </c>
      <c r="L734" s="14" t="s">
        <v>47</v>
      </c>
      <c r="M734" s="1">
        <v>46122</v>
      </c>
      <c r="N734" s="1">
        <v>46122</v>
      </c>
      <c r="O734" s="1">
        <v>46122</v>
      </c>
      <c r="P734" s="14" t="s">
        <v>465</v>
      </c>
      <c r="Q734" s="14" t="s">
        <v>371</v>
      </c>
      <c r="R734">
        <v>4</v>
      </c>
      <c r="S734" t="b">
        <v>1</v>
      </c>
      <c r="T734" s="14" t="s">
        <v>47</v>
      </c>
      <c r="U734" s="14" t="s">
        <v>47</v>
      </c>
      <c r="V734" s="14" t="s">
        <v>47</v>
      </c>
      <c r="W734" s="14" t="s">
        <v>47</v>
      </c>
      <c r="X734" s="14" t="s">
        <v>51</v>
      </c>
      <c r="Y734" t="b">
        <v>0</v>
      </c>
      <c r="Z734" s="14" t="s">
        <v>47</v>
      </c>
      <c r="AA734" s="14" t="s">
        <v>47</v>
      </c>
      <c r="AB734" s="14" t="s">
        <v>47</v>
      </c>
      <c r="AC734" t="b">
        <v>1</v>
      </c>
      <c r="AD734" s="14" t="s">
        <v>52</v>
      </c>
      <c r="AE734" s="14" t="s">
        <v>4499</v>
      </c>
      <c r="AF734" s="14" t="s">
        <v>4497</v>
      </c>
      <c r="AG734" s="14" t="s">
        <v>3611</v>
      </c>
      <c r="AH734" s="14" t="s">
        <v>87</v>
      </c>
      <c r="AI734" s="2">
        <v>46160.901655092595</v>
      </c>
      <c r="AJ734" s="14" t="s">
        <v>47</v>
      </c>
      <c r="AK734" s="14" t="s">
        <v>47</v>
      </c>
      <c r="AL734" s="2">
        <v>46160.901655092595</v>
      </c>
      <c r="AM734" s="2">
        <v>46160.901655092595</v>
      </c>
    </row>
    <row r="735" spans="1:39" x14ac:dyDescent="0.3">
      <c r="A735" s="14" t="s">
        <v>4500</v>
      </c>
      <c r="B735" s="14" t="s">
        <v>4501</v>
      </c>
      <c r="C735" s="14" t="s">
        <v>41</v>
      </c>
      <c r="D735" s="14" t="s">
        <v>4502</v>
      </c>
      <c r="E735" s="14" t="s">
        <v>4503</v>
      </c>
      <c r="F735" s="14" t="s">
        <v>47</v>
      </c>
      <c r="G735" s="14" t="s">
        <v>47</v>
      </c>
      <c r="H735" s="14" t="s">
        <v>3507</v>
      </c>
      <c r="I735" s="14" t="s">
        <v>47</v>
      </c>
      <c r="J735" s="14" t="s">
        <v>47</v>
      </c>
      <c r="K735" s="14" t="s">
        <v>3508</v>
      </c>
      <c r="L735" s="14" t="s">
        <v>47</v>
      </c>
      <c r="M735" s="1">
        <v>46122</v>
      </c>
      <c r="N735" s="1">
        <v>46122</v>
      </c>
      <c r="O735" s="1">
        <v>46122</v>
      </c>
      <c r="P735" s="14" t="s">
        <v>465</v>
      </c>
      <c r="Q735" s="14" t="s">
        <v>371</v>
      </c>
      <c r="R735">
        <v>4</v>
      </c>
      <c r="S735" t="b">
        <v>1</v>
      </c>
      <c r="T735" s="14" t="s">
        <v>47</v>
      </c>
      <c r="U735" s="14" t="s">
        <v>47</v>
      </c>
      <c r="V735" s="14" t="s">
        <v>47</v>
      </c>
      <c r="W735" s="14" t="s">
        <v>47</v>
      </c>
      <c r="X735" s="14" t="s">
        <v>51</v>
      </c>
      <c r="Y735" t="b">
        <v>0</v>
      </c>
      <c r="Z735" s="14" t="s">
        <v>47</v>
      </c>
      <c r="AA735" s="14" t="s">
        <v>47</v>
      </c>
      <c r="AB735" s="14" t="s">
        <v>47</v>
      </c>
      <c r="AC735" t="b">
        <v>1</v>
      </c>
      <c r="AD735" s="14" t="s">
        <v>52</v>
      </c>
      <c r="AE735" s="14" t="s">
        <v>4504</v>
      </c>
      <c r="AF735" s="14" t="s">
        <v>4502</v>
      </c>
      <c r="AG735" s="14" t="s">
        <v>3611</v>
      </c>
      <c r="AH735" s="14" t="s">
        <v>87</v>
      </c>
      <c r="AI735" s="2">
        <v>46160.901655092595</v>
      </c>
      <c r="AJ735" s="14" t="s">
        <v>47</v>
      </c>
      <c r="AK735" s="14" t="s">
        <v>47</v>
      </c>
      <c r="AL735" s="2">
        <v>46160.901655092595</v>
      </c>
      <c r="AM735" s="2">
        <v>46160.901655092595</v>
      </c>
    </row>
    <row r="736" spans="1:39" x14ac:dyDescent="0.3">
      <c r="A736" s="14" t="s">
        <v>4505</v>
      </c>
      <c r="B736" s="14" t="s">
        <v>4506</v>
      </c>
      <c r="C736" s="14" t="s">
        <v>41</v>
      </c>
      <c r="D736" s="14" t="s">
        <v>4507</v>
      </c>
      <c r="E736" s="14" t="s">
        <v>4508</v>
      </c>
      <c r="F736" s="14" t="s">
        <v>47</v>
      </c>
      <c r="G736" s="14" t="s">
        <v>47</v>
      </c>
      <c r="H736" s="14" t="s">
        <v>1761</v>
      </c>
      <c r="I736" s="14" t="s">
        <v>47</v>
      </c>
      <c r="J736" s="14" t="s">
        <v>47</v>
      </c>
      <c r="K736" s="14" t="s">
        <v>1128</v>
      </c>
      <c r="L736" s="14" t="s">
        <v>47</v>
      </c>
      <c r="M736" s="1">
        <v>46122</v>
      </c>
      <c r="N736" s="1">
        <v>46122</v>
      </c>
      <c r="O736" s="1">
        <v>46122</v>
      </c>
      <c r="P736" s="14" t="s">
        <v>465</v>
      </c>
      <c r="Q736" s="14" t="s">
        <v>371</v>
      </c>
      <c r="R736">
        <v>4</v>
      </c>
      <c r="S736" t="b">
        <v>1</v>
      </c>
      <c r="T736" s="14" t="s">
        <v>47</v>
      </c>
      <c r="U736" s="14" t="s">
        <v>47</v>
      </c>
      <c r="V736" s="14" t="s">
        <v>47</v>
      </c>
      <c r="W736" s="14" t="s">
        <v>47</v>
      </c>
      <c r="X736" s="14" t="s">
        <v>51</v>
      </c>
      <c r="Y736" t="b">
        <v>0</v>
      </c>
      <c r="Z736" s="14" t="s">
        <v>47</v>
      </c>
      <c r="AA736" s="14" t="s">
        <v>47</v>
      </c>
      <c r="AB736" s="14" t="s">
        <v>47</v>
      </c>
      <c r="AC736" t="b">
        <v>1</v>
      </c>
      <c r="AD736" s="14" t="s">
        <v>52</v>
      </c>
      <c r="AE736" s="14" t="s">
        <v>4509</v>
      </c>
      <c r="AF736" s="14" t="s">
        <v>4507</v>
      </c>
      <c r="AG736" s="14" t="s">
        <v>3611</v>
      </c>
      <c r="AH736" s="14" t="s">
        <v>87</v>
      </c>
      <c r="AI736" s="2">
        <v>46160.901655092595</v>
      </c>
      <c r="AJ736" s="14" t="s">
        <v>47</v>
      </c>
      <c r="AK736" s="14" t="s">
        <v>47</v>
      </c>
      <c r="AL736" s="2">
        <v>46160.901655092595</v>
      </c>
      <c r="AM736" s="2">
        <v>46160.901655092595</v>
      </c>
    </row>
    <row r="737" spans="1:39" x14ac:dyDescent="0.3">
      <c r="A737" s="14" t="s">
        <v>4510</v>
      </c>
      <c r="B737" s="14" t="s">
        <v>4511</v>
      </c>
      <c r="C737" s="14" t="s">
        <v>41</v>
      </c>
      <c r="D737" s="14" t="s">
        <v>4512</v>
      </c>
      <c r="E737" s="14" t="s">
        <v>4513</v>
      </c>
      <c r="F737" s="14" t="s">
        <v>47</v>
      </c>
      <c r="G737" s="14" t="s">
        <v>47</v>
      </c>
      <c r="H737" s="14" t="s">
        <v>1761</v>
      </c>
      <c r="I737" s="14" t="s">
        <v>47</v>
      </c>
      <c r="J737" s="14" t="s">
        <v>47</v>
      </c>
      <c r="K737" s="14" t="s">
        <v>1128</v>
      </c>
      <c r="L737" s="14" t="s">
        <v>47</v>
      </c>
      <c r="M737" s="1">
        <v>46122</v>
      </c>
      <c r="N737" s="1">
        <v>46122</v>
      </c>
      <c r="O737" s="1">
        <v>46122</v>
      </c>
      <c r="P737" s="14" t="s">
        <v>465</v>
      </c>
      <c r="Q737" s="14" t="s">
        <v>371</v>
      </c>
      <c r="R737">
        <v>4</v>
      </c>
      <c r="S737" t="b">
        <v>1</v>
      </c>
      <c r="T737" s="14" t="s">
        <v>47</v>
      </c>
      <c r="U737" s="14" t="s">
        <v>47</v>
      </c>
      <c r="V737" s="14" t="s">
        <v>47</v>
      </c>
      <c r="W737" s="14" t="s">
        <v>47</v>
      </c>
      <c r="X737" s="14" t="s">
        <v>51</v>
      </c>
      <c r="Y737" t="b">
        <v>0</v>
      </c>
      <c r="Z737" s="14" t="s">
        <v>47</v>
      </c>
      <c r="AA737" s="14" t="s">
        <v>47</v>
      </c>
      <c r="AB737" s="14" t="s">
        <v>47</v>
      </c>
      <c r="AC737" t="b">
        <v>1</v>
      </c>
      <c r="AD737" s="14" t="s">
        <v>52</v>
      </c>
      <c r="AE737" s="14" t="s">
        <v>4514</v>
      </c>
      <c r="AF737" s="14" t="s">
        <v>4512</v>
      </c>
      <c r="AG737" s="14" t="s">
        <v>3611</v>
      </c>
      <c r="AH737" s="14" t="s">
        <v>87</v>
      </c>
      <c r="AI737" s="2">
        <v>46160.901655092595</v>
      </c>
      <c r="AJ737" s="14" t="s">
        <v>47</v>
      </c>
      <c r="AK737" s="14" t="s">
        <v>47</v>
      </c>
      <c r="AL737" s="2">
        <v>46160.901655092595</v>
      </c>
      <c r="AM737" s="2">
        <v>46160.901655092595</v>
      </c>
    </row>
    <row r="738" spans="1:39" x14ac:dyDescent="0.3">
      <c r="A738" s="14" t="s">
        <v>4515</v>
      </c>
      <c r="B738" s="14" t="s">
        <v>4516</v>
      </c>
      <c r="C738" s="14" t="s">
        <v>41</v>
      </c>
      <c r="D738" s="14" t="s">
        <v>4517</v>
      </c>
      <c r="E738" s="14" t="s">
        <v>4518</v>
      </c>
      <c r="F738" s="14" t="s">
        <v>47</v>
      </c>
      <c r="G738" s="14" t="s">
        <v>47</v>
      </c>
      <c r="H738" s="14" t="s">
        <v>3507</v>
      </c>
      <c r="I738" s="14" t="s">
        <v>47</v>
      </c>
      <c r="J738" s="14" t="s">
        <v>47</v>
      </c>
      <c r="K738" s="14" t="s">
        <v>3508</v>
      </c>
      <c r="L738" s="14" t="s">
        <v>47</v>
      </c>
      <c r="M738" s="1">
        <v>46122</v>
      </c>
      <c r="N738" s="1">
        <v>46122</v>
      </c>
      <c r="O738" s="1">
        <v>46122</v>
      </c>
      <c r="P738" s="14" t="s">
        <v>465</v>
      </c>
      <c r="Q738" s="14" t="s">
        <v>371</v>
      </c>
      <c r="R738">
        <v>4</v>
      </c>
      <c r="S738" t="b">
        <v>1</v>
      </c>
      <c r="T738" s="14" t="s">
        <v>47</v>
      </c>
      <c r="U738" s="14" t="s">
        <v>47</v>
      </c>
      <c r="V738" s="14" t="s">
        <v>47</v>
      </c>
      <c r="W738" s="14" t="s">
        <v>47</v>
      </c>
      <c r="X738" s="14" t="s">
        <v>51</v>
      </c>
      <c r="Y738" t="b">
        <v>0</v>
      </c>
      <c r="Z738" s="14" t="s">
        <v>47</v>
      </c>
      <c r="AA738" s="14" t="s">
        <v>47</v>
      </c>
      <c r="AB738" s="14" t="s">
        <v>47</v>
      </c>
      <c r="AC738" t="b">
        <v>1</v>
      </c>
      <c r="AD738" s="14" t="s">
        <v>52</v>
      </c>
      <c r="AE738" s="14" t="s">
        <v>4519</v>
      </c>
      <c r="AF738" s="14" t="s">
        <v>4517</v>
      </c>
      <c r="AG738" s="14" t="s">
        <v>3611</v>
      </c>
      <c r="AH738" s="14" t="s">
        <v>87</v>
      </c>
      <c r="AI738" s="2">
        <v>46160.901655092595</v>
      </c>
      <c r="AJ738" s="14" t="s">
        <v>47</v>
      </c>
      <c r="AK738" s="14" t="s">
        <v>47</v>
      </c>
      <c r="AL738" s="2">
        <v>46160.901655092595</v>
      </c>
      <c r="AM738" s="2">
        <v>46160.901655092595</v>
      </c>
    </row>
    <row r="739" spans="1:39" x14ac:dyDescent="0.3">
      <c r="A739" s="14" t="s">
        <v>4520</v>
      </c>
      <c r="B739" s="14" t="s">
        <v>4521</v>
      </c>
      <c r="C739" s="14" t="s">
        <v>41</v>
      </c>
      <c r="D739" s="14" t="s">
        <v>4522</v>
      </c>
      <c r="E739" s="14" t="s">
        <v>4523</v>
      </c>
      <c r="F739" s="14" t="s">
        <v>47</v>
      </c>
      <c r="G739" s="14" t="s">
        <v>47</v>
      </c>
      <c r="H739" s="14" t="s">
        <v>3507</v>
      </c>
      <c r="I739" s="14" t="s">
        <v>47</v>
      </c>
      <c r="J739" s="14" t="s">
        <v>47</v>
      </c>
      <c r="K739" s="14" t="s">
        <v>3508</v>
      </c>
      <c r="L739" s="14" t="s">
        <v>47</v>
      </c>
      <c r="M739" s="1">
        <v>46122</v>
      </c>
      <c r="N739" s="1">
        <v>46122</v>
      </c>
      <c r="O739" s="1">
        <v>46122</v>
      </c>
      <c r="P739" s="14" t="s">
        <v>465</v>
      </c>
      <c r="Q739" s="14" t="s">
        <v>371</v>
      </c>
      <c r="R739">
        <v>4</v>
      </c>
      <c r="S739" t="b">
        <v>1</v>
      </c>
      <c r="T739" s="14" t="s">
        <v>47</v>
      </c>
      <c r="U739" s="14" t="s">
        <v>47</v>
      </c>
      <c r="V739" s="14" t="s">
        <v>47</v>
      </c>
      <c r="W739" s="14" t="s">
        <v>47</v>
      </c>
      <c r="X739" s="14" t="s">
        <v>51</v>
      </c>
      <c r="Y739" t="b">
        <v>0</v>
      </c>
      <c r="Z739" s="14" t="s">
        <v>47</v>
      </c>
      <c r="AA739" s="14" t="s">
        <v>47</v>
      </c>
      <c r="AB739" s="14" t="s">
        <v>47</v>
      </c>
      <c r="AC739" t="b">
        <v>1</v>
      </c>
      <c r="AD739" s="14" t="s">
        <v>52</v>
      </c>
      <c r="AE739" s="14" t="s">
        <v>4524</v>
      </c>
      <c r="AF739" s="14" t="s">
        <v>4522</v>
      </c>
      <c r="AG739" s="14" t="s">
        <v>3611</v>
      </c>
      <c r="AH739" s="14" t="s">
        <v>87</v>
      </c>
      <c r="AI739" s="2">
        <v>46160.901655092595</v>
      </c>
      <c r="AJ739" s="14" t="s">
        <v>47</v>
      </c>
      <c r="AK739" s="14" t="s">
        <v>47</v>
      </c>
      <c r="AL739" s="2">
        <v>46160.901655092595</v>
      </c>
      <c r="AM739" s="2">
        <v>46160.901655092595</v>
      </c>
    </row>
    <row r="740" spans="1:39" x14ac:dyDescent="0.3">
      <c r="A740" s="14" t="s">
        <v>4525</v>
      </c>
      <c r="B740" s="14" t="s">
        <v>4526</v>
      </c>
      <c r="C740" s="14" t="s">
        <v>41</v>
      </c>
      <c r="D740" s="14" t="s">
        <v>4527</v>
      </c>
      <c r="E740" s="14" t="s">
        <v>4528</v>
      </c>
      <c r="F740" s="14" t="s">
        <v>47</v>
      </c>
      <c r="G740" s="14" t="s">
        <v>47</v>
      </c>
      <c r="H740" s="14" t="s">
        <v>1761</v>
      </c>
      <c r="I740" s="14" t="s">
        <v>47</v>
      </c>
      <c r="J740" s="14" t="s">
        <v>47</v>
      </c>
      <c r="K740" s="14" t="s">
        <v>1128</v>
      </c>
      <c r="L740" s="14" t="s">
        <v>47</v>
      </c>
      <c r="M740" s="1">
        <v>46122</v>
      </c>
      <c r="N740" s="1">
        <v>46122</v>
      </c>
      <c r="O740" s="1">
        <v>46122</v>
      </c>
      <c r="P740" s="14" t="s">
        <v>465</v>
      </c>
      <c r="Q740" s="14" t="s">
        <v>371</v>
      </c>
      <c r="R740">
        <v>4</v>
      </c>
      <c r="S740" t="b">
        <v>1</v>
      </c>
      <c r="T740" s="14" t="s">
        <v>47</v>
      </c>
      <c r="U740" s="14" t="s">
        <v>47</v>
      </c>
      <c r="V740" s="14" t="s">
        <v>47</v>
      </c>
      <c r="W740" s="14" t="s">
        <v>47</v>
      </c>
      <c r="X740" s="14" t="s">
        <v>51</v>
      </c>
      <c r="Y740" t="b">
        <v>0</v>
      </c>
      <c r="Z740" s="14" t="s">
        <v>47</v>
      </c>
      <c r="AA740" s="14" t="s">
        <v>47</v>
      </c>
      <c r="AB740" s="14" t="s">
        <v>47</v>
      </c>
      <c r="AC740" t="b">
        <v>1</v>
      </c>
      <c r="AD740" s="14" t="s">
        <v>52</v>
      </c>
      <c r="AE740" s="14" t="s">
        <v>4529</v>
      </c>
      <c r="AF740" s="14" t="s">
        <v>4527</v>
      </c>
      <c r="AG740" s="14" t="s">
        <v>3611</v>
      </c>
      <c r="AH740" s="14" t="s">
        <v>87</v>
      </c>
      <c r="AI740" s="2">
        <v>46160.901655092595</v>
      </c>
      <c r="AJ740" s="14" t="s">
        <v>47</v>
      </c>
      <c r="AK740" s="14" t="s">
        <v>47</v>
      </c>
      <c r="AL740" s="2">
        <v>46160.901655092595</v>
      </c>
      <c r="AM740" s="2">
        <v>46160.901655092595</v>
      </c>
    </row>
    <row r="741" spans="1:39" x14ac:dyDescent="0.3">
      <c r="A741" s="14" t="s">
        <v>4530</v>
      </c>
      <c r="B741" s="14" t="s">
        <v>4531</v>
      </c>
      <c r="C741" s="14" t="s">
        <v>41</v>
      </c>
      <c r="D741" s="14" t="s">
        <v>4532</v>
      </c>
      <c r="E741" s="14" t="s">
        <v>4533</v>
      </c>
      <c r="F741" s="14" t="s">
        <v>47</v>
      </c>
      <c r="G741" s="14" t="s">
        <v>47</v>
      </c>
      <c r="H741" s="14" t="s">
        <v>3101</v>
      </c>
      <c r="I741" s="14" t="s">
        <v>47</v>
      </c>
      <c r="J741" s="14" t="s">
        <v>47</v>
      </c>
      <c r="K741" s="14" t="s">
        <v>47</v>
      </c>
      <c r="L741" s="14" t="s">
        <v>47</v>
      </c>
      <c r="M741" s="1">
        <v>46122</v>
      </c>
      <c r="N741" s="1">
        <v>46122</v>
      </c>
      <c r="O741" s="1">
        <v>46122</v>
      </c>
      <c r="P741" s="14" t="s">
        <v>183</v>
      </c>
      <c r="Q741" s="14" t="s">
        <v>184</v>
      </c>
      <c r="R741">
        <v>2</v>
      </c>
      <c r="S741" t="b">
        <v>0</v>
      </c>
      <c r="T741" s="14" t="s">
        <v>47</v>
      </c>
      <c r="U741" s="14" t="s">
        <v>47</v>
      </c>
      <c r="V741" s="14" t="s">
        <v>47</v>
      </c>
      <c r="W741" s="14" t="s">
        <v>47</v>
      </c>
      <c r="X741" s="14" t="s">
        <v>51</v>
      </c>
      <c r="Y741" t="b">
        <v>0</v>
      </c>
      <c r="Z741" s="14" t="s">
        <v>47</v>
      </c>
      <c r="AA741" s="14" t="s">
        <v>47</v>
      </c>
      <c r="AB741" s="14" t="s">
        <v>47</v>
      </c>
      <c r="AC741" t="b">
        <v>1</v>
      </c>
      <c r="AD741" s="14" t="s">
        <v>52</v>
      </c>
      <c r="AE741" s="14" t="s">
        <v>4534</v>
      </c>
      <c r="AF741" s="14" t="s">
        <v>4532</v>
      </c>
      <c r="AG741" s="14" t="s">
        <v>3611</v>
      </c>
      <c r="AH741" s="14" t="s">
        <v>87</v>
      </c>
      <c r="AI741" s="2">
        <v>46160.901655092595</v>
      </c>
      <c r="AJ741" s="14" t="s">
        <v>47</v>
      </c>
      <c r="AK741" s="14" t="s">
        <v>47</v>
      </c>
      <c r="AL741" s="2">
        <v>46160.901655092595</v>
      </c>
      <c r="AM741" s="2">
        <v>46160.901655092595</v>
      </c>
    </row>
    <row r="742" spans="1:39" x14ac:dyDescent="0.3">
      <c r="A742" s="14" t="s">
        <v>4535</v>
      </c>
      <c r="B742" s="14" t="s">
        <v>4536</v>
      </c>
      <c r="C742" s="14" t="s">
        <v>41</v>
      </c>
      <c r="D742" s="14" t="s">
        <v>4537</v>
      </c>
      <c r="E742" s="14" t="s">
        <v>4538</v>
      </c>
      <c r="F742" s="14" t="s">
        <v>47</v>
      </c>
      <c r="G742" s="14" t="s">
        <v>47</v>
      </c>
      <c r="H742" s="14" t="s">
        <v>3101</v>
      </c>
      <c r="I742" s="14" t="s">
        <v>47</v>
      </c>
      <c r="J742" s="14" t="s">
        <v>47</v>
      </c>
      <c r="K742" s="14" t="s">
        <v>47</v>
      </c>
      <c r="L742" s="14" t="s">
        <v>47</v>
      </c>
      <c r="M742" s="1">
        <v>46122</v>
      </c>
      <c r="N742" s="1">
        <v>46122</v>
      </c>
      <c r="O742" s="1">
        <v>46122</v>
      </c>
      <c r="P742" s="14" t="s">
        <v>183</v>
      </c>
      <c r="Q742" s="14" t="s">
        <v>184</v>
      </c>
      <c r="R742">
        <v>2</v>
      </c>
      <c r="S742" t="b">
        <v>0</v>
      </c>
      <c r="T742" s="14" t="s">
        <v>47</v>
      </c>
      <c r="U742" s="14" t="s">
        <v>47</v>
      </c>
      <c r="V742" s="14" t="s">
        <v>47</v>
      </c>
      <c r="W742" s="14" t="s">
        <v>47</v>
      </c>
      <c r="X742" s="14" t="s">
        <v>51</v>
      </c>
      <c r="Y742" t="b">
        <v>0</v>
      </c>
      <c r="Z742" s="14" t="s">
        <v>47</v>
      </c>
      <c r="AA742" s="14" t="s">
        <v>47</v>
      </c>
      <c r="AB742" s="14" t="s">
        <v>47</v>
      </c>
      <c r="AC742" t="b">
        <v>1</v>
      </c>
      <c r="AD742" s="14" t="s">
        <v>52</v>
      </c>
      <c r="AE742" s="14" t="s">
        <v>4539</v>
      </c>
      <c r="AF742" s="14" t="s">
        <v>4537</v>
      </c>
      <c r="AG742" s="14" t="s">
        <v>3611</v>
      </c>
      <c r="AH742" s="14" t="s">
        <v>87</v>
      </c>
      <c r="AI742" s="2">
        <v>46160.901655092595</v>
      </c>
      <c r="AJ742" s="14" t="s">
        <v>47</v>
      </c>
      <c r="AK742" s="14" t="s">
        <v>47</v>
      </c>
      <c r="AL742" s="2">
        <v>46160.901655092595</v>
      </c>
      <c r="AM742" s="2">
        <v>46160.901655092595</v>
      </c>
    </row>
    <row r="743" spans="1:39" x14ac:dyDescent="0.3">
      <c r="A743" s="14" t="s">
        <v>4540</v>
      </c>
      <c r="B743" s="14" t="s">
        <v>4541</v>
      </c>
      <c r="C743" s="14" t="s">
        <v>41</v>
      </c>
      <c r="D743" s="14" t="s">
        <v>4542</v>
      </c>
      <c r="E743" s="14" t="s">
        <v>4543</v>
      </c>
      <c r="F743" s="14" t="s">
        <v>47</v>
      </c>
      <c r="G743" s="14" t="s">
        <v>47</v>
      </c>
      <c r="H743" s="14" t="s">
        <v>85</v>
      </c>
      <c r="I743" s="14" t="s">
        <v>47</v>
      </c>
      <c r="J743" s="14" t="s">
        <v>47</v>
      </c>
      <c r="K743" s="14" t="s">
        <v>48</v>
      </c>
      <c r="L743" s="14" t="s">
        <v>47</v>
      </c>
      <c r="M743" s="1">
        <v>46129</v>
      </c>
      <c r="N743" s="1">
        <v>46129</v>
      </c>
      <c r="O743" s="1">
        <v>46129</v>
      </c>
      <c r="P743" s="14" t="s">
        <v>49</v>
      </c>
      <c r="Q743" s="14" t="s">
        <v>50</v>
      </c>
      <c r="R743">
        <v>2</v>
      </c>
      <c r="S743" t="b">
        <v>0</v>
      </c>
      <c r="T743" s="14" t="s">
        <v>47</v>
      </c>
      <c r="U743" s="14" t="s">
        <v>47</v>
      </c>
      <c r="V743" s="14" t="s">
        <v>47</v>
      </c>
      <c r="W743" s="14" t="s">
        <v>47</v>
      </c>
      <c r="X743" s="14" t="s">
        <v>51</v>
      </c>
      <c r="Y743" t="b">
        <v>0</v>
      </c>
      <c r="Z743" s="14" t="s">
        <v>47</v>
      </c>
      <c r="AA743" s="14" t="s">
        <v>47</v>
      </c>
      <c r="AB743" s="14" t="s">
        <v>47</v>
      </c>
      <c r="AC743" t="b">
        <v>1</v>
      </c>
      <c r="AD743" s="14" t="s">
        <v>52</v>
      </c>
      <c r="AE743" s="14" t="s">
        <v>4544</v>
      </c>
      <c r="AF743" s="14" t="s">
        <v>4542</v>
      </c>
      <c r="AG743" s="14" t="s">
        <v>3611</v>
      </c>
      <c r="AH743" s="14" t="s">
        <v>87</v>
      </c>
      <c r="AI743" s="2">
        <v>46160.901655092595</v>
      </c>
      <c r="AJ743" s="14" t="s">
        <v>47</v>
      </c>
      <c r="AK743" s="14" t="s">
        <v>47</v>
      </c>
      <c r="AL743" s="2">
        <v>46160.901655092595</v>
      </c>
      <c r="AM743" s="2">
        <v>46160.901655092595</v>
      </c>
    </row>
    <row r="744" spans="1:39" x14ac:dyDescent="0.3">
      <c r="A744" s="14" t="s">
        <v>4545</v>
      </c>
      <c r="B744" s="14" t="s">
        <v>4546</v>
      </c>
      <c r="C744" s="14" t="s">
        <v>41</v>
      </c>
      <c r="D744" s="14" t="s">
        <v>4547</v>
      </c>
      <c r="E744" s="14" t="s">
        <v>4548</v>
      </c>
      <c r="F744" s="14" t="s">
        <v>47</v>
      </c>
      <c r="G744" s="14" t="s">
        <v>47</v>
      </c>
      <c r="H744" s="14" t="s">
        <v>85</v>
      </c>
      <c r="I744" s="14" t="s">
        <v>47</v>
      </c>
      <c r="J744" s="14" t="s">
        <v>47</v>
      </c>
      <c r="K744" s="14" t="s">
        <v>48</v>
      </c>
      <c r="L744" s="14" t="s">
        <v>47</v>
      </c>
      <c r="M744" s="1">
        <v>46114</v>
      </c>
      <c r="N744" s="1">
        <v>46114</v>
      </c>
      <c r="O744" s="1">
        <v>46114</v>
      </c>
      <c r="P744" s="14" t="s">
        <v>49</v>
      </c>
      <c r="Q744" s="14" t="s">
        <v>50</v>
      </c>
      <c r="R744">
        <v>2</v>
      </c>
      <c r="S744" t="b">
        <v>0</v>
      </c>
      <c r="T744" s="14" t="s">
        <v>47</v>
      </c>
      <c r="U744" s="14" t="s">
        <v>47</v>
      </c>
      <c r="V744" s="14" t="s">
        <v>47</v>
      </c>
      <c r="W744" s="14" t="s">
        <v>47</v>
      </c>
      <c r="X744" s="14" t="s">
        <v>51</v>
      </c>
      <c r="Y744" t="b">
        <v>0</v>
      </c>
      <c r="Z744" s="14" t="s">
        <v>47</v>
      </c>
      <c r="AA744" s="14" t="s">
        <v>47</v>
      </c>
      <c r="AB744" s="14" t="s">
        <v>47</v>
      </c>
      <c r="AC744" t="b">
        <v>1</v>
      </c>
      <c r="AD744" s="14" t="s">
        <v>52</v>
      </c>
      <c r="AE744" s="14" t="s">
        <v>4549</v>
      </c>
      <c r="AF744" s="14" t="s">
        <v>4547</v>
      </c>
      <c r="AG744" s="14" t="s">
        <v>3611</v>
      </c>
      <c r="AH744" s="14" t="s">
        <v>87</v>
      </c>
      <c r="AI744" s="2">
        <v>46160.901655092595</v>
      </c>
      <c r="AJ744" s="14" t="s">
        <v>47</v>
      </c>
      <c r="AK744" s="14" t="s">
        <v>47</v>
      </c>
      <c r="AL744" s="2">
        <v>46160.901655092595</v>
      </c>
      <c r="AM744" s="2">
        <v>46160.901655092595</v>
      </c>
    </row>
    <row r="745" spans="1:39" x14ac:dyDescent="0.3">
      <c r="A745" s="14" t="s">
        <v>4550</v>
      </c>
      <c r="B745" s="14" t="s">
        <v>4551</v>
      </c>
      <c r="C745" s="14" t="s">
        <v>41</v>
      </c>
      <c r="D745" s="14" t="s">
        <v>4552</v>
      </c>
      <c r="E745" s="14" t="s">
        <v>4553</v>
      </c>
      <c r="F745" s="14" t="s">
        <v>47</v>
      </c>
      <c r="G745" s="14" t="s">
        <v>47</v>
      </c>
      <c r="H745" s="14" t="s">
        <v>174</v>
      </c>
      <c r="I745" s="14" t="s">
        <v>47</v>
      </c>
      <c r="J745" s="14" t="s">
        <v>47</v>
      </c>
      <c r="K745" s="14" t="s">
        <v>130</v>
      </c>
      <c r="L745" s="14" t="s">
        <v>47</v>
      </c>
      <c r="M745" s="1">
        <v>46135</v>
      </c>
      <c r="N745" s="1">
        <v>46135</v>
      </c>
      <c r="O745" s="1">
        <v>46135</v>
      </c>
      <c r="P745" s="14" t="s">
        <v>49</v>
      </c>
      <c r="Q745" s="14" t="s">
        <v>50</v>
      </c>
      <c r="R745">
        <v>3</v>
      </c>
      <c r="S745" t="b">
        <v>1</v>
      </c>
      <c r="T745" s="14" t="s">
        <v>47</v>
      </c>
      <c r="U745" s="14" t="s">
        <v>47</v>
      </c>
      <c r="V745" s="14" t="s">
        <v>47</v>
      </c>
      <c r="W745" s="14" t="s">
        <v>47</v>
      </c>
      <c r="X745" s="14" t="s">
        <v>51</v>
      </c>
      <c r="Y745" t="b">
        <v>0</v>
      </c>
      <c r="Z745" s="14" t="s">
        <v>47</v>
      </c>
      <c r="AA745" s="14" t="s">
        <v>47</v>
      </c>
      <c r="AB745" s="14" t="s">
        <v>47</v>
      </c>
      <c r="AC745" t="b">
        <v>1</v>
      </c>
      <c r="AD745" s="14" t="s">
        <v>52</v>
      </c>
      <c r="AE745" s="14" t="s">
        <v>4554</v>
      </c>
      <c r="AF745" s="14" t="s">
        <v>4552</v>
      </c>
      <c r="AG745" s="14" t="s">
        <v>3611</v>
      </c>
      <c r="AH745" s="14" t="s">
        <v>87</v>
      </c>
      <c r="AI745" s="2">
        <v>46160.901655092595</v>
      </c>
      <c r="AJ745" s="14" t="s">
        <v>47</v>
      </c>
      <c r="AK745" s="14" t="s">
        <v>47</v>
      </c>
      <c r="AL745" s="2">
        <v>46160.901655092595</v>
      </c>
      <c r="AM745" s="2">
        <v>46160.901655092595</v>
      </c>
    </row>
    <row r="746" spans="1:39" x14ac:dyDescent="0.3">
      <c r="A746" s="14" t="s">
        <v>4555</v>
      </c>
      <c r="B746" s="14" t="s">
        <v>4556</v>
      </c>
      <c r="C746" s="14" t="s">
        <v>41</v>
      </c>
      <c r="D746" s="14" t="s">
        <v>4557</v>
      </c>
      <c r="E746" s="14" t="s">
        <v>4558</v>
      </c>
      <c r="F746" s="14" t="s">
        <v>47</v>
      </c>
      <c r="G746" s="14" t="s">
        <v>47</v>
      </c>
      <c r="H746" s="14" t="s">
        <v>1761</v>
      </c>
      <c r="I746" s="14" t="s">
        <v>47</v>
      </c>
      <c r="J746" s="14" t="s">
        <v>47</v>
      </c>
      <c r="K746" s="14" t="s">
        <v>1128</v>
      </c>
      <c r="L746" s="14" t="s">
        <v>47</v>
      </c>
      <c r="M746" s="1">
        <v>46122</v>
      </c>
      <c r="N746" s="1">
        <v>46122</v>
      </c>
      <c r="O746" s="1">
        <v>46122</v>
      </c>
      <c r="P746" s="14" t="s">
        <v>465</v>
      </c>
      <c r="Q746" s="14" t="s">
        <v>371</v>
      </c>
      <c r="R746">
        <v>4</v>
      </c>
      <c r="S746" t="b">
        <v>1</v>
      </c>
      <c r="T746" s="14" t="s">
        <v>47</v>
      </c>
      <c r="U746" s="14" t="s">
        <v>47</v>
      </c>
      <c r="V746" s="14" t="s">
        <v>47</v>
      </c>
      <c r="W746" s="14" t="s">
        <v>47</v>
      </c>
      <c r="X746" s="14" t="s">
        <v>51</v>
      </c>
      <c r="Y746" t="b">
        <v>0</v>
      </c>
      <c r="Z746" s="14" t="s">
        <v>47</v>
      </c>
      <c r="AA746" s="14" t="s">
        <v>47</v>
      </c>
      <c r="AB746" s="14" t="s">
        <v>47</v>
      </c>
      <c r="AC746" t="b">
        <v>1</v>
      </c>
      <c r="AD746" s="14" t="s">
        <v>52</v>
      </c>
      <c r="AE746" s="14" t="s">
        <v>4559</v>
      </c>
      <c r="AF746" s="14" t="s">
        <v>4557</v>
      </c>
      <c r="AG746" s="14" t="s">
        <v>3611</v>
      </c>
      <c r="AH746" s="14" t="s">
        <v>87</v>
      </c>
      <c r="AI746" s="2">
        <v>46160.901655092595</v>
      </c>
      <c r="AJ746" s="14" t="s">
        <v>47</v>
      </c>
      <c r="AK746" s="14" t="s">
        <v>47</v>
      </c>
      <c r="AL746" s="2">
        <v>46160.901655092595</v>
      </c>
      <c r="AM746" s="2">
        <v>46160.901655092595</v>
      </c>
    </row>
    <row r="747" spans="1:39" x14ac:dyDescent="0.3">
      <c r="A747" s="14" t="s">
        <v>4560</v>
      </c>
      <c r="B747" s="14" t="s">
        <v>4561</v>
      </c>
      <c r="C747" s="14" t="s">
        <v>41</v>
      </c>
      <c r="D747" s="14" t="s">
        <v>4562</v>
      </c>
      <c r="E747" s="14" t="s">
        <v>4563</v>
      </c>
      <c r="F747" s="14" t="s">
        <v>47</v>
      </c>
      <c r="G747" s="14" t="s">
        <v>47</v>
      </c>
      <c r="H747" s="14" t="s">
        <v>1761</v>
      </c>
      <c r="I747" s="14" t="s">
        <v>47</v>
      </c>
      <c r="J747" s="14" t="s">
        <v>47</v>
      </c>
      <c r="K747" s="14" t="s">
        <v>1128</v>
      </c>
      <c r="L747" s="14" t="s">
        <v>47</v>
      </c>
      <c r="M747" s="1">
        <v>46122</v>
      </c>
      <c r="N747" s="1">
        <v>46122</v>
      </c>
      <c r="O747" s="1">
        <v>46122</v>
      </c>
      <c r="P747" s="14" t="s">
        <v>465</v>
      </c>
      <c r="Q747" s="14" t="s">
        <v>371</v>
      </c>
      <c r="R747">
        <v>4</v>
      </c>
      <c r="S747" t="b">
        <v>1</v>
      </c>
      <c r="T747" s="14" t="s">
        <v>47</v>
      </c>
      <c r="U747" s="14" t="s">
        <v>47</v>
      </c>
      <c r="V747" s="14" t="s">
        <v>47</v>
      </c>
      <c r="W747" s="14" t="s">
        <v>47</v>
      </c>
      <c r="X747" s="14" t="s">
        <v>51</v>
      </c>
      <c r="Y747" t="b">
        <v>0</v>
      </c>
      <c r="Z747" s="14" t="s">
        <v>47</v>
      </c>
      <c r="AA747" s="14" t="s">
        <v>47</v>
      </c>
      <c r="AB747" s="14" t="s">
        <v>47</v>
      </c>
      <c r="AC747" t="b">
        <v>1</v>
      </c>
      <c r="AD747" s="14" t="s">
        <v>52</v>
      </c>
      <c r="AE747" s="14" t="s">
        <v>4564</v>
      </c>
      <c r="AF747" s="14" t="s">
        <v>4562</v>
      </c>
      <c r="AG747" s="14" t="s">
        <v>3611</v>
      </c>
      <c r="AH747" s="14" t="s">
        <v>87</v>
      </c>
      <c r="AI747" s="2">
        <v>46160.901655092595</v>
      </c>
      <c r="AJ747" s="14" t="s">
        <v>47</v>
      </c>
      <c r="AK747" s="14" t="s">
        <v>47</v>
      </c>
      <c r="AL747" s="2">
        <v>46160.901655092595</v>
      </c>
      <c r="AM747" s="2">
        <v>46160.901655092595</v>
      </c>
    </row>
    <row r="748" spans="1:39" x14ac:dyDescent="0.3">
      <c r="A748" s="14" t="s">
        <v>4565</v>
      </c>
      <c r="B748" s="14" t="s">
        <v>4566</v>
      </c>
      <c r="C748" s="14" t="s">
        <v>41</v>
      </c>
      <c r="D748" s="14" t="s">
        <v>4567</v>
      </c>
      <c r="E748" s="14" t="s">
        <v>4568</v>
      </c>
      <c r="F748" s="14" t="s">
        <v>47</v>
      </c>
      <c r="G748" s="14" t="s">
        <v>47</v>
      </c>
      <c r="H748" s="14" t="s">
        <v>1761</v>
      </c>
      <c r="I748" s="14" t="s">
        <v>47</v>
      </c>
      <c r="J748" s="14" t="s">
        <v>47</v>
      </c>
      <c r="K748" s="14" t="s">
        <v>1128</v>
      </c>
      <c r="L748" s="14" t="s">
        <v>47</v>
      </c>
      <c r="M748" s="1">
        <v>46122</v>
      </c>
      <c r="N748" s="1">
        <v>46122</v>
      </c>
      <c r="O748" s="1">
        <v>46122</v>
      </c>
      <c r="P748" s="14" t="s">
        <v>465</v>
      </c>
      <c r="Q748" s="14" t="s">
        <v>371</v>
      </c>
      <c r="R748">
        <v>4</v>
      </c>
      <c r="S748" t="b">
        <v>1</v>
      </c>
      <c r="T748" s="14" t="s">
        <v>47</v>
      </c>
      <c r="U748" s="14" t="s">
        <v>47</v>
      </c>
      <c r="V748" s="14" t="s">
        <v>47</v>
      </c>
      <c r="W748" s="14" t="s">
        <v>47</v>
      </c>
      <c r="X748" s="14" t="s">
        <v>51</v>
      </c>
      <c r="Y748" t="b">
        <v>0</v>
      </c>
      <c r="Z748" s="14" t="s">
        <v>47</v>
      </c>
      <c r="AA748" s="14" t="s">
        <v>47</v>
      </c>
      <c r="AB748" s="14" t="s">
        <v>47</v>
      </c>
      <c r="AC748" t="b">
        <v>1</v>
      </c>
      <c r="AD748" s="14" t="s">
        <v>52</v>
      </c>
      <c r="AE748" s="14" t="s">
        <v>4569</v>
      </c>
      <c r="AF748" s="14" t="s">
        <v>4567</v>
      </c>
      <c r="AG748" s="14" t="s">
        <v>3611</v>
      </c>
      <c r="AH748" s="14" t="s">
        <v>87</v>
      </c>
      <c r="AI748" s="2">
        <v>46160.901655092595</v>
      </c>
      <c r="AJ748" s="14" t="s">
        <v>47</v>
      </c>
      <c r="AK748" s="14" t="s">
        <v>47</v>
      </c>
      <c r="AL748" s="2">
        <v>46160.901655092595</v>
      </c>
      <c r="AM748" s="2">
        <v>46160.901655092595</v>
      </c>
    </row>
    <row r="749" spans="1:39" x14ac:dyDescent="0.3">
      <c r="A749" s="14" t="s">
        <v>4570</v>
      </c>
      <c r="B749" s="14" t="s">
        <v>4571</v>
      </c>
      <c r="C749" s="14" t="s">
        <v>41</v>
      </c>
      <c r="D749" s="14" t="s">
        <v>4572</v>
      </c>
      <c r="E749" s="14" t="s">
        <v>4573</v>
      </c>
      <c r="F749" s="14" t="s">
        <v>47</v>
      </c>
      <c r="G749" s="14" t="s">
        <v>47</v>
      </c>
      <c r="H749" s="14" t="s">
        <v>1761</v>
      </c>
      <c r="I749" s="14" t="s">
        <v>47</v>
      </c>
      <c r="J749" s="14" t="s">
        <v>47</v>
      </c>
      <c r="K749" s="14" t="s">
        <v>1128</v>
      </c>
      <c r="L749" s="14" t="s">
        <v>47</v>
      </c>
      <c r="M749" s="1">
        <v>46122</v>
      </c>
      <c r="N749" s="1">
        <v>46122</v>
      </c>
      <c r="O749" s="1">
        <v>46122</v>
      </c>
      <c r="P749" s="14" t="s">
        <v>465</v>
      </c>
      <c r="Q749" s="14" t="s">
        <v>371</v>
      </c>
      <c r="R749">
        <v>4</v>
      </c>
      <c r="S749" t="b">
        <v>1</v>
      </c>
      <c r="T749" s="14" t="s">
        <v>47</v>
      </c>
      <c r="U749" s="14" t="s">
        <v>47</v>
      </c>
      <c r="V749" s="14" t="s">
        <v>47</v>
      </c>
      <c r="W749" s="14" t="s">
        <v>47</v>
      </c>
      <c r="X749" s="14" t="s">
        <v>51</v>
      </c>
      <c r="Y749" t="b">
        <v>0</v>
      </c>
      <c r="Z749" s="14" t="s">
        <v>47</v>
      </c>
      <c r="AA749" s="14" t="s">
        <v>47</v>
      </c>
      <c r="AB749" s="14" t="s">
        <v>47</v>
      </c>
      <c r="AC749" t="b">
        <v>1</v>
      </c>
      <c r="AD749" s="14" t="s">
        <v>52</v>
      </c>
      <c r="AE749" s="14" t="s">
        <v>4574</v>
      </c>
      <c r="AF749" s="14" t="s">
        <v>4572</v>
      </c>
      <c r="AG749" s="14" t="s">
        <v>3611</v>
      </c>
      <c r="AH749" s="14" t="s">
        <v>87</v>
      </c>
      <c r="AI749" s="2">
        <v>46160.901655092595</v>
      </c>
      <c r="AJ749" s="14" t="s">
        <v>47</v>
      </c>
      <c r="AK749" s="14" t="s">
        <v>47</v>
      </c>
      <c r="AL749" s="2">
        <v>46160.901655092595</v>
      </c>
      <c r="AM749" s="2">
        <v>46160.901655092595</v>
      </c>
    </row>
    <row r="750" spans="1:39" x14ac:dyDescent="0.3">
      <c r="A750" s="14" t="s">
        <v>4575</v>
      </c>
      <c r="B750" s="14" t="s">
        <v>4576</v>
      </c>
      <c r="C750" s="14" t="s">
        <v>41</v>
      </c>
      <c r="D750" s="14" t="s">
        <v>4577</v>
      </c>
      <c r="E750" s="14" t="s">
        <v>4578</v>
      </c>
      <c r="F750" s="14" t="s">
        <v>47</v>
      </c>
      <c r="G750" s="14" t="s">
        <v>47</v>
      </c>
      <c r="H750" s="14" t="s">
        <v>1761</v>
      </c>
      <c r="I750" s="14" t="s">
        <v>47</v>
      </c>
      <c r="J750" s="14" t="s">
        <v>47</v>
      </c>
      <c r="K750" s="14" t="s">
        <v>1128</v>
      </c>
      <c r="L750" s="14" t="s">
        <v>47</v>
      </c>
      <c r="M750" s="1">
        <v>46122</v>
      </c>
      <c r="N750" s="1">
        <v>46122</v>
      </c>
      <c r="O750" s="1">
        <v>46122</v>
      </c>
      <c r="P750" s="14" t="s">
        <v>465</v>
      </c>
      <c r="Q750" s="14" t="s">
        <v>371</v>
      </c>
      <c r="R750">
        <v>4</v>
      </c>
      <c r="S750" t="b">
        <v>1</v>
      </c>
      <c r="T750" s="14" t="s">
        <v>47</v>
      </c>
      <c r="U750" s="14" t="s">
        <v>47</v>
      </c>
      <c r="V750" s="14" t="s">
        <v>47</v>
      </c>
      <c r="W750" s="14" t="s">
        <v>47</v>
      </c>
      <c r="X750" s="14" t="s">
        <v>51</v>
      </c>
      <c r="Y750" t="b">
        <v>0</v>
      </c>
      <c r="Z750" s="14" t="s">
        <v>47</v>
      </c>
      <c r="AA750" s="14" t="s">
        <v>47</v>
      </c>
      <c r="AB750" s="14" t="s">
        <v>47</v>
      </c>
      <c r="AC750" t="b">
        <v>1</v>
      </c>
      <c r="AD750" s="14" t="s">
        <v>52</v>
      </c>
      <c r="AE750" s="14" t="s">
        <v>4579</v>
      </c>
      <c r="AF750" s="14" t="s">
        <v>4577</v>
      </c>
      <c r="AG750" s="14" t="s">
        <v>3611</v>
      </c>
      <c r="AH750" s="14" t="s">
        <v>87</v>
      </c>
      <c r="AI750" s="2">
        <v>46160.901655092595</v>
      </c>
      <c r="AJ750" s="14" t="s">
        <v>47</v>
      </c>
      <c r="AK750" s="14" t="s">
        <v>47</v>
      </c>
      <c r="AL750" s="2">
        <v>46160.901655092595</v>
      </c>
      <c r="AM750" s="2">
        <v>46160.901655092595</v>
      </c>
    </row>
    <row r="751" spans="1:39" x14ac:dyDescent="0.3">
      <c r="A751" s="14" t="s">
        <v>4580</v>
      </c>
      <c r="B751" s="14" t="s">
        <v>4581</v>
      </c>
      <c r="C751" s="14" t="s">
        <v>41</v>
      </c>
      <c r="D751" s="14" t="s">
        <v>4582</v>
      </c>
      <c r="E751" s="14" t="s">
        <v>4583</v>
      </c>
      <c r="F751" s="14" t="s">
        <v>47</v>
      </c>
      <c r="G751" s="14" t="s">
        <v>47</v>
      </c>
      <c r="H751" s="14" t="s">
        <v>1761</v>
      </c>
      <c r="I751" s="14" t="s">
        <v>47</v>
      </c>
      <c r="J751" s="14" t="s">
        <v>47</v>
      </c>
      <c r="K751" s="14" t="s">
        <v>1128</v>
      </c>
      <c r="L751" s="14" t="s">
        <v>47</v>
      </c>
      <c r="M751" s="1">
        <v>46122</v>
      </c>
      <c r="N751" s="1">
        <v>46122</v>
      </c>
      <c r="O751" s="1">
        <v>46122</v>
      </c>
      <c r="P751" s="14" t="s">
        <v>465</v>
      </c>
      <c r="Q751" s="14" t="s">
        <v>371</v>
      </c>
      <c r="R751">
        <v>4</v>
      </c>
      <c r="S751" t="b">
        <v>1</v>
      </c>
      <c r="T751" s="14" t="s">
        <v>47</v>
      </c>
      <c r="U751" s="14" t="s">
        <v>47</v>
      </c>
      <c r="V751" s="14" t="s">
        <v>47</v>
      </c>
      <c r="W751" s="14" t="s">
        <v>47</v>
      </c>
      <c r="X751" s="14" t="s">
        <v>51</v>
      </c>
      <c r="Y751" t="b">
        <v>0</v>
      </c>
      <c r="Z751" s="14" t="s">
        <v>47</v>
      </c>
      <c r="AA751" s="14" t="s">
        <v>47</v>
      </c>
      <c r="AB751" s="14" t="s">
        <v>47</v>
      </c>
      <c r="AC751" t="b">
        <v>1</v>
      </c>
      <c r="AD751" s="14" t="s">
        <v>52</v>
      </c>
      <c r="AE751" s="14" t="s">
        <v>4584</v>
      </c>
      <c r="AF751" s="14" t="s">
        <v>4582</v>
      </c>
      <c r="AG751" s="14" t="s">
        <v>3611</v>
      </c>
      <c r="AH751" s="14" t="s">
        <v>87</v>
      </c>
      <c r="AI751" s="2">
        <v>46160.901655092595</v>
      </c>
      <c r="AJ751" s="14" t="s">
        <v>47</v>
      </c>
      <c r="AK751" s="14" t="s">
        <v>47</v>
      </c>
      <c r="AL751" s="2">
        <v>46160.901655092595</v>
      </c>
      <c r="AM751" s="2">
        <v>46160.901655092595</v>
      </c>
    </row>
    <row r="752" spans="1:39" x14ac:dyDescent="0.3">
      <c r="A752" s="14" t="s">
        <v>4585</v>
      </c>
      <c r="B752" s="14" t="s">
        <v>4586</v>
      </c>
      <c r="C752" s="14" t="s">
        <v>41</v>
      </c>
      <c r="D752" s="14" t="s">
        <v>4587</v>
      </c>
      <c r="E752" s="14" t="s">
        <v>4588</v>
      </c>
      <c r="F752" s="14" t="s">
        <v>47</v>
      </c>
      <c r="G752" s="14" t="s">
        <v>47</v>
      </c>
      <c r="H752" s="14" t="s">
        <v>1761</v>
      </c>
      <c r="I752" s="14" t="s">
        <v>47</v>
      </c>
      <c r="J752" s="14" t="s">
        <v>47</v>
      </c>
      <c r="K752" s="14" t="s">
        <v>1128</v>
      </c>
      <c r="L752" s="14" t="s">
        <v>47</v>
      </c>
      <c r="M752" s="1">
        <v>46122</v>
      </c>
      <c r="N752" s="1">
        <v>46122</v>
      </c>
      <c r="O752" s="1">
        <v>46122</v>
      </c>
      <c r="P752" s="14" t="s">
        <v>465</v>
      </c>
      <c r="Q752" s="14" t="s">
        <v>371</v>
      </c>
      <c r="R752">
        <v>4</v>
      </c>
      <c r="S752" t="b">
        <v>1</v>
      </c>
      <c r="T752" s="14" t="s">
        <v>47</v>
      </c>
      <c r="U752" s="14" t="s">
        <v>47</v>
      </c>
      <c r="V752" s="14" t="s">
        <v>47</v>
      </c>
      <c r="W752" s="14" t="s">
        <v>47</v>
      </c>
      <c r="X752" s="14" t="s">
        <v>51</v>
      </c>
      <c r="Y752" t="b">
        <v>0</v>
      </c>
      <c r="Z752" s="14" t="s">
        <v>47</v>
      </c>
      <c r="AA752" s="14" t="s">
        <v>47</v>
      </c>
      <c r="AB752" s="14" t="s">
        <v>47</v>
      </c>
      <c r="AC752" t="b">
        <v>1</v>
      </c>
      <c r="AD752" s="14" t="s">
        <v>52</v>
      </c>
      <c r="AE752" s="14" t="s">
        <v>4589</v>
      </c>
      <c r="AF752" s="14" t="s">
        <v>4587</v>
      </c>
      <c r="AG752" s="14" t="s">
        <v>3611</v>
      </c>
      <c r="AH752" s="14" t="s">
        <v>87</v>
      </c>
      <c r="AI752" s="2">
        <v>46160.901655092595</v>
      </c>
      <c r="AJ752" s="14" t="s">
        <v>47</v>
      </c>
      <c r="AK752" s="14" t="s">
        <v>47</v>
      </c>
      <c r="AL752" s="2">
        <v>46160.901655092595</v>
      </c>
      <c r="AM752" s="2">
        <v>46160.901655092595</v>
      </c>
    </row>
    <row r="753" spans="1:39" x14ac:dyDescent="0.3">
      <c r="A753" s="14" t="s">
        <v>4590</v>
      </c>
      <c r="B753" s="14" t="s">
        <v>4591</v>
      </c>
      <c r="C753" s="14" t="s">
        <v>41</v>
      </c>
      <c r="D753" s="14" t="s">
        <v>4592</v>
      </c>
      <c r="E753" s="14" t="s">
        <v>4593</v>
      </c>
      <c r="F753" s="14" t="s">
        <v>47</v>
      </c>
      <c r="G753" s="14" t="s">
        <v>47</v>
      </c>
      <c r="H753" s="14" t="s">
        <v>1761</v>
      </c>
      <c r="I753" s="14" t="s">
        <v>47</v>
      </c>
      <c r="J753" s="14" t="s">
        <v>47</v>
      </c>
      <c r="K753" s="14" t="s">
        <v>1128</v>
      </c>
      <c r="L753" s="14" t="s">
        <v>47</v>
      </c>
      <c r="M753" s="1">
        <v>46122</v>
      </c>
      <c r="N753" s="1">
        <v>46122</v>
      </c>
      <c r="O753" s="1">
        <v>46122</v>
      </c>
      <c r="P753" s="14" t="s">
        <v>465</v>
      </c>
      <c r="Q753" s="14" t="s">
        <v>371</v>
      </c>
      <c r="R753">
        <v>4</v>
      </c>
      <c r="S753" t="b">
        <v>1</v>
      </c>
      <c r="T753" s="14" t="s">
        <v>47</v>
      </c>
      <c r="U753" s="14" t="s">
        <v>47</v>
      </c>
      <c r="V753" s="14" t="s">
        <v>47</v>
      </c>
      <c r="W753" s="14" t="s">
        <v>47</v>
      </c>
      <c r="X753" s="14" t="s">
        <v>51</v>
      </c>
      <c r="Y753" t="b">
        <v>0</v>
      </c>
      <c r="Z753" s="14" t="s">
        <v>47</v>
      </c>
      <c r="AA753" s="14" t="s">
        <v>47</v>
      </c>
      <c r="AB753" s="14" t="s">
        <v>47</v>
      </c>
      <c r="AC753" t="b">
        <v>1</v>
      </c>
      <c r="AD753" s="14" t="s">
        <v>52</v>
      </c>
      <c r="AE753" s="14" t="s">
        <v>4594</v>
      </c>
      <c r="AF753" s="14" t="s">
        <v>4592</v>
      </c>
      <c r="AG753" s="14" t="s">
        <v>3611</v>
      </c>
      <c r="AH753" s="14" t="s">
        <v>87</v>
      </c>
      <c r="AI753" s="2">
        <v>46160.901655092595</v>
      </c>
      <c r="AJ753" s="14" t="s">
        <v>47</v>
      </c>
      <c r="AK753" s="14" t="s">
        <v>47</v>
      </c>
      <c r="AL753" s="2">
        <v>46160.901655092595</v>
      </c>
      <c r="AM753" s="2">
        <v>46160.901655092595</v>
      </c>
    </row>
    <row r="754" spans="1:39" x14ac:dyDescent="0.3">
      <c r="A754" s="14" t="s">
        <v>4595</v>
      </c>
      <c r="B754" s="14" t="s">
        <v>4596</v>
      </c>
      <c r="C754" s="14" t="s">
        <v>41</v>
      </c>
      <c r="D754" s="14" t="s">
        <v>4597</v>
      </c>
      <c r="E754" s="14" t="s">
        <v>4598</v>
      </c>
      <c r="F754" s="14" t="s">
        <v>47</v>
      </c>
      <c r="G754" s="14" t="s">
        <v>47</v>
      </c>
      <c r="H754" s="14" t="s">
        <v>1761</v>
      </c>
      <c r="I754" s="14" t="s">
        <v>47</v>
      </c>
      <c r="J754" s="14" t="s">
        <v>47</v>
      </c>
      <c r="K754" s="14" t="s">
        <v>1128</v>
      </c>
      <c r="L754" s="14" t="s">
        <v>47</v>
      </c>
      <c r="M754" s="1">
        <v>46122</v>
      </c>
      <c r="N754" s="1">
        <v>46122</v>
      </c>
      <c r="O754" s="1">
        <v>46122</v>
      </c>
      <c r="P754" s="14" t="s">
        <v>465</v>
      </c>
      <c r="Q754" s="14" t="s">
        <v>371</v>
      </c>
      <c r="R754">
        <v>4</v>
      </c>
      <c r="S754" t="b">
        <v>1</v>
      </c>
      <c r="T754" s="14" t="s">
        <v>47</v>
      </c>
      <c r="U754" s="14" t="s">
        <v>47</v>
      </c>
      <c r="V754" s="14" t="s">
        <v>47</v>
      </c>
      <c r="W754" s="14" t="s">
        <v>47</v>
      </c>
      <c r="X754" s="14" t="s">
        <v>51</v>
      </c>
      <c r="Y754" t="b">
        <v>0</v>
      </c>
      <c r="Z754" s="14" t="s">
        <v>47</v>
      </c>
      <c r="AA754" s="14" t="s">
        <v>47</v>
      </c>
      <c r="AB754" s="14" t="s">
        <v>47</v>
      </c>
      <c r="AC754" t="b">
        <v>1</v>
      </c>
      <c r="AD754" s="14" t="s">
        <v>52</v>
      </c>
      <c r="AE754" s="14" t="s">
        <v>4599</v>
      </c>
      <c r="AF754" s="14" t="s">
        <v>4597</v>
      </c>
      <c r="AG754" s="14" t="s">
        <v>3611</v>
      </c>
      <c r="AH754" s="14" t="s">
        <v>87</v>
      </c>
      <c r="AI754" s="2">
        <v>46160.901655092595</v>
      </c>
      <c r="AJ754" s="14" t="s">
        <v>47</v>
      </c>
      <c r="AK754" s="14" t="s">
        <v>47</v>
      </c>
      <c r="AL754" s="2">
        <v>46160.901655092595</v>
      </c>
      <c r="AM754" s="2">
        <v>46160.901655092595</v>
      </c>
    </row>
    <row r="755" spans="1:39" x14ac:dyDescent="0.3">
      <c r="A755" s="14" t="s">
        <v>4600</v>
      </c>
      <c r="B755" s="14" t="s">
        <v>4601</v>
      </c>
      <c r="C755" s="14" t="s">
        <v>41</v>
      </c>
      <c r="D755" s="14" t="s">
        <v>4602</v>
      </c>
      <c r="E755" s="14" t="s">
        <v>4603</v>
      </c>
      <c r="F755" s="14" t="s">
        <v>47</v>
      </c>
      <c r="G755" s="14" t="s">
        <v>47</v>
      </c>
      <c r="H755" s="14" t="s">
        <v>1761</v>
      </c>
      <c r="I755" s="14" t="s">
        <v>47</v>
      </c>
      <c r="J755" s="14" t="s">
        <v>47</v>
      </c>
      <c r="K755" s="14" t="s">
        <v>1128</v>
      </c>
      <c r="L755" s="14" t="s">
        <v>47</v>
      </c>
      <c r="M755" s="1">
        <v>46122</v>
      </c>
      <c r="N755" s="1">
        <v>46122</v>
      </c>
      <c r="O755" s="1">
        <v>46122</v>
      </c>
      <c r="P755" s="14" t="s">
        <v>465</v>
      </c>
      <c r="Q755" s="14" t="s">
        <v>371</v>
      </c>
      <c r="R755">
        <v>4</v>
      </c>
      <c r="S755" t="b">
        <v>1</v>
      </c>
      <c r="T755" s="14" t="s">
        <v>47</v>
      </c>
      <c r="U755" s="14" t="s">
        <v>47</v>
      </c>
      <c r="V755" s="14" t="s">
        <v>47</v>
      </c>
      <c r="W755" s="14" t="s">
        <v>47</v>
      </c>
      <c r="X755" s="14" t="s">
        <v>51</v>
      </c>
      <c r="Y755" t="b">
        <v>0</v>
      </c>
      <c r="Z755" s="14" t="s">
        <v>47</v>
      </c>
      <c r="AA755" s="14" t="s">
        <v>47</v>
      </c>
      <c r="AB755" s="14" t="s">
        <v>47</v>
      </c>
      <c r="AC755" t="b">
        <v>1</v>
      </c>
      <c r="AD755" s="14" t="s">
        <v>52</v>
      </c>
      <c r="AE755" s="14" t="s">
        <v>4604</v>
      </c>
      <c r="AF755" s="14" t="s">
        <v>4602</v>
      </c>
      <c r="AG755" s="14" t="s">
        <v>3611</v>
      </c>
      <c r="AH755" s="14" t="s">
        <v>87</v>
      </c>
      <c r="AI755" s="2">
        <v>46160.901655092595</v>
      </c>
      <c r="AJ755" s="14" t="s">
        <v>47</v>
      </c>
      <c r="AK755" s="14" t="s">
        <v>47</v>
      </c>
      <c r="AL755" s="2">
        <v>46160.901655092595</v>
      </c>
      <c r="AM755" s="2">
        <v>46160.901655092595</v>
      </c>
    </row>
    <row r="756" spans="1:39" x14ac:dyDescent="0.3">
      <c r="A756" s="14" t="s">
        <v>4605</v>
      </c>
      <c r="B756" s="14" t="s">
        <v>4606</v>
      </c>
      <c r="C756" s="14" t="s">
        <v>41</v>
      </c>
      <c r="D756" s="14" t="s">
        <v>4607</v>
      </c>
      <c r="E756" s="14" t="s">
        <v>4608</v>
      </c>
      <c r="F756" s="14" t="s">
        <v>47</v>
      </c>
      <c r="G756" s="14" t="s">
        <v>47</v>
      </c>
      <c r="H756" s="14" t="s">
        <v>1761</v>
      </c>
      <c r="I756" s="14" t="s">
        <v>47</v>
      </c>
      <c r="J756" s="14" t="s">
        <v>47</v>
      </c>
      <c r="K756" s="14" t="s">
        <v>1128</v>
      </c>
      <c r="L756" s="14" t="s">
        <v>47</v>
      </c>
      <c r="M756" s="1">
        <v>46122</v>
      </c>
      <c r="N756" s="1">
        <v>46122</v>
      </c>
      <c r="O756" s="1">
        <v>46122</v>
      </c>
      <c r="P756" s="14" t="s">
        <v>465</v>
      </c>
      <c r="Q756" s="14" t="s">
        <v>371</v>
      </c>
      <c r="R756">
        <v>4</v>
      </c>
      <c r="S756" t="b">
        <v>1</v>
      </c>
      <c r="T756" s="14" t="s">
        <v>47</v>
      </c>
      <c r="U756" s="14" t="s">
        <v>47</v>
      </c>
      <c r="V756" s="14" t="s">
        <v>47</v>
      </c>
      <c r="W756" s="14" t="s">
        <v>47</v>
      </c>
      <c r="X756" s="14" t="s">
        <v>51</v>
      </c>
      <c r="Y756" t="b">
        <v>0</v>
      </c>
      <c r="Z756" s="14" t="s">
        <v>47</v>
      </c>
      <c r="AA756" s="14" t="s">
        <v>47</v>
      </c>
      <c r="AB756" s="14" t="s">
        <v>47</v>
      </c>
      <c r="AC756" t="b">
        <v>1</v>
      </c>
      <c r="AD756" s="14" t="s">
        <v>52</v>
      </c>
      <c r="AE756" s="14" t="s">
        <v>4609</v>
      </c>
      <c r="AF756" s="14" t="s">
        <v>4607</v>
      </c>
      <c r="AG756" s="14" t="s">
        <v>3611</v>
      </c>
      <c r="AH756" s="14" t="s">
        <v>87</v>
      </c>
      <c r="AI756" s="2">
        <v>46160.901655092595</v>
      </c>
      <c r="AJ756" s="14" t="s">
        <v>47</v>
      </c>
      <c r="AK756" s="14" t="s">
        <v>47</v>
      </c>
      <c r="AL756" s="2">
        <v>46160.901655092595</v>
      </c>
      <c r="AM756" s="2">
        <v>46160.901655092595</v>
      </c>
    </row>
    <row r="757" spans="1:39" x14ac:dyDescent="0.3">
      <c r="A757" s="14" t="s">
        <v>4135</v>
      </c>
      <c r="B757" s="14" t="s">
        <v>4136</v>
      </c>
      <c r="C757" s="14" t="s">
        <v>41</v>
      </c>
      <c r="D757" s="14" t="s">
        <v>4137</v>
      </c>
      <c r="E757" s="14" t="s">
        <v>4138</v>
      </c>
      <c r="F757" s="14" t="s">
        <v>47</v>
      </c>
      <c r="G757" s="14" t="s">
        <v>47</v>
      </c>
      <c r="H757" s="14" t="s">
        <v>1761</v>
      </c>
      <c r="I757" s="14" t="s">
        <v>47</v>
      </c>
      <c r="J757" s="14" t="s">
        <v>47</v>
      </c>
      <c r="K757" s="14" t="s">
        <v>1128</v>
      </c>
      <c r="L757" s="14" t="s">
        <v>47</v>
      </c>
      <c r="M757" s="1">
        <v>46122</v>
      </c>
      <c r="N757" s="1">
        <v>46122</v>
      </c>
      <c r="O757" s="1">
        <v>46122</v>
      </c>
      <c r="P757" s="14" t="s">
        <v>465</v>
      </c>
      <c r="Q757" s="14" t="s">
        <v>371</v>
      </c>
      <c r="R757">
        <v>4</v>
      </c>
      <c r="S757" t="b">
        <v>1</v>
      </c>
      <c r="T757" s="14" t="s">
        <v>47</v>
      </c>
      <c r="U757" s="14" t="s">
        <v>47</v>
      </c>
      <c r="V757" s="14" t="s">
        <v>47</v>
      </c>
      <c r="W757" s="14" t="s">
        <v>47</v>
      </c>
      <c r="X757" s="14" t="s">
        <v>51</v>
      </c>
      <c r="Y757" t="b">
        <v>0</v>
      </c>
      <c r="Z757" s="14" t="s">
        <v>47</v>
      </c>
      <c r="AA757" s="14" t="s">
        <v>47</v>
      </c>
      <c r="AB757" s="14" t="s">
        <v>47</v>
      </c>
      <c r="AC757" t="b">
        <v>1</v>
      </c>
      <c r="AD757" s="14" t="s">
        <v>52</v>
      </c>
      <c r="AE757" s="14" t="s">
        <v>4139</v>
      </c>
      <c r="AF757" s="14" t="s">
        <v>4137</v>
      </c>
      <c r="AG757" s="14" t="s">
        <v>3611</v>
      </c>
      <c r="AH757" s="14" t="s">
        <v>87</v>
      </c>
      <c r="AI757" s="2">
        <v>46160.904861111114</v>
      </c>
      <c r="AJ757" s="14" t="s">
        <v>47</v>
      </c>
      <c r="AK757" s="14" t="s">
        <v>47</v>
      </c>
      <c r="AL757" s="2">
        <v>46160.904861111114</v>
      </c>
      <c r="AM757" s="2">
        <v>46160.904861111114</v>
      </c>
    </row>
    <row r="758" spans="1:39" x14ac:dyDescent="0.3">
      <c r="A758" s="14" t="s">
        <v>4140</v>
      </c>
      <c r="B758" s="14" t="s">
        <v>4141</v>
      </c>
      <c r="C758" s="14" t="s">
        <v>41</v>
      </c>
      <c r="D758" s="14" t="s">
        <v>4142</v>
      </c>
      <c r="E758" s="14" t="s">
        <v>4143</v>
      </c>
      <c r="F758" s="14" t="s">
        <v>47</v>
      </c>
      <c r="G758" s="14" t="s">
        <v>47</v>
      </c>
      <c r="H758" s="14" t="s">
        <v>1761</v>
      </c>
      <c r="I758" s="14" t="s">
        <v>47</v>
      </c>
      <c r="J758" s="14" t="s">
        <v>47</v>
      </c>
      <c r="K758" s="14" t="s">
        <v>1128</v>
      </c>
      <c r="L758" s="14" t="s">
        <v>47</v>
      </c>
      <c r="M758" s="1">
        <v>46122</v>
      </c>
      <c r="N758" s="1">
        <v>46122</v>
      </c>
      <c r="O758" s="1">
        <v>46122</v>
      </c>
      <c r="P758" s="14" t="s">
        <v>465</v>
      </c>
      <c r="Q758" s="14" t="s">
        <v>371</v>
      </c>
      <c r="R758">
        <v>4</v>
      </c>
      <c r="S758" t="b">
        <v>1</v>
      </c>
      <c r="T758" s="14" t="s">
        <v>47</v>
      </c>
      <c r="U758" s="14" t="s">
        <v>47</v>
      </c>
      <c r="V758" s="14" t="s">
        <v>47</v>
      </c>
      <c r="W758" s="14" t="s">
        <v>47</v>
      </c>
      <c r="X758" s="14" t="s">
        <v>51</v>
      </c>
      <c r="Y758" t="b">
        <v>0</v>
      </c>
      <c r="Z758" s="14" t="s">
        <v>47</v>
      </c>
      <c r="AA758" s="14" t="s">
        <v>47</v>
      </c>
      <c r="AB758" s="14" t="s">
        <v>47</v>
      </c>
      <c r="AC758" t="b">
        <v>1</v>
      </c>
      <c r="AD758" s="14" t="s">
        <v>52</v>
      </c>
      <c r="AE758" s="14" t="s">
        <v>4144</v>
      </c>
      <c r="AF758" s="14" t="s">
        <v>4142</v>
      </c>
      <c r="AG758" s="14" t="s">
        <v>3611</v>
      </c>
      <c r="AH758" s="14" t="s">
        <v>87</v>
      </c>
      <c r="AI758" s="2">
        <v>46160.904861111114</v>
      </c>
      <c r="AJ758" s="14" t="s">
        <v>47</v>
      </c>
      <c r="AK758" s="14" t="s">
        <v>47</v>
      </c>
      <c r="AL758" s="2">
        <v>46160.904861111114</v>
      </c>
      <c r="AM758" s="2">
        <v>46160.904861111114</v>
      </c>
    </row>
    <row r="759" spans="1:39" x14ac:dyDescent="0.3">
      <c r="A759" s="14" t="s">
        <v>4145</v>
      </c>
      <c r="B759" s="14" t="s">
        <v>4146</v>
      </c>
      <c r="C759" s="14" t="s">
        <v>41</v>
      </c>
      <c r="D759" s="14" t="s">
        <v>4147</v>
      </c>
      <c r="E759" s="14" t="s">
        <v>4148</v>
      </c>
      <c r="F759" s="14" t="s">
        <v>47</v>
      </c>
      <c r="G759" s="14" t="s">
        <v>47</v>
      </c>
      <c r="H759" s="14" t="s">
        <v>1761</v>
      </c>
      <c r="I759" s="14" t="s">
        <v>47</v>
      </c>
      <c r="J759" s="14" t="s">
        <v>47</v>
      </c>
      <c r="K759" s="14" t="s">
        <v>1128</v>
      </c>
      <c r="L759" s="14" t="s">
        <v>47</v>
      </c>
      <c r="M759" s="1">
        <v>46122</v>
      </c>
      <c r="N759" s="1">
        <v>46122</v>
      </c>
      <c r="O759" s="1">
        <v>46122</v>
      </c>
      <c r="P759" s="14" t="s">
        <v>465</v>
      </c>
      <c r="Q759" s="14" t="s">
        <v>371</v>
      </c>
      <c r="R759">
        <v>4</v>
      </c>
      <c r="S759" t="b">
        <v>1</v>
      </c>
      <c r="T759" s="14" t="s">
        <v>47</v>
      </c>
      <c r="U759" s="14" t="s">
        <v>47</v>
      </c>
      <c r="V759" s="14" t="s">
        <v>47</v>
      </c>
      <c r="W759" s="14" t="s">
        <v>47</v>
      </c>
      <c r="X759" s="14" t="s">
        <v>51</v>
      </c>
      <c r="Y759" t="b">
        <v>0</v>
      </c>
      <c r="Z759" s="14" t="s">
        <v>47</v>
      </c>
      <c r="AA759" s="14" t="s">
        <v>47</v>
      </c>
      <c r="AB759" s="14" t="s">
        <v>47</v>
      </c>
      <c r="AC759" t="b">
        <v>1</v>
      </c>
      <c r="AD759" s="14" t="s">
        <v>52</v>
      </c>
      <c r="AE759" s="14" t="s">
        <v>4149</v>
      </c>
      <c r="AF759" s="14" t="s">
        <v>4147</v>
      </c>
      <c r="AG759" s="14" t="s">
        <v>3611</v>
      </c>
      <c r="AH759" s="14" t="s">
        <v>87</v>
      </c>
      <c r="AI759" s="2">
        <v>46160.904861111114</v>
      </c>
      <c r="AJ759" s="14" t="s">
        <v>47</v>
      </c>
      <c r="AK759" s="14" t="s">
        <v>47</v>
      </c>
      <c r="AL759" s="2">
        <v>46160.904861111114</v>
      </c>
      <c r="AM759" s="2">
        <v>46160.904861111114</v>
      </c>
    </row>
    <row r="760" spans="1:39" x14ac:dyDescent="0.3">
      <c r="A760" s="14" t="s">
        <v>4150</v>
      </c>
      <c r="B760" s="14" t="s">
        <v>4151</v>
      </c>
      <c r="C760" s="14" t="s">
        <v>41</v>
      </c>
      <c r="D760" s="14" t="s">
        <v>4152</v>
      </c>
      <c r="E760" s="14" t="s">
        <v>4153</v>
      </c>
      <c r="F760" s="14" t="s">
        <v>47</v>
      </c>
      <c r="G760" s="14" t="s">
        <v>47</v>
      </c>
      <c r="H760" s="14" t="s">
        <v>1761</v>
      </c>
      <c r="I760" s="14" t="s">
        <v>47</v>
      </c>
      <c r="J760" s="14" t="s">
        <v>47</v>
      </c>
      <c r="K760" s="14" t="s">
        <v>1128</v>
      </c>
      <c r="L760" s="14" t="s">
        <v>47</v>
      </c>
      <c r="M760" s="1">
        <v>46122</v>
      </c>
      <c r="N760" s="1">
        <v>46122</v>
      </c>
      <c r="O760" s="1">
        <v>46122</v>
      </c>
      <c r="P760" s="14" t="s">
        <v>465</v>
      </c>
      <c r="Q760" s="14" t="s">
        <v>371</v>
      </c>
      <c r="R760">
        <v>4</v>
      </c>
      <c r="S760" t="b">
        <v>1</v>
      </c>
      <c r="T760" s="14" t="s">
        <v>47</v>
      </c>
      <c r="U760" s="14" t="s">
        <v>47</v>
      </c>
      <c r="V760" s="14" t="s">
        <v>47</v>
      </c>
      <c r="W760" s="14" t="s">
        <v>47</v>
      </c>
      <c r="X760" s="14" t="s">
        <v>51</v>
      </c>
      <c r="Y760" t="b">
        <v>0</v>
      </c>
      <c r="Z760" s="14" t="s">
        <v>47</v>
      </c>
      <c r="AA760" s="14" t="s">
        <v>47</v>
      </c>
      <c r="AB760" s="14" t="s">
        <v>47</v>
      </c>
      <c r="AC760" t="b">
        <v>1</v>
      </c>
      <c r="AD760" s="14" t="s">
        <v>52</v>
      </c>
      <c r="AE760" s="14" t="s">
        <v>4154</v>
      </c>
      <c r="AF760" s="14" t="s">
        <v>4152</v>
      </c>
      <c r="AG760" s="14" t="s">
        <v>3611</v>
      </c>
      <c r="AH760" s="14" t="s">
        <v>87</v>
      </c>
      <c r="AI760" s="2">
        <v>46160.904861111114</v>
      </c>
      <c r="AJ760" s="14" t="s">
        <v>47</v>
      </c>
      <c r="AK760" s="14" t="s">
        <v>47</v>
      </c>
      <c r="AL760" s="2">
        <v>46160.904861111114</v>
      </c>
      <c r="AM760" s="2">
        <v>46160.904861111114</v>
      </c>
    </row>
    <row r="761" spans="1:39" x14ac:dyDescent="0.3">
      <c r="A761" s="14" t="s">
        <v>4155</v>
      </c>
      <c r="B761" s="14" t="s">
        <v>4156</v>
      </c>
      <c r="C761" s="14" t="s">
        <v>41</v>
      </c>
      <c r="D761" s="14" t="s">
        <v>4157</v>
      </c>
      <c r="E761" s="14" t="s">
        <v>4158</v>
      </c>
      <c r="F761" s="14" t="s">
        <v>47</v>
      </c>
      <c r="G761" s="14" t="s">
        <v>47</v>
      </c>
      <c r="H761" s="14" t="s">
        <v>1761</v>
      </c>
      <c r="I761" s="14" t="s">
        <v>47</v>
      </c>
      <c r="J761" s="14" t="s">
        <v>47</v>
      </c>
      <c r="K761" s="14" t="s">
        <v>1128</v>
      </c>
      <c r="L761" s="14" t="s">
        <v>47</v>
      </c>
      <c r="M761" s="1">
        <v>46122</v>
      </c>
      <c r="N761" s="1">
        <v>46122</v>
      </c>
      <c r="O761" s="1">
        <v>46122</v>
      </c>
      <c r="P761" s="14" t="s">
        <v>465</v>
      </c>
      <c r="Q761" s="14" t="s">
        <v>371</v>
      </c>
      <c r="R761">
        <v>4</v>
      </c>
      <c r="S761" t="b">
        <v>1</v>
      </c>
      <c r="T761" s="14" t="s">
        <v>47</v>
      </c>
      <c r="U761" s="14" t="s">
        <v>47</v>
      </c>
      <c r="V761" s="14" t="s">
        <v>47</v>
      </c>
      <c r="W761" s="14" t="s">
        <v>47</v>
      </c>
      <c r="X761" s="14" t="s">
        <v>51</v>
      </c>
      <c r="Y761" t="b">
        <v>0</v>
      </c>
      <c r="Z761" s="14" t="s">
        <v>47</v>
      </c>
      <c r="AA761" s="14" t="s">
        <v>47</v>
      </c>
      <c r="AB761" s="14" t="s">
        <v>47</v>
      </c>
      <c r="AC761" t="b">
        <v>1</v>
      </c>
      <c r="AD761" s="14" t="s">
        <v>52</v>
      </c>
      <c r="AE761" s="14" t="s">
        <v>4159</v>
      </c>
      <c r="AF761" s="14" t="s">
        <v>4157</v>
      </c>
      <c r="AG761" s="14" t="s">
        <v>3611</v>
      </c>
      <c r="AH761" s="14" t="s">
        <v>87</v>
      </c>
      <c r="AI761" s="2">
        <v>46160.904861111114</v>
      </c>
      <c r="AJ761" s="14" t="s">
        <v>47</v>
      </c>
      <c r="AK761" s="14" t="s">
        <v>47</v>
      </c>
      <c r="AL761" s="2">
        <v>46160.904861111114</v>
      </c>
      <c r="AM761" s="2">
        <v>46160.904861111114</v>
      </c>
    </row>
    <row r="762" spans="1:39" x14ac:dyDescent="0.3">
      <c r="A762" s="14" t="s">
        <v>4160</v>
      </c>
      <c r="B762" s="14" t="s">
        <v>4161</v>
      </c>
      <c r="C762" s="14" t="s">
        <v>41</v>
      </c>
      <c r="D762" s="14" t="s">
        <v>4162</v>
      </c>
      <c r="E762" s="14" t="s">
        <v>4163</v>
      </c>
      <c r="F762" s="14" t="s">
        <v>47</v>
      </c>
      <c r="G762" s="14" t="s">
        <v>47</v>
      </c>
      <c r="H762" s="14" t="s">
        <v>85</v>
      </c>
      <c r="I762" s="14" t="s">
        <v>47</v>
      </c>
      <c r="J762" s="14" t="s">
        <v>47</v>
      </c>
      <c r="K762" s="14" t="s">
        <v>48</v>
      </c>
      <c r="L762" s="14" t="s">
        <v>47</v>
      </c>
      <c r="M762" s="1">
        <v>46129</v>
      </c>
      <c r="N762" s="1">
        <v>46129</v>
      </c>
      <c r="O762" s="1">
        <v>46129</v>
      </c>
      <c r="P762" s="14" t="s">
        <v>49</v>
      </c>
      <c r="Q762" s="14" t="s">
        <v>50</v>
      </c>
      <c r="R762">
        <v>2</v>
      </c>
      <c r="S762" t="b">
        <v>0</v>
      </c>
      <c r="T762" s="14" t="s">
        <v>47</v>
      </c>
      <c r="U762" s="14" t="s">
        <v>47</v>
      </c>
      <c r="V762" s="14" t="s">
        <v>47</v>
      </c>
      <c r="W762" s="14" t="s">
        <v>47</v>
      </c>
      <c r="X762" s="14" t="s">
        <v>51</v>
      </c>
      <c r="Y762" t="b">
        <v>0</v>
      </c>
      <c r="Z762" s="14" t="s">
        <v>47</v>
      </c>
      <c r="AA762" s="14" t="s">
        <v>47</v>
      </c>
      <c r="AB762" s="14" t="s">
        <v>47</v>
      </c>
      <c r="AC762" t="b">
        <v>1</v>
      </c>
      <c r="AD762" s="14" t="s">
        <v>52</v>
      </c>
      <c r="AE762" s="14" t="s">
        <v>4164</v>
      </c>
      <c r="AF762" s="14" t="s">
        <v>4162</v>
      </c>
      <c r="AG762" s="14" t="s">
        <v>3611</v>
      </c>
      <c r="AH762" s="14" t="s">
        <v>87</v>
      </c>
      <c r="AI762" s="2">
        <v>46160.904861111114</v>
      </c>
      <c r="AJ762" s="14" t="s">
        <v>47</v>
      </c>
      <c r="AK762" s="14" t="s">
        <v>47</v>
      </c>
      <c r="AL762" s="2">
        <v>46160.904861111114</v>
      </c>
      <c r="AM762" s="2">
        <v>46160.904861111114</v>
      </c>
    </row>
    <row r="763" spans="1:39" x14ac:dyDescent="0.3">
      <c r="A763" s="14" t="s">
        <v>4165</v>
      </c>
      <c r="B763" s="14" t="s">
        <v>4166</v>
      </c>
      <c r="C763" s="14" t="s">
        <v>41</v>
      </c>
      <c r="D763" s="14" t="s">
        <v>4167</v>
      </c>
      <c r="E763" s="14" t="s">
        <v>4168</v>
      </c>
      <c r="F763" s="14" t="s">
        <v>47</v>
      </c>
      <c r="G763" s="14" t="s">
        <v>47</v>
      </c>
      <c r="H763" s="14" t="s">
        <v>1761</v>
      </c>
      <c r="I763" s="14" t="s">
        <v>47</v>
      </c>
      <c r="J763" s="14" t="s">
        <v>47</v>
      </c>
      <c r="K763" s="14" t="s">
        <v>1128</v>
      </c>
      <c r="L763" s="14" t="s">
        <v>47</v>
      </c>
      <c r="M763" s="1">
        <v>46122</v>
      </c>
      <c r="N763" s="1">
        <v>46122</v>
      </c>
      <c r="O763" s="1">
        <v>46122</v>
      </c>
      <c r="P763" s="14" t="s">
        <v>465</v>
      </c>
      <c r="Q763" s="14" t="s">
        <v>371</v>
      </c>
      <c r="R763">
        <v>4</v>
      </c>
      <c r="S763" t="b">
        <v>1</v>
      </c>
      <c r="T763" s="14" t="s">
        <v>47</v>
      </c>
      <c r="U763" s="14" t="s">
        <v>47</v>
      </c>
      <c r="V763" s="14" t="s">
        <v>47</v>
      </c>
      <c r="W763" s="14" t="s">
        <v>47</v>
      </c>
      <c r="X763" s="14" t="s">
        <v>51</v>
      </c>
      <c r="Y763" t="b">
        <v>0</v>
      </c>
      <c r="Z763" s="14" t="s">
        <v>47</v>
      </c>
      <c r="AA763" s="14" t="s">
        <v>47</v>
      </c>
      <c r="AB763" s="14" t="s">
        <v>47</v>
      </c>
      <c r="AC763" t="b">
        <v>1</v>
      </c>
      <c r="AD763" s="14" t="s">
        <v>52</v>
      </c>
      <c r="AE763" s="14" t="s">
        <v>4169</v>
      </c>
      <c r="AF763" s="14" t="s">
        <v>4167</v>
      </c>
      <c r="AG763" s="14" t="s">
        <v>3611</v>
      </c>
      <c r="AH763" s="14" t="s">
        <v>87</v>
      </c>
      <c r="AI763" s="2">
        <v>46160.904872685183</v>
      </c>
      <c r="AJ763" s="14" t="s">
        <v>47</v>
      </c>
      <c r="AK763" s="14" t="s">
        <v>47</v>
      </c>
      <c r="AL763" s="2">
        <v>46160.904872685183</v>
      </c>
      <c r="AM763" s="2">
        <v>46160.904872685183</v>
      </c>
    </row>
    <row r="764" spans="1:39" x14ac:dyDescent="0.3">
      <c r="A764" s="14" t="s">
        <v>4170</v>
      </c>
      <c r="B764" s="14" t="s">
        <v>4171</v>
      </c>
      <c r="C764" s="14" t="s">
        <v>41</v>
      </c>
      <c r="D764" s="14" t="s">
        <v>4172</v>
      </c>
      <c r="E764" s="14" t="s">
        <v>4173</v>
      </c>
      <c r="F764" s="14" t="s">
        <v>47</v>
      </c>
      <c r="G764" s="14" t="s">
        <v>47</v>
      </c>
      <c r="H764" s="14" t="s">
        <v>1761</v>
      </c>
      <c r="I764" s="14" t="s">
        <v>47</v>
      </c>
      <c r="J764" s="14" t="s">
        <v>47</v>
      </c>
      <c r="K764" s="14" t="s">
        <v>1128</v>
      </c>
      <c r="L764" s="14" t="s">
        <v>47</v>
      </c>
      <c r="M764" s="1">
        <v>46122</v>
      </c>
      <c r="N764" s="1">
        <v>46122</v>
      </c>
      <c r="O764" s="1">
        <v>46122</v>
      </c>
      <c r="P764" s="14" t="s">
        <v>465</v>
      </c>
      <c r="Q764" s="14" t="s">
        <v>371</v>
      </c>
      <c r="R764">
        <v>4</v>
      </c>
      <c r="S764" t="b">
        <v>1</v>
      </c>
      <c r="T764" s="14" t="s">
        <v>47</v>
      </c>
      <c r="U764" s="14" t="s">
        <v>47</v>
      </c>
      <c r="V764" s="14" t="s">
        <v>47</v>
      </c>
      <c r="W764" s="14" t="s">
        <v>47</v>
      </c>
      <c r="X764" s="14" t="s">
        <v>51</v>
      </c>
      <c r="Y764" t="b">
        <v>0</v>
      </c>
      <c r="Z764" s="14" t="s">
        <v>47</v>
      </c>
      <c r="AA764" s="14" t="s">
        <v>47</v>
      </c>
      <c r="AB764" s="14" t="s">
        <v>47</v>
      </c>
      <c r="AC764" t="b">
        <v>1</v>
      </c>
      <c r="AD764" s="14" t="s">
        <v>52</v>
      </c>
      <c r="AE764" s="14" t="s">
        <v>4174</v>
      </c>
      <c r="AF764" s="14" t="s">
        <v>4172</v>
      </c>
      <c r="AG764" s="14" t="s">
        <v>3611</v>
      </c>
      <c r="AH764" s="14" t="s">
        <v>87</v>
      </c>
      <c r="AI764" s="2">
        <v>46160.904872685183</v>
      </c>
      <c r="AJ764" s="14" t="s">
        <v>47</v>
      </c>
      <c r="AK764" s="14" t="s">
        <v>47</v>
      </c>
      <c r="AL764" s="2">
        <v>46160.904872685183</v>
      </c>
      <c r="AM764" s="2">
        <v>46160.904872685183</v>
      </c>
    </row>
    <row r="765" spans="1:39" x14ac:dyDescent="0.3">
      <c r="A765" s="14" t="s">
        <v>4175</v>
      </c>
      <c r="B765" s="14" t="s">
        <v>4176</v>
      </c>
      <c r="C765" s="14" t="s">
        <v>41</v>
      </c>
      <c r="D765" s="14" t="s">
        <v>4177</v>
      </c>
      <c r="E765" s="14" t="s">
        <v>4178</v>
      </c>
      <c r="F765" s="14" t="s">
        <v>47</v>
      </c>
      <c r="G765" s="14" t="s">
        <v>47</v>
      </c>
      <c r="H765" s="14" t="s">
        <v>1761</v>
      </c>
      <c r="I765" s="14" t="s">
        <v>47</v>
      </c>
      <c r="J765" s="14" t="s">
        <v>47</v>
      </c>
      <c r="K765" s="14" t="s">
        <v>1128</v>
      </c>
      <c r="L765" s="14" t="s">
        <v>47</v>
      </c>
      <c r="M765" s="1">
        <v>46122</v>
      </c>
      <c r="N765" s="1">
        <v>46122</v>
      </c>
      <c r="O765" s="1">
        <v>46122</v>
      </c>
      <c r="P765" s="14" t="s">
        <v>465</v>
      </c>
      <c r="Q765" s="14" t="s">
        <v>371</v>
      </c>
      <c r="R765">
        <v>4</v>
      </c>
      <c r="S765" t="b">
        <v>1</v>
      </c>
      <c r="T765" s="14" t="s">
        <v>47</v>
      </c>
      <c r="U765" s="14" t="s">
        <v>47</v>
      </c>
      <c r="V765" s="14" t="s">
        <v>47</v>
      </c>
      <c r="W765" s="14" t="s">
        <v>47</v>
      </c>
      <c r="X765" s="14" t="s">
        <v>51</v>
      </c>
      <c r="Y765" t="b">
        <v>0</v>
      </c>
      <c r="Z765" s="14" t="s">
        <v>47</v>
      </c>
      <c r="AA765" s="14" t="s">
        <v>47</v>
      </c>
      <c r="AB765" s="14" t="s">
        <v>47</v>
      </c>
      <c r="AC765" t="b">
        <v>1</v>
      </c>
      <c r="AD765" s="14" t="s">
        <v>52</v>
      </c>
      <c r="AE765" s="14" t="s">
        <v>4179</v>
      </c>
      <c r="AF765" s="14" t="s">
        <v>4177</v>
      </c>
      <c r="AG765" s="14" t="s">
        <v>3611</v>
      </c>
      <c r="AH765" s="14" t="s">
        <v>87</v>
      </c>
      <c r="AI765" s="2">
        <v>46160.904872685183</v>
      </c>
      <c r="AJ765" s="14" t="s">
        <v>47</v>
      </c>
      <c r="AK765" s="14" t="s">
        <v>47</v>
      </c>
      <c r="AL765" s="2">
        <v>46160.904872685183</v>
      </c>
      <c r="AM765" s="2">
        <v>46160.904872685183</v>
      </c>
    </row>
    <row r="766" spans="1:39" x14ac:dyDescent="0.3">
      <c r="A766" s="14" t="s">
        <v>4180</v>
      </c>
      <c r="B766" s="14" t="s">
        <v>4181</v>
      </c>
      <c r="C766" s="14" t="s">
        <v>41</v>
      </c>
      <c r="D766" s="14" t="s">
        <v>4182</v>
      </c>
      <c r="E766" s="14" t="s">
        <v>4183</v>
      </c>
      <c r="F766" s="14" t="s">
        <v>47</v>
      </c>
      <c r="G766" s="14" t="s">
        <v>47</v>
      </c>
      <c r="H766" s="14" t="s">
        <v>1761</v>
      </c>
      <c r="I766" s="14" t="s">
        <v>47</v>
      </c>
      <c r="J766" s="14" t="s">
        <v>47</v>
      </c>
      <c r="K766" s="14" t="s">
        <v>1128</v>
      </c>
      <c r="L766" s="14" t="s">
        <v>47</v>
      </c>
      <c r="M766" s="1">
        <v>46122</v>
      </c>
      <c r="N766" s="1">
        <v>46122</v>
      </c>
      <c r="O766" s="1">
        <v>46122</v>
      </c>
      <c r="P766" s="14" t="s">
        <v>465</v>
      </c>
      <c r="Q766" s="14" t="s">
        <v>371</v>
      </c>
      <c r="R766">
        <v>4</v>
      </c>
      <c r="S766" t="b">
        <v>1</v>
      </c>
      <c r="T766" s="14" t="s">
        <v>47</v>
      </c>
      <c r="U766" s="14" t="s">
        <v>47</v>
      </c>
      <c r="V766" s="14" t="s">
        <v>47</v>
      </c>
      <c r="W766" s="14" t="s">
        <v>47</v>
      </c>
      <c r="X766" s="14" t="s">
        <v>51</v>
      </c>
      <c r="Y766" t="b">
        <v>0</v>
      </c>
      <c r="Z766" s="14" t="s">
        <v>47</v>
      </c>
      <c r="AA766" s="14" t="s">
        <v>47</v>
      </c>
      <c r="AB766" s="14" t="s">
        <v>47</v>
      </c>
      <c r="AC766" t="b">
        <v>1</v>
      </c>
      <c r="AD766" s="14" t="s">
        <v>52</v>
      </c>
      <c r="AE766" s="14" t="s">
        <v>4184</v>
      </c>
      <c r="AF766" s="14" t="s">
        <v>4182</v>
      </c>
      <c r="AG766" s="14" t="s">
        <v>3611</v>
      </c>
      <c r="AH766" s="14" t="s">
        <v>87</v>
      </c>
      <c r="AI766" s="2">
        <v>46160.904872685183</v>
      </c>
      <c r="AJ766" s="14" t="s">
        <v>47</v>
      </c>
      <c r="AK766" s="14" t="s">
        <v>47</v>
      </c>
      <c r="AL766" s="2">
        <v>46160.904872685183</v>
      </c>
      <c r="AM766" s="2">
        <v>46160.904872685183</v>
      </c>
    </row>
    <row r="767" spans="1:39" x14ac:dyDescent="0.3">
      <c r="A767" s="14" t="s">
        <v>4185</v>
      </c>
      <c r="B767" s="14" t="s">
        <v>4186</v>
      </c>
      <c r="C767" s="14" t="s">
        <v>41</v>
      </c>
      <c r="D767" s="14" t="s">
        <v>4187</v>
      </c>
      <c r="E767" s="14" t="s">
        <v>4188</v>
      </c>
      <c r="F767" s="14" t="s">
        <v>47</v>
      </c>
      <c r="G767" s="14" t="s">
        <v>47</v>
      </c>
      <c r="H767" s="14" t="s">
        <v>1761</v>
      </c>
      <c r="I767" s="14" t="s">
        <v>47</v>
      </c>
      <c r="J767" s="14" t="s">
        <v>47</v>
      </c>
      <c r="K767" s="14" t="s">
        <v>1128</v>
      </c>
      <c r="L767" s="14" t="s">
        <v>47</v>
      </c>
      <c r="M767" s="1">
        <v>46122</v>
      </c>
      <c r="N767" s="1">
        <v>46122</v>
      </c>
      <c r="O767" s="1">
        <v>46122</v>
      </c>
      <c r="P767" s="14" t="s">
        <v>465</v>
      </c>
      <c r="Q767" s="14" t="s">
        <v>371</v>
      </c>
      <c r="R767">
        <v>4</v>
      </c>
      <c r="S767" t="b">
        <v>1</v>
      </c>
      <c r="T767" s="14" t="s">
        <v>47</v>
      </c>
      <c r="U767" s="14" t="s">
        <v>47</v>
      </c>
      <c r="V767" s="14" t="s">
        <v>47</v>
      </c>
      <c r="W767" s="14" t="s">
        <v>47</v>
      </c>
      <c r="X767" s="14" t="s">
        <v>51</v>
      </c>
      <c r="Y767" t="b">
        <v>0</v>
      </c>
      <c r="Z767" s="14" t="s">
        <v>47</v>
      </c>
      <c r="AA767" s="14" t="s">
        <v>47</v>
      </c>
      <c r="AB767" s="14" t="s">
        <v>47</v>
      </c>
      <c r="AC767" t="b">
        <v>1</v>
      </c>
      <c r="AD767" s="14" t="s">
        <v>52</v>
      </c>
      <c r="AE767" s="14" t="s">
        <v>4189</v>
      </c>
      <c r="AF767" s="14" t="s">
        <v>4187</v>
      </c>
      <c r="AG767" s="14" t="s">
        <v>3611</v>
      </c>
      <c r="AH767" s="14" t="s">
        <v>87</v>
      </c>
      <c r="AI767" s="2">
        <v>46160.904872685183</v>
      </c>
      <c r="AJ767" s="14" t="s">
        <v>47</v>
      </c>
      <c r="AK767" s="14" t="s">
        <v>47</v>
      </c>
      <c r="AL767" s="2">
        <v>46160.904872685183</v>
      </c>
      <c r="AM767" s="2">
        <v>46160.904872685183</v>
      </c>
    </row>
    <row r="768" spans="1:39" x14ac:dyDescent="0.3">
      <c r="A768" s="14" t="s">
        <v>4190</v>
      </c>
      <c r="B768" s="14" t="s">
        <v>4191</v>
      </c>
      <c r="C768" s="14" t="s">
        <v>41</v>
      </c>
      <c r="D768" s="14" t="s">
        <v>4192</v>
      </c>
      <c r="E768" s="14" t="s">
        <v>4193</v>
      </c>
      <c r="F768" s="14" t="s">
        <v>47</v>
      </c>
      <c r="G768" s="14" t="s">
        <v>47</v>
      </c>
      <c r="H768" s="14" t="s">
        <v>1761</v>
      </c>
      <c r="I768" s="14" t="s">
        <v>47</v>
      </c>
      <c r="J768" s="14" t="s">
        <v>47</v>
      </c>
      <c r="K768" s="14" t="s">
        <v>1128</v>
      </c>
      <c r="L768" s="14" t="s">
        <v>47</v>
      </c>
      <c r="M768" s="1">
        <v>46122</v>
      </c>
      <c r="N768" s="1">
        <v>46122</v>
      </c>
      <c r="O768" s="1">
        <v>46122</v>
      </c>
      <c r="P768" s="14" t="s">
        <v>465</v>
      </c>
      <c r="Q768" s="14" t="s">
        <v>371</v>
      </c>
      <c r="R768">
        <v>4</v>
      </c>
      <c r="S768" t="b">
        <v>1</v>
      </c>
      <c r="T768" s="14" t="s">
        <v>47</v>
      </c>
      <c r="U768" s="14" t="s">
        <v>47</v>
      </c>
      <c r="V768" s="14" t="s">
        <v>47</v>
      </c>
      <c r="W768" s="14" t="s">
        <v>47</v>
      </c>
      <c r="X768" s="14" t="s">
        <v>51</v>
      </c>
      <c r="Y768" t="b">
        <v>0</v>
      </c>
      <c r="Z768" s="14" t="s">
        <v>47</v>
      </c>
      <c r="AA768" s="14" t="s">
        <v>47</v>
      </c>
      <c r="AB768" s="14" t="s">
        <v>47</v>
      </c>
      <c r="AC768" t="b">
        <v>1</v>
      </c>
      <c r="AD768" s="14" t="s">
        <v>52</v>
      </c>
      <c r="AE768" s="14" t="s">
        <v>4194</v>
      </c>
      <c r="AF768" s="14" t="s">
        <v>4192</v>
      </c>
      <c r="AG768" s="14" t="s">
        <v>3611</v>
      </c>
      <c r="AH768" s="14" t="s">
        <v>87</v>
      </c>
      <c r="AI768" s="2">
        <v>46160.904872685183</v>
      </c>
      <c r="AJ768" s="14" t="s">
        <v>47</v>
      </c>
      <c r="AK768" s="14" t="s">
        <v>47</v>
      </c>
      <c r="AL768" s="2">
        <v>46160.904872685183</v>
      </c>
      <c r="AM768" s="2">
        <v>46160.904872685183</v>
      </c>
    </row>
    <row r="769" spans="1:39" x14ac:dyDescent="0.3">
      <c r="A769" s="14" t="s">
        <v>4195</v>
      </c>
      <c r="B769" s="14" t="s">
        <v>4196</v>
      </c>
      <c r="C769" s="14" t="s">
        <v>41</v>
      </c>
      <c r="D769" s="14" t="s">
        <v>4197</v>
      </c>
      <c r="E769" s="14" t="s">
        <v>4198</v>
      </c>
      <c r="F769" s="14" t="s">
        <v>47</v>
      </c>
      <c r="G769" s="14" t="s">
        <v>47</v>
      </c>
      <c r="H769" s="14" t="s">
        <v>1761</v>
      </c>
      <c r="I769" s="14" t="s">
        <v>47</v>
      </c>
      <c r="J769" s="14" t="s">
        <v>47</v>
      </c>
      <c r="K769" s="14" t="s">
        <v>1128</v>
      </c>
      <c r="L769" s="14" t="s">
        <v>47</v>
      </c>
      <c r="M769" s="1">
        <v>46122</v>
      </c>
      <c r="N769" s="1">
        <v>46122</v>
      </c>
      <c r="O769" s="1">
        <v>46122</v>
      </c>
      <c r="P769" s="14" t="s">
        <v>465</v>
      </c>
      <c r="Q769" s="14" t="s">
        <v>371</v>
      </c>
      <c r="R769">
        <v>4</v>
      </c>
      <c r="S769" t="b">
        <v>1</v>
      </c>
      <c r="T769" s="14" t="s">
        <v>47</v>
      </c>
      <c r="U769" s="14" t="s">
        <v>47</v>
      </c>
      <c r="V769" s="14" t="s">
        <v>47</v>
      </c>
      <c r="W769" s="14" t="s">
        <v>47</v>
      </c>
      <c r="X769" s="14" t="s">
        <v>51</v>
      </c>
      <c r="Y769" t="b">
        <v>0</v>
      </c>
      <c r="Z769" s="14" t="s">
        <v>47</v>
      </c>
      <c r="AA769" s="14" t="s">
        <v>47</v>
      </c>
      <c r="AB769" s="14" t="s">
        <v>47</v>
      </c>
      <c r="AC769" t="b">
        <v>1</v>
      </c>
      <c r="AD769" s="14" t="s">
        <v>52</v>
      </c>
      <c r="AE769" s="14" t="s">
        <v>4199</v>
      </c>
      <c r="AF769" s="14" t="s">
        <v>4197</v>
      </c>
      <c r="AG769" s="14" t="s">
        <v>3611</v>
      </c>
      <c r="AH769" s="14" t="s">
        <v>87</v>
      </c>
      <c r="AI769" s="2">
        <v>46160.904872685183</v>
      </c>
      <c r="AJ769" s="14" t="s">
        <v>47</v>
      </c>
      <c r="AK769" s="14" t="s">
        <v>47</v>
      </c>
      <c r="AL769" s="2">
        <v>46160.904872685183</v>
      </c>
      <c r="AM769" s="2">
        <v>46160.904872685183</v>
      </c>
    </row>
    <row r="770" spans="1:39" x14ac:dyDescent="0.3">
      <c r="A770" s="14" t="s">
        <v>4200</v>
      </c>
      <c r="B770" s="14" t="s">
        <v>4201</v>
      </c>
      <c r="C770" s="14" t="s">
        <v>41</v>
      </c>
      <c r="D770" s="14" t="s">
        <v>4202</v>
      </c>
      <c r="E770" s="14" t="s">
        <v>4203</v>
      </c>
      <c r="F770" s="14" t="s">
        <v>47</v>
      </c>
      <c r="G770" s="14" t="s">
        <v>47</v>
      </c>
      <c r="H770" s="14" t="s">
        <v>1761</v>
      </c>
      <c r="I770" s="14" t="s">
        <v>47</v>
      </c>
      <c r="J770" s="14" t="s">
        <v>47</v>
      </c>
      <c r="K770" s="14" t="s">
        <v>1128</v>
      </c>
      <c r="L770" s="14" t="s">
        <v>47</v>
      </c>
      <c r="M770" s="1">
        <v>46122</v>
      </c>
      <c r="N770" s="1">
        <v>46122</v>
      </c>
      <c r="O770" s="1">
        <v>46122</v>
      </c>
      <c r="P770" s="14" t="s">
        <v>465</v>
      </c>
      <c r="Q770" s="14" t="s">
        <v>371</v>
      </c>
      <c r="R770">
        <v>4</v>
      </c>
      <c r="S770" t="b">
        <v>1</v>
      </c>
      <c r="T770" s="14" t="s">
        <v>47</v>
      </c>
      <c r="U770" s="14" t="s">
        <v>47</v>
      </c>
      <c r="V770" s="14" t="s">
        <v>47</v>
      </c>
      <c r="W770" s="14" t="s">
        <v>47</v>
      </c>
      <c r="X770" s="14" t="s">
        <v>51</v>
      </c>
      <c r="Y770" t="b">
        <v>0</v>
      </c>
      <c r="Z770" s="14" t="s">
        <v>47</v>
      </c>
      <c r="AA770" s="14" t="s">
        <v>47</v>
      </c>
      <c r="AB770" s="14" t="s">
        <v>47</v>
      </c>
      <c r="AC770" t="b">
        <v>1</v>
      </c>
      <c r="AD770" s="14" t="s">
        <v>52</v>
      </c>
      <c r="AE770" s="14" t="s">
        <v>4204</v>
      </c>
      <c r="AF770" s="14" t="s">
        <v>4202</v>
      </c>
      <c r="AG770" s="14" t="s">
        <v>3611</v>
      </c>
      <c r="AH770" s="14" t="s">
        <v>87</v>
      </c>
      <c r="AI770" s="2">
        <v>46160.904872685183</v>
      </c>
      <c r="AJ770" s="14" t="s">
        <v>47</v>
      </c>
      <c r="AK770" s="14" t="s">
        <v>47</v>
      </c>
      <c r="AL770" s="2">
        <v>46160.904872685183</v>
      </c>
      <c r="AM770" s="2">
        <v>46160.904872685183</v>
      </c>
    </row>
    <row r="771" spans="1:39" x14ac:dyDescent="0.3">
      <c r="A771" s="14" t="s">
        <v>4205</v>
      </c>
      <c r="B771" s="14" t="s">
        <v>4206</v>
      </c>
      <c r="C771" s="14" t="s">
        <v>41</v>
      </c>
      <c r="D771" s="14" t="s">
        <v>4207</v>
      </c>
      <c r="E771" s="14" t="s">
        <v>4208</v>
      </c>
      <c r="F771" s="14" t="s">
        <v>47</v>
      </c>
      <c r="G771" s="14" t="s">
        <v>47</v>
      </c>
      <c r="H771" s="14" t="s">
        <v>1761</v>
      </c>
      <c r="I771" s="14" t="s">
        <v>47</v>
      </c>
      <c r="J771" s="14" t="s">
        <v>47</v>
      </c>
      <c r="K771" s="14" t="s">
        <v>1128</v>
      </c>
      <c r="L771" s="14" t="s">
        <v>47</v>
      </c>
      <c r="M771" s="1">
        <v>46122</v>
      </c>
      <c r="N771" s="1">
        <v>46122</v>
      </c>
      <c r="O771" s="1">
        <v>46122</v>
      </c>
      <c r="P771" s="14" t="s">
        <v>465</v>
      </c>
      <c r="Q771" s="14" t="s">
        <v>371</v>
      </c>
      <c r="R771">
        <v>4</v>
      </c>
      <c r="S771" t="b">
        <v>1</v>
      </c>
      <c r="T771" s="14" t="s">
        <v>47</v>
      </c>
      <c r="U771" s="14" t="s">
        <v>47</v>
      </c>
      <c r="V771" s="14" t="s">
        <v>47</v>
      </c>
      <c r="W771" s="14" t="s">
        <v>47</v>
      </c>
      <c r="X771" s="14" t="s">
        <v>51</v>
      </c>
      <c r="Y771" t="b">
        <v>0</v>
      </c>
      <c r="Z771" s="14" t="s">
        <v>47</v>
      </c>
      <c r="AA771" s="14" t="s">
        <v>47</v>
      </c>
      <c r="AB771" s="14" t="s">
        <v>47</v>
      </c>
      <c r="AC771" t="b">
        <v>1</v>
      </c>
      <c r="AD771" s="14" t="s">
        <v>52</v>
      </c>
      <c r="AE771" s="14" t="s">
        <v>4209</v>
      </c>
      <c r="AF771" s="14" t="s">
        <v>4207</v>
      </c>
      <c r="AG771" s="14" t="s">
        <v>3611</v>
      </c>
      <c r="AH771" s="14" t="s">
        <v>87</v>
      </c>
      <c r="AI771" s="2">
        <v>46160.904872685183</v>
      </c>
      <c r="AJ771" s="14" t="s">
        <v>47</v>
      </c>
      <c r="AK771" s="14" t="s">
        <v>47</v>
      </c>
      <c r="AL771" s="2">
        <v>46160.904872685183</v>
      </c>
      <c r="AM771" s="2">
        <v>46160.904872685183</v>
      </c>
    </row>
    <row r="772" spans="1:39" x14ac:dyDescent="0.3">
      <c r="A772" s="14" t="s">
        <v>4210</v>
      </c>
      <c r="B772" s="14" t="s">
        <v>4211</v>
      </c>
      <c r="C772" s="14" t="s">
        <v>41</v>
      </c>
      <c r="D772" s="14" t="s">
        <v>4212</v>
      </c>
      <c r="E772" s="14" t="s">
        <v>4213</v>
      </c>
      <c r="F772" s="14" t="s">
        <v>47</v>
      </c>
      <c r="G772" s="14" t="s">
        <v>47</v>
      </c>
      <c r="H772" s="14" t="s">
        <v>1761</v>
      </c>
      <c r="I772" s="14" t="s">
        <v>47</v>
      </c>
      <c r="J772" s="14" t="s">
        <v>47</v>
      </c>
      <c r="K772" s="14" t="s">
        <v>1128</v>
      </c>
      <c r="L772" s="14" t="s">
        <v>47</v>
      </c>
      <c r="M772" s="1">
        <v>46122</v>
      </c>
      <c r="N772" s="1">
        <v>46122</v>
      </c>
      <c r="O772" s="1">
        <v>46122</v>
      </c>
      <c r="P772" s="14" t="s">
        <v>465</v>
      </c>
      <c r="Q772" s="14" t="s">
        <v>371</v>
      </c>
      <c r="R772">
        <v>4</v>
      </c>
      <c r="S772" t="b">
        <v>1</v>
      </c>
      <c r="T772" s="14" t="s">
        <v>47</v>
      </c>
      <c r="U772" s="14" t="s">
        <v>47</v>
      </c>
      <c r="V772" s="14" t="s">
        <v>47</v>
      </c>
      <c r="W772" s="14" t="s">
        <v>47</v>
      </c>
      <c r="X772" s="14" t="s">
        <v>51</v>
      </c>
      <c r="Y772" t="b">
        <v>0</v>
      </c>
      <c r="Z772" s="14" t="s">
        <v>47</v>
      </c>
      <c r="AA772" s="14" t="s">
        <v>47</v>
      </c>
      <c r="AB772" s="14" t="s">
        <v>47</v>
      </c>
      <c r="AC772" t="b">
        <v>1</v>
      </c>
      <c r="AD772" s="14" t="s">
        <v>52</v>
      </c>
      <c r="AE772" s="14" t="s">
        <v>4214</v>
      </c>
      <c r="AF772" s="14" t="s">
        <v>4212</v>
      </c>
      <c r="AG772" s="14" t="s">
        <v>3611</v>
      </c>
      <c r="AH772" s="14" t="s">
        <v>87</v>
      </c>
      <c r="AI772" s="2">
        <v>46160.904872685183</v>
      </c>
      <c r="AJ772" s="14" t="s">
        <v>47</v>
      </c>
      <c r="AK772" s="14" t="s">
        <v>47</v>
      </c>
      <c r="AL772" s="2">
        <v>46160.904872685183</v>
      </c>
      <c r="AM772" s="2">
        <v>46160.904872685183</v>
      </c>
    </row>
    <row r="773" spans="1:39" x14ac:dyDescent="0.3">
      <c r="A773" s="14" t="s">
        <v>4215</v>
      </c>
      <c r="B773" s="14" t="s">
        <v>4216</v>
      </c>
      <c r="C773" s="14" t="s">
        <v>41</v>
      </c>
      <c r="D773" s="14" t="s">
        <v>4217</v>
      </c>
      <c r="E773" s="14" t="s">
        <v>4218</v>
      </c>
      <c r="F773" s="14" t="s">
        <v>47</v>
      </c>
      <c r="G773" s="14" t="s">
        <v>47</v>
      </c>
      <c r="H773" s="14" t="s">
        <v>1761</v>
      </c>
      <c r="I773" s="14" t="s">
        <v>47</v>
      </c>
      <c r="J773" s="14" t="s">
        <v>47</v>
      </c>
      <c r="K773" s="14" t="s">
        <v>1128</v>
      </c>
      <c r="L773" s="14" t="s">
        <v>47</v>
      </c>
      <c r="M773" s="1">
        <v>46122</v>
      </c>
      <c r="N773" s="1">
        <v>46122</v>
      </c>
      <c r="O773" s="1">
        <v>46122</v>
      </c>
      <c r="P773" s="14" t="s">
        <v>465</v>
      </c>
      <c r="Q773" s="14" t="s">
        <v>371</v>
      </c>
      <c r="R773">
        <v>4</v>
      </c>
      <c r="S773" t="b">
        <v>1</v>
      </c>
      <c r="T773" s="14" t="s">
        <v>47</v>
      </c>
      <c r="U773" s="14" t="s">
        <v>47</v>
      </c>
      <c r="V773" s="14" t="s">
        <v>47</v>
      </c>
      <c r="W773" s="14" t="s">
        <v>47</v>
      </c>
      <c r="X773" s="14" t="s">
        <v>51</v>
      </c>
      <c r="Y773" t="b">
        <v>0</v>
      </c>
      <c r="Z773" s="14" t="s">
        <v>47</v>
      </c>
      <c r="AA773" s="14" t="s">
        <v>47</v>
      </c>
      <c r="AB773" s="14" t="s">
        <v>47</v>
      </c>
      <c r="AC773" t="b">
        <v>1</v>
      </c>
      <c r="AD773" s="14" t="s">
        <v>52</v>
      </c>
      <c r="AE773" s="14" t="s">
        <v>4219</v>
      </c>
      <c r="AF773" s="14" t="s">
        <v>4217</v>
      </c>
      <c r="AG773" s="14" t="s">
        <v>3611</v>
      </c>
      <c r="AH773" s="14" t="s">
        <v>87</v>
      </c>
      <c r="AI773" s="2">
        <v>46160.904872685183</v>
      </c>
      <c r="AJ773" s="14" t="s">
        <v>47</v>
      </c>
      <c r="AK773" s="14" t="s">
        <v>47</v>
      </c>
      <c r="AL773" s="2">
        <v>46160.904872685183</v>
      </c>
      <c r="AM773" s="2">
        <v>46160.904872685183</v>
      </c>
    </row>
    <row r="774" spans="1:39" x14ac:dyDescent="0.3">
      <c r="A774" s="14" t="s">
        <v>4220</v>
      </c>
      <c r="B774" s="14" t="s">
        <v>4221</v>
      </c>
      <c r="C774" s="14" t="s">
        <v>41</v>
      </c>
      <c r="D774" s="14" t="s">
        <v>4222</v>
      </c>
      <c r="E774" s="14" t="s">
        <v>4223</v>
      </c>
      <c r="F774" s="14" t="s">
        <v>47</v>
      </c>
      <c r="G774" s="14" t="s">
        <v>47</v>
      </c>
      <c r="H774" s="14" t="s">
        <v>1761</v>
      </c>
      <c r="I774" s="14" t="s">
        <v>47</v>
      </c>
      <c r="J774" s="14" t="s">
        <v>47</v>
      </c>
      <c r="K774" s="14" t="s">
        <v>1128</v>
      </c>
      <c r="L774" s="14" t="s">
        <v>47</v>
      </c>
      <c r="M774" s="1">
        <v>46122</v>
      </c>
      <c r="N774" s="1">
        <v>46122</v>
      </c>
      <c r="O774" s="1">
        <v>46122</v>
      </c>
      <c r="P774" s="14" t="s">
        <v>465</v>
      </c>
      <c r="Q774" s="14" t="s">
        <v>371</v>
      </c>
      <c r="R774">
        <v>4</v>
      </c>
      <c r="S774" t="b">
        <v>1</v>
      </c>
      <c r="T774" s="14" t="s">
        <v>47</v>
      </c>
      <c r="U774" s="14" t="s">
        <v>47</v>
      </c>
      <c r="V774" s="14" t="s">
        <v>47</v>
      </c>
      <c r="W774" s="14" t="s">
        <v>47</v>
      </c>
      <c r="X774" s="14" t="s">
        <v>51</v>
      </c>
      <c r="Y774" t="b">
        <v>0</v>
      </c>
      <c r="Z774" s="14" t="s">
        <v>47</v>
      </c>
      <c r="AA774" s="14" t="s">
        <v>47</v>
      </c>
      <c r="AB774" s="14" t="s">
        <v>47</v>
      </c>
      <c r="AC774" t="b">
        <v>1</v>
      </c>
      <c r="AD774" s="14" t="s">
        <v>52</v>
      </c>
      <c r="AE774" s="14" t="s">
        <v>4224</v>
      </c>
      <c r="AF774" s="14" t="s">
        <v>4222</v>
      </c>
      <c r="AG774" s="14" t="s">
        <v>3611</v>
      </c>
      <c r="AH774" s="14" t="s">
        <v>87</v>
      </c>
      <c r="AI774" s="2">
        <v>46160.904872685183</v>
      </c>
      <c r="AJ774" s="14" t="s">
        <v>47</v>
      </c>
      <c r="AK774" s="14" t="s">
        <v>47</v>
      </c>
      <c r="AL774" s="2">
        <v>46160.904872685183</v>
      </c>
      <c r="AM774" s="2">
        <v>46160.904872685183</v>
      </c>
    </row>
    <row r="775" spans="1:39" x14ac:dyDescent="0.3">
      <c r="A775" s="14" t="s">
        <v>4225</v>
      </c>
      <c r="B775" s="14" t="s">
        <v>4226</v>
      </c>
      <c r="C775" s="14" t="s">
        <v>41</v>
      </c>
      <c r="D775" s="14" t="s">
        <v>4227</v>
      </c>
      <c r="E775" s="14" t="s">
        <v>4228</v>
      </c>
      <c r="F775" s="14" t="s">
        <v>47</v>
      </c>
      <c r="G775" s="14" t="s">
        <v>47</v>
      </c>
      <c r="H775" s="14" t="s">
        <v>1761</v>
      </c>
      <c r="I775" s="14" t="s">
        <v>47</v>
      </c>
      <c r="J775" s="14" t="s">
        <v>47</v>
      </c>
      <c r="K775" s="14" t="s">
        <v>1128</v>
      </c>
      <c r="L775" s="14" t="s">
        <v>47</v>
      </c>
      <c r="M775" s="1">
        <v>46122</v>
      </c>
      <c r="N775" s="1">
        <v>46122</v>
      </c>
      <c r="O775" s="1">
        <v>46122</v>
      </c>
      <c r="P775" s="14" t="s">
        <v>465</v>
      </c>
      <c r="Q775" s="14" t="s">
        <v>371</v>
      </c>
      <c r="R775">
        <v>4</v>
      </c>
      <c r="S775" t="b">
        <v>1</v>
      </c>
      <c r="T775" s="14" t="s">
        <v>47</v>
      </c>
      <c r="U775" s="14" t="s">
        <v>47</v>
      </c>
      <c r="V775" s="14" t="s">
        <v>47</v>
      </c>
      <c r="W775" s="14" t="s">
        <v>47</v>
      </c>
      <c r="X775" s="14" t="s">
        <v>51</v>
      </c>
      <c r="Y775" t="b">
        <v>0</v>
      </c>
      <c r="Z775" s="14" t="s">
        <v>47</v>
      </c>
      <c r="AA775" s="14" t="s">
        <v>47</v>
      </c>
      <c r="AB775" s="14" t="s">
        <v>47</v>
      </c>
      <c r="AC775" t="b">
        <v>1</v>
      </c>
      <c r="AD775" s="14" t="s">
        <v>52</v>
      </c>
      <c r="AE775" s="14" t="s">
        <v>4229</v>
      </c>
      <c r="AF775" s="14" t="s">
        <v>4227</v>
      </c>
      <c r="AG775" s="14" t="s">
        <v>3611</v>
      </c>
      <c r="AH775" s="14" t="s">
        <v>87</v>
      </c>
      <c r="AI775" s="2">
        <v>46160.904872685183</v>
      </c>
      <c r="AJ775" s="14" t="s">
        <v>47</v>
      </c>
      <c r="AK775" s="14" t="s">
        <v>47</v>
      </c>
      <c r="AL775" s="2">
        <v>46160.904872685183</v>
      </c>
      <c r="AM775" s="2">
        <v>46160.904872685183</v>
      </c>
    </row>
    <row r="776" spans="1:39" x14ac:dyDescent="0.3">
      <c r="A776" s="14" t="s">
        <v>4230</v>
      </c>
      <c r="B776" s="14" t="s">
        <v>4231</v>
      </c>
      <c r="C776" s="14" t="s">
        <v>41</v>
      </c>
      <c r="D776" s="14" t="s">
        <v>4232</v>
      </c>
      <c r="E776" s="14" t="s">
        <v>4233</v>
      </c>
      <c r="F776" s="14" t="s">
        <v>47</v>
      </c>
      <c r="G776" s="14" t="s">
        <v>47</v>
      </c>
      <c r="H776" s="14" t="s">
        <v>1761</v>
      </c>
      <c r="I776" s="14" t="s">
        <v>47</v>
      </c>
      <c r="J776" s="14" t="s">
        <v>47</v>
      </c>
      <c r="K776" s="14" t="s">
        <v>1128</v>
      </c>
      <c r="L776" s="14" t="s">
        <v>47</v>
      </c>
      <c r="M776" s="1">
        <v>46122</v>
      </c>
      <c r="N776" s="1">
        <v>46122</v>
      </c>
      <c r="O776" s="1">
        <v>46122</v>
      </c>
      <c r="P776" s="14" t="s">
        <v>465</v>
      </c>
      <c r="Q776" s="14" t="s">
        <v>371</v>
      </c>
      <c r="R776">
        <v>4</v>
      </c>
      <c r="S776" t="b">
        <v>1</v>
      </c>
      <c r="T776" s="14" t="s">
        <v>47</v>
      </c>
      <c r="U776" s="14" t="s">
        <v>47</v>
      </c>
      <c r="V776" s="14" t="s">
        <v>47</v>
      </c>
      <c r="W776" s="14" t="s">
        <v>47</v>
      </c>
      <c r="X776" s="14" t="s">
        <v>51</v>
      </c>
      <c r="Y776" t="b">
        <v>0</v>
      </c>
      <c r="Z776" s="14" t="s">
        <v>47</v>
      </c>
      <c r="AA776" s="14" t="s">
        <v>47</v>
      </c>
      <c r="AB776" s="14" t="s">
        <v>47</v>
      </c>
      <c r="AC776" t="b">
        <v>1</v>
      </c>
      <c r="AD776" s="14" t="s">
        <v>52</v>
      </c>
      <c r="AE776" s="14" t="s">
        <v>4234</v>
      </c>
      <c r="AF776" s="14" t="s">
        <v>4232</v>
      </c>
      <c r="AG776" s="14" t="s">
        <v>3611</v>
      </c>
      <c r="AH776" s="14" t="s">
        <v>87</v>
      </c>
      <c r="AI776" s="2">
        <v>46160.904872685183</v>
      </c>
      <c r="AJ776" s="14" t="s">
        <v>47</v>
      </c>
      <c r="AK776" s="14" t="s">
        <v>47</v>
      </c>
      <c r="AL776" s="2">
        <v>46160.904872685183</v>
      </c>
      <c r="AM776" s="2">
        <v>46160.904872685183</v>
      </c>
    </row>
    <row r="777" spans="1:39" x14ac:dyDescent="0.3">
      <c r="A777" s="14" t="s">
        <v>4235</v>
      </c>
      <c r="B777" s="14" t="s">
        <v>4236</v>
      </c>
      <c r="C777" s="14" t="s">
        <v>41</v>
      </c>
      <c r="D777" s="14" t="s">
        <v>4237</v>
      </c>
      <c r="E777" s="14" t="s">
        <v>4238</v>
      </c>
      <c r="F777" s="14" t="s">
        <v>47</v>
      </c>
      <c r="G777" s="14" t="s">
        <v>47</v>
      </c>
      <c r="H777" s="14" t="s">
        <v>1761</v>
      </c>
      <c r="I777" s="14" t="s">
        <v>47</v>
      </c>
      <c r="J777" s="14" t="s">
        <v>47</v>
      </c>
      <c r="K777" s="14" t="s">
        <v>1128</v>
      </c>
      <c r="L777" s="14" t="s">
        <v>47</v>
      </c>
      <c r="M777" s="1">
        <v>46122</v>
      </c>
      <c r="N777" s="1">
        <v>46122</v>
      </c>
      <c r="O777" s="1">
        <v>46122</v>
      </c>
      <c r="P777" s="14" t="s">
        <v>465</v>
      </c>
      <c r="Q777" s="14" t="s">
        <v>371</v>
      </c>
      <c r="R777">
        <v>4</v>
      </c>
      <c r="S777" t="b">
        <v>1</v>
      </c>
      <c r="T777" s="14" t="s">
        <v>47</v>
      </c>
      <c r="U777" s="14" t="s">
        <v>47</v>
      </c>
      <c r="V777" s="14" t="s">
        <v>47</v>
      </c>
      <c r="W777" s="14" t="s">
        <v>47</v>
      </c>
      <c r="X777" s="14" t="s">
        <v>51</v>
      </c>
      <c r="Y777" t="b">
        <v>0</v>
      </c>
      <c r="Z777" s="14" t="s">
        <v>47</v>
      </c>
      <c r="AA777" s="14" t="s">
        <v>47</v>
      </c>
      <c r="AB777" s="14" t="s">
        <v>47</v>
      </c>
      <c r="AC777" t="b">
        <v>1</v>
      </c>
      <c r="AD777" s="14" t="s">
        <v>52</v>
      </c>
      <c r="AE777" s="14" t="s">
        <v>4239</v>
      </c>
      <c r="AF777" s="14" t="s">
        <v>4237</v>
      </c>
      <c r="AG777" s="14" t="s">
        <v>3611</v>
      </c>
      <c r="AH777" s="14" t="s">
        <v>87</v>
      </c>
      <c r="AI777" s="2">
        <v>46160.904872685183</v>
      </c>
      <c r="AJ777" s="14" t="s">
        <v>47</v>
      </c>
      <c r="AK777" s="14" t="s">
        <v>47</v>
      </c>
      <c r="AL777" s="2">
        <v>46160.904872685183</v>
      </c>
      <c r="AM777" s="2">
        <v>46160.904872685183</v>
      </c>
    </row>
    <row r="778" spans="1:39" x14ac:dyDescent="0.3">
      <c r="A778" s="14" t="s">
        <v>4240</v>
      </c>
      <c r="B778" s="14" t="s">
        <v>4241</v>
      </c>
      <c r="C778" s="14" t="s">
        <v>41</v>
      </c>
      <c r="D778" s="14" t="s">
        <v>4242</v>
      </c>
      <c r="E778" s="14" t="s">
        <v>4243</v>
      </c>
      <c r="F778" s="14" t="s">
        <v>47</v>
      </c>
      <c r="G778" s="14" t="s">
        <v>47</v>
      </c>
      <c r="H778" s="14" t="s">
        <v>85</v>
      </c>
      <c r="I778" s="14" t="s">
        <v>47</v>
      </c>
      <c r="J778" s="14" t="s">
        <v>47</v>
      </c>
      <c r="K778" s="14" t="s">
        <v>48</v>
      </c>
      <c r="L778" s="14" t="s">
        <v>47</v>
      </c>
      <c r="M778" s="1">
        <v>46130</v>
      </c>
      <c r="N778" s="1">
        <v>46130</v>
      </c>
      <c r="O778" s="1">
        <v>46130</v>
      </c>
      <c r="P778" s="14" t="s">
        <v>49</v>
      </c>
      <c r="Q778" s="14" t="s">
        <v>50</v>
      </c>
      <c r="R778">
        <v>2</v>
      </c>
      <c r="S778" t="b">
        <v>0</v>
      </c>
      <c r="T778" s="14" t="s">
        <v>47</v>
      </c>
      <c r="U778" s="14" t="s">
        <v>47</v>
      </c>
      <c r="V778" s="14" t="s">
        <v>47</v>
      </c>
      <c r="W778" s="14" t="s">
        <v>47</v>
      </c>
      <c r="X778" s="14" t="s">
        <v>51</v>
      </c>
      <c r="Y778" t="b">
        <v>0</v>
      </c>
      <c r="Z778" s="14" t="s">
        <v>47</v>
      </c>
      <c r="AA778" s="14" t="s">
        <v>47</v>
      </c>
      <c r="AB778" s="14" t="s">
        <v>47</v>
      </c>
      <c r="AC778" t="b">
        <v>1</v>
      </c>
      <c r="AD778" s="14" t="s">
        <v>52</v>
      </c>
      <c r="AE778" s="14" t="s">
        <v>4244</v>
      </c>
      <c r="AF778" s="14" t="s">
        <v>4242</v>
      </c>
      <c r="AG778" s="14" t="s">
        <v>3611</v>
      </c>
      <c r="AH778" s="14" t="s">
        <v>87</v>
      </c>
      <c r="AI778" s="2">
        <v>46160.904872685183</v>
      </c>
      <c r="AJ778" s="14" t="s">
        <v>47</v>
      </c>
      <c r="AK778" s="14" t="s">
        <v>47</v>
      </c>
      <c r="AL778" s="2">
        <v>46160.904872685183</v>
      </c>
      <c r="AM778" s="2">
        <v>46160.904872685183</v>
      </c>
    </row>
    <row r="779" spans="1:39" x14ac:dyDescent="0.3">
      <c r="A779" s="14" t="s">
        <v>4245</v>
      </c>
      <c r="B779" s="14" t="s">
        <v>4246</v>
      </c>
      <c r="C779" s="14" t="s">
        <v>41</v>
      </c>
      <c r="D779" s="14" t="s">
        <v>4247</v>
      </c>
      <c r="E779" s="14" t="s">
        <v>4248</v>
      </c>
      <c r="F779" s="14" t="s">
        <v>47</v>
      </c>
      <c r="G779" s="14" t="s">
        <v>47</v>
      </c>
      <c r="H779" s="14" t="s">
        <v>85</v>
      </c>
      <c r="I779" s="14" t="s">
        <v>47</v>
      </c>
      <c r="J779" s="14" t="s">
        <v>47</v>
      </c>
      <c r="K779" s="14" t="s">
        <v>48</v>
      </c>
      <c r="L779" s="14" t="s">
        <v>47</v>
      </c>
      <c r="M779" s="1">
        <v>46133</v>
      </c>
      <c r="N779" s="1">
        <v>46133</v>
      </c>
      <c r="O779" s="1">
        <v>46133</v>
      </c>
      <c r="P779" s="14" t="s">
        <v>49</v>
      </c>
      <c r="Q779" s="14" t="s">
        <v>50</v>
      </c>
      <c r="R779">
        <v>2</v>
      </c>
      <c r="S779" t="b">
        <v>0</v>
      </c>
      <c r="T779" s="14" t="s">
        <v>47</v>
      </c>
      <c r="U779" s="14" t="s">
        <v>47</v>
      </c>
      <c r="V779" s="14" t="s">
        <v>47</v>
      </c>
      <c r="W779" s="14" t="s">
        <v>47</v>
      </c>
      <c r="X779" s="14" t="s">
        <v>51</v>
      </c>
      <c r="Y779" t="b">
        <v>0</v>
      </c>
      <c r="Z779" s="14" t="s">
        <v>47</v>
      </c>
      <c r="AA779" s="14" t="s">
        <v>47</v>
      </c>
      <c r="AB779" s="14" t="s">
        <v>47</v>
      </c>
      <c r="AC779" t="b">
        <v>1</v>
      </c>
      <c r="AD779" s="14" t="s">
        <v>52</v>
      </c>
      <c r="AE779" s="14" t="s">
        <v>4249</v>
      </c>
      <c r="AF779" s="14" t="s">
        <v>4247</v>
      </c>
      <c r="AG779" s="14" t="s">
        <v>3611</v>
      </c>
      <c r="AH779" s="14" t="s">
        <v>87</v>
      </c>
      <c r="AI779" s="2">
        <v>46160.904872685183</v>
      </c>
      <c r="AJ779" s="14" t="s">
        <v>47</v>
      </c>
      <c r="AK779" s="14" t="s">
        <v>47</v>
      </c>
      <c r="AL779" s="2">
        <v>46160.904872685183</v>
      </c>
      <c r="AM779" s="2">
        <v>46160.904872685183</v>
      </c>
    </row>
    <row r="780" spans="1:39" x14ac:dyDescent="0.3">
      <c r="A780" s="14" t="s">
        <v>4250</v>
      </c>
      <c r="B780" s="14" t="s">
        <v>4251</v>
      </c>
      <c r="C780" s="14" t="s">
        <v>41</v>
      </c>
      <c r="D780" s="14" t="s">
        <v>4252</v>
      </c>
      <c r="E780" s="14" t="s">
        <v>4253</v>
      </c>
      <c r="F780" s="14" t="s">
        <v>47</v>
      </c>
      <c r="G780" s="14" t="s">
        <v>47</v>
      </c>
      <c r="H780" s="14" t="s">
        <v>85</v>
      </c>
      <c r="I780" s="14" t="s">
        <v>47</v>
      </c>
      <c r="J780" s="14" t="s">
        <v>47</v>
      </c>
      <c r="K780" s="14" t="s">
        <v>48</v>
      </c>
      <c r="L780" s="14" t="s">
        <v>47</v>
      </c>
      <c r="M780" s="1">
        <v>46129</v>
      </c>
      <c r="N780" s="1">
        <v>46129</v>
      </c>
      <c r="O780" s="1">
        <v>46129</v>
      </c>
      <c r="P780" s="14" t="s">
        <v>49</v>
      </c>
      <c r="Q780" s="14" t="s">
        <v>50</v>
      </c>
      <c r="R780">
        <v>2</v>
      </c>
      <c r="S780" t="b">
        <v>0</v>
      </c>
      <c r="T780" s="14" t="s">
        <v>47</v>
      </c>
      <c r="U780" s="14" t="s">
        <v>47</v>
      </c>
      <c r="V780" s="14" t="s">
        <v>47</v>
      </c>
      <c r="W780" s="14" t="s">
        <v>47</v>
      </c>
      <c r="X780" s="14" t="s">
        <v>51</v>
      </c>
      <c r="Y780" t="b">
        <v>0</v>
      </c>
      <c r="Z780" s="14" t="s">
        <v>47</v>
      </c>
      <c r="AA780" s="14" t="s">
        <v>47</v>
      </c>
      <c r="AB780" s="14" t="s">
        <v>47</v>
      </c>
      <c r="AC780" t="b">
        <v>1</v>
      </c>
      <c r="AD780" s="14" t="s">
        <v>52</v>
      </c>
      <c r="AE780" s="14" t="s">
        <v>4254</v>
      </c>
      <c r="AF780" s="14" t="s">
        <v>4252</v>
      </c>
      <c r="AG780" s="14" t="s">
        <v>3611</v>
      </c>
      <c r="AH780" s="14" t="s">
        <v>87</v>
      </c>
      <c r="AI780" s="2">
        <v>46160.904872685183</v>
      </c>
      <c r="AJ780" s="14" t="s">
        <v>47</v>
      </c>
      <c r="AK780" s="14" t="s">
        <v>47</v>
      </c>
      <c r="AL780" s="2">
        <v>46160.904872685183</v>
      </c>
      <c r="AM780" s="2">
        <v>46160.904872685183</v>
      </c>
    </row>
    <row r="781" spans="1:39" x14ac:dyDescent="0.3">
      <c r="A781" s="14" t="s">
        <v>4255</v>
      </c>
      <c r="B781" s="14" t="s">
        <v>4256</v>
      </c>
      <c r="C781" s="14" t="s">
        <v>41</v>
      </c>
      <c r="D781" s="14" t="s">
        <v>4257</v>
      </c>
      <c r="E781" s="14" t="s">
        <v>4258</v>
      </c>
      <c r="F781" s="14" t="s">
        <v>47</v>
      </c>
      <c r="G781" s="14" t="s">
        <v>47</v>
      </c>
      <c r="H781" s="14" t="s">
        <v>85</v>
      </c>
      <c r="I781" s="14" t="s">
        <v>47</v>
      </c>
      <c r="J781" s="14" t="s">
        <v>47</v>
      </c>
      <c r="K781" s="14" t="s">
        <v>48</v>
      </c>
      <c r="L781" s="14" t="s">
        <v>47</v>
      </c>
      <c r="M781" s="1">
        <v>46129</v>
      </c>
      <c r="N781" s="1">
        <v>46129</v>
      </c>
      <c r="O781" s="1">
        <v>46129</v>
      </c>
      <c r="P781" s="14" t="s">
        <v>49</v>
      </c>
      <c r="Q781" s="14" t="s">
        <v>50</v>
      </c>
      <c r="R781">
        <v>2</v>
      </c>
      <c r="S781" t="b">
        <v>0</v>
      </c>
      <c r="T781" s="14" t="s">
        <v>47</v>
      </c>
      <c r="U781" s="14" t="s">
        <v>47</v>
      </c>
      <c r="V781" s="14" t="s">
        <v>47</v>
      </c>
      <c r="W781" s="14" t="s">
        <v>47</v>
      </c>
      <c r="X781" s="14" t="s">
        <v>51</v>
      </c>
      <c r="Y781" t="b">
        <v>0</v>
      </c>
      <c r="Z781" s="14" t="s">
        <v>47</v>
      </c>
      <c r="AA781" s="14" t="s">
        <v>47</v>
      </c>
      <c r="AB781" s="14" t="s">
        <v>47</v>
      </c>
      <c r="AC781" t="b">
        <v>1</v>
      </c>
      <c r="AD781" s="14" t="s">
        <v>52</v>
      </c>
      <c r="AE781" s="14" t="s">
        <v>4259</v>
      </c>
      <c r="AF781" s="14" t="s">
        <v>4257</v>
      </c>
      <c r="AG781" s="14" t="s">
        <v>3611</v>
      </c>
      <c r="AH781" s="14" t="s">
        <v>87</v>
      </c>
      <c r="AI781" s="2">
        <v>46160.904872685183</v>
      </c>
      <c r="AJ781" s="14" t="s">
        <v>47</v>
      </c>
      <c r="AK781" s="14" t="s">
        <v>47</v>
      </c>
      <c r="AL781" s="2">
        <v>46160.904872685183</v>
      </c>
      <c r="AM781" s="2">
        <v>46160.904872685183</v>
      </c>
    </row>
    <row r="782" spans="1:39" x14ac:dyDescent="0.3">
      <c r="A782" s="14" t="s">
        <v>4260</v>
      </c>
      <c r="B782" s="14" t="s">
        <v>4261</v>
      </c>
      <c r="C782" s="14" t="s">
        <v>41</v>
      </c>
      <c r="D782" s="14" t="s">
        <v>4262</v>
      </c>
      <c r="E782" s="14" t="s">
        <v>4263</v>
      </c>
      <c r="F782" s="14" t="s">
        <v>47</v>
      </c>
      <c r="G782" s="14" t="s">
        <v>47</v>
      </c>
      <c r="H782" s="14" t="s">
        <v>85</v>
      </c>
      <c r="I782" s="14" t="s">
        <v>47</v>
      </c>
      <c r="J782" s="14" t="s">
        <v>47</v>
      </c>
      <c r="K782" s="14" t="s">
        <v>48</v>
      </c>
      <c r="L782" s="14" t="s">
        <v>47</v>
      </c>
      <c r="M782" s="1">
        <v>46134</v>
      </c>
      <c r="N782" s="1">
        <v>46134</v>
      </c>
      <c r="O782" s="1">
        <v>46134</v>
      </c>
      <c r="P782" s="14" t="s">
        <v>49</v>
      </c>
      <c r="Q782" s="14" t="s">
        <v>50</v>
      </c>
      <c r="R782">
        <v>2</v>
      </c>
      <c r="S782" t="b">
        <v>0</v>
      </c>
      <c r="T782" s="14" t="s">
        <v>47</v>
      </c>
      <c r="U782" s="14" t="s">
        <v>47</v>
      </c>
      <c r="V782" s="14" t="s">
        <v>47</v>
      </c>
      <c r="W782" s="14" t="s">
        <v>47</v>
      </c>
      <c r="X782" s="14" t="s">
        <v>51</v>
      </c>
      <c r="Y782" t="b">
        <v>0</v>
      </c>
      <c r="Z782" s="14" t="s">
        <v>47</v>
      </c>
      <c r="AA782" s="14" t="s">
        <v>47</v>
      </c>
      <c r="AB782" s="14" t="s">
        <v>47</v>
      </c>
      <c r="AC782" t="b">
        <v>1</v>
      </c>
      <c r="AD782" s="14" t="s">
        <v>52</v>
      </c>
      <c r="AE782" s="14" t="s">
        <v>4264</v>
      </c>
      <c r="AF782" s="14" t="s">
        <v>4262</v>
      </c>
      <c r="AG782" s="14" t="s">
        <v>3611</v>
      </c>
      <c r="AH782" s="14" t="s">
        <v>87</v>
      </c>
      <c r="AI782" s="2">
        <v>46160.904872685183</v>
      </c>
      <c r="AJ782" s="14" t="s">
        <v>47</v>
      </c>
      <c r="AK782" s="14" t="s">
        <v>47</v>
      </c>
      <c r="AL782" s="2">
        <v>46160.904872685183</v>
      </c>
      <c r="AM782" s="2">
        <v>46160.904872685183</v>
      </c>
    </row>
    <row r="783" spans="1:39" x14ac:dyDescent="0.3">
      <c r="A783" s="14" t="s">
        <v>4265</v>
      </c>
      <c r="B783" s="14" t="s">
        <v>4266</v>
      </c>
      <c r="C783" s="14" t="s">
        <v>41</v>
      </c>
      <c r="D783" s="14" t="s">
        <v>4267</v>
      </c>
      <c r="E783" s="14" t="s">
        <v>4268</v>
      </c>
      <c r="F783" s="14" t="s">
        <v>47</v>
      </c>
      <c r="G783" s="14" t="s">
        <v>47</v>
      </c>
      <c r="H783" s="14" t="s">
        <v>85</v>
      </c>
      <c r="I783" s="14" t="s">
        <v>47</v>
      </c>
      <c r="J783" s="14" t="s">
        <v>47</v>
      </c>
      <c r="K783" s="14" t="s">
        <v>48</v>
      </c>
      <c r="L783" s="14" t="s">
        <v>47</v>
      </c>
      <c r="M783" s="1">
        <v>46134</v>
      </c>
      <c r="N783" s="1">
        <v>46134</v>
      </c>
      <c r="O783" s="1">
        <v>46134</v>
      </c>
      <c r="P783" s="14" t="s">
        <v>49</v>
      </c>
      <c r="Q783" s="14" t="s">
        <v>50</v>
      </c>
      <c r="R783">
        <v>2</v>
      </c>
      <c r="S783" t="b">
        <v>0</v>
      </c>
      <c r="T783" s="14" t="s">
        <v>47</v>
      </c>
      <c r="U783" s="14" t="s">
        <v>47</v>
      </c>
      <c r="V783" s="14" t="s">
        <v>47</v>
      </c>
      <c r="W783" s="14" t="s">
        <v>47</v>
      </c>
      <c r="X783" s="14" t="s">
        <v>51</v>
      </c>
      <c r="Y783" t="b">
        <v>0</v>
      </c>
      <c r="Z783" s="14" t="s">
        <v>47</v>
      </c>
      <c r="AA783" s="14" t="s">
        <v>47</v>
      </c>
      <c r="AB783" s="14" t="s">
        <v>47</v>
      </c>
      <c r="AC783" t="b">
        <v>1</v>
      </c>
      <c r="AD783" s="14" t="s">
        <v>52</v>
      </c>
      <c r="AE783" s="14" t="s">
        <v>4269</v>
      </c>
      <c r="AF783" s="14" t="s">
        <v>4267</v>
      </c>
      <c r="AG783" s="14" t="s">
        <v>3611</v>
      </c>
      <c r="AH783" s="14" t="s">
        <v>87</v>
      </c>
      <c r="AI783" s="2">
        <v>46160.904872685183</v>
      </c>
      <c r="AJ783" s="14" t="s">
        <v>47</v>
      </c>
      <c r="AK783" s="14" t="s">
        <v>47</v>
      </c>
      <c r="AL783" s="2">
        <v>46160.904872685183</v>
      </c>
      <c r="AM783" s="2">
        <v>46160.904872685183</v>
      </c>
    </row>
    <row r="784" spans="1:39" x14ac:dyDescent="0.3">
      <c r="A784" s="14" t="s">
        <v>4270</v>
      </c>
      <c r="B784" s="14" t="s">
        <v>4271</v>
      </c>
      <c r="C784" s="14" t="s">
        <v>41</v>
      </c>
      <c r="D784" s="14" t="s">
        <v>4272</v>
      </c>
      <c r="E784" s="14" t="s">
        <v>4273</v>
      </c>
      <c r="F784" s="14" t="s">
        <v>47</v>
      </c>
      <c r="G784" s="14" t="s">
        <v>47</v>
      </c>
      <c r="H784" s="14" t="s">
        <v>85</v>
      </c>
      <c r="I784" s="14" t="s">
        <v>47</v>
      </c>
      <c r="J784" s="14" t="s">
        <v>47</v>
      </c>
      <c r="K784" s="14" t="s">
        <v>48</v>
      </c>
      <c r="L784" s="14" t="s">
        <v>47</v>
      </c>
      <c r="M784" s="1">
        <v>46134</v>
      </c>
      <c r="N784" s="1">
        <v>46134</v>
      </c>
      <c r="O784" s="1">
        <v>46134</v>
      </c>
      <c r="P784" s="14" t="s">
        <v>49</v>
      </c>
      <c r="Q784" s="14" t="s">
        <v>50</v>
      </c>
      <c r="R784">
        <v>2</v>
      </c>
      <c r="S784" t="b">
        <v>0</v>
      </c>
      <c r="T784" s="14" t="s">
        <v>47</v>
      </c>
      <c r="U784" s="14" t="s">
        <v>47</v>
      </c>
      <c r="V784" s="14" t="s">
        <v>47</v>
      </c>
      <c r="W784" s="14" t="s">
        <v>47</v>
      </c>
      <c r="X784" s="14" t="s">
        <v>51</v>
      </c>
      <c r="Y784" t="b">
        <v>0</v>
      </c>
      <c r="Z784" s="14" t="s">
        <v>47</v>
      </c>
      <c r="AA784" s="14" t="s">
        <v>47</v>
      </c>
      <c r="AB784" s="14" t="s">
        <v>47</v>
      </c>
      <c r="AC784" t="b">
        <v>1</v>
      </c>
      <c r="AD784" s="14" t="s">
        <v>52</v>
      </c>
      <c r="AE784" s="14" t="s">
        <v>4274</v>
      </c>
      <c r="AF784" s="14" t="s">
        <v>4272</v>
      </c>
      <c r="AG784" s="14" t="s">
        <v>3611</v>
      </c>
      <c r="AH784" s="14" t="s">
        <v>87</v>
      </c>
      <c r="AI784" s="2">
        <v>46160.904872685183</v>
      </c>
      <c r="AJ784" s="14" t="s">
        <v>47</v>
      </c>
      <c r="AK784" s="14" t="s">
        <v>47</v>
      </c>
      <c r="AL784" s="2">
        <v>46160.904872685183</v>
      </c>
      <c r="AM784" s="2">
        <v>46160.904872685183</v>
      </c>
    </row>
    <row r="785" spans="1:39" x14ac:dyDescent="0.3">
      <c r="A785" s="14" t="s">
        <v>4275</v>
      </c>
      <c r="B785" s="14" t="s">
        <v>4276</v>
      </c>
      <c r="C785" s="14" t="s">
        <v>41</v>
      </c>
      <c r="D785" s="14" t="s">
        <v>4277</v>
      </c>
      <c r="E785" s="14" t="s">
        <v>4278</v>
      </c>
      <c r="F785" s="14" t="s">
        <v>47</v>
      </c>
      <c r="G785" s="14" t="s">
        <v>47</v>
      </c>
      <c r="H785" s="14" t="s">
        <v>3101</v>
      </c>
      <c r="I785" s="14" t="s">
        <v>47</v>
      </c>
      <c r="J785" s="14" t="s">
        <v>47</v>
      </c>
      <c r="K785" s="14" t="s">
        <v>47</v>
      </c>
      <c r="L785" s="14" t="s">
        <v>47</v>
      </c>
      <c r="M785" s="1">
        <v>46128</v>
      </c>
      <c r="N785" s="1">
        <v>46128</v>
      </c>
      <c r="O785" s="1">
        <v>46128</v>
      </c>
      <c r="P785" s="14" t="s">
        <v>183</v>
      </c>
      <c r="Q785" s="14" t="s">
        <v>184</v>
      </c>
      <c r="R785">
        <v>2</v>
      </c>
      <c r="S785" t="b">
        <v>0</v>
      </c>
      <c r="T785" s="14" t="s">
        <v>47</v>
      </c>
      <c r="U785" s="14" t="s">
        <v>47</v>
      </c>
      <c r="V785" s="14" t="s">
        <v>47</v>
      </c>
      <c r="W785" s="14" t="s">
        <v>47</v>
      </c>
      <c r="X785" s="14" t="s">
        <v>51</v>
      </c>
      <c r="Y785" t="b">
        <v>0</v>
      </c>
      <c r="Z785" s="14" t="s">
        <v>47</v>
      </c>
      <c r="AA785" s="14" t="s">
        <v>47</v>
      </c>
      <c r="AB785" s="14" t="s">
        <v>47</v>
      </c>
      <c r="AC785" t="b">
        <v>1</v>
      </c>
      <c r="AD785" s="14" t="s">
        <v>52</v>
      </c>
      <c r="AE785" s="14" t="s">
        <v>4279</v>
      </c>
      <c r="AF785" s="14" t="s">
        <v>4277</v>
      </c>
      <c r="AG785" s="14" t="s">
        <v>3611</v>
      </c>
      <c r="AH785" s="14" t="s">
        <v>87</v>
      </c>
      <c r="AI785" s="2">
        <v>46160.904872685183</v>
      </c>
      <c r="AJ785" s="14" t="s">
        <v>47</v>
      </c>
      <c r="AK785" s="14" t="s">
        <v>47</v>
      </c>
      <c r="AL785" s="2">
        <v>46160.904872685183</v>
      </c>
      <c r="AM785" s="2">
        <v>46160.904872685183</v>
      </c>
    </row>
    <row r="786" spans="1:39" x14ac:dyDescent="0.3">
      <c r="A786" s="14" t="s">
        <v>4280</v>
      </c>
      <c r="B786" s="14" t="s">
        <v>4281</v>
      </c>
      <c r="C786" s="14" t="s">
        <v>41</v>
      </c>
      <c r="D786" s="14" t="s">
        <v>4282</v>
      </c>
      <c r="E786" s="14" t="s">
        <v>4283</v>
      </c>
      <c r="F786" s="14" t="s">
        <v>47</v>
      </c>
      <c r="G786" s="14" t="s">
        <v>47</v>
      </c>
      <c r="H786" s="14" t="s">
        <v>85</v>
      </c>
      <c r="I786" s="14" t="s">
        <v>47</v>
      </c>
      <c r="J786" s="14" t="s">
        <v>47</v>
      </c>
      <c r="K786" s="14" t="s">
        <v>48</v>
      </c>
      <c r="L786" s="14" t="s">
        <v>47</v>
      </c>
      <c r="M786" s="1">
        <v>46114</v>
      </c>
      <c r="N786" s="1">
        <v>46114</v>
      </c>
      <c r="O786" s="1">
        <v>46114</v>
      </c>
      <c r="P786" s="14" t="s">
        <v>49</v>
      </c>
      <c r="Q786" s="14" t="s">
        <v>50</v>
      </c>
      <c r="R786">
        <v>2</v>
      </c>
      <c r="S786" t="b">
        <v>0</v>
      </c>
      <c r="T786" s="14" t="s">
        <v>47</v>
      </c>
      <c r="U786" s="14" t="s">
        <v>47</v>
      </c>
      <c r="V786" s="14" t="s">
        <v>47</v>
      </c>
      <c r="W786" s="14" t="s">
        <v>47</v>
      </c>
      <c r="X786" s="14" t="s">
        <v>51</v>
      </c>
      <c r="Y786" t="b">
        <v>0</v>
      </c>
      <c r="Z786" s="14" t="s">
        <v>47</v>
      </c>
      <c r="AA786" s="14" t="s">
        <v>47</v>
      </c>
      <c r="AB786" s="14" t="s">
        <v>47</v>
      </c>
      <c r="AC786" t="b">
        <v>1</v>
      </c>
      <c r="AD786" s="14" t="s">
        <v>52</v>
      </c>
      <c r="AE786" s="14" t="s">
        <v>4284</v>
      </c>
      <c r="AF786" s="14" t="s">
        <v>4282</v>
      </c>
      <c r="AG786" s="14" t="s">
        <v>3611</v>
      </c>
      <c r="AH786" s="14" t="s">
        <v>87</v>
      </c>
      <c r="AI786" s="2">
        <v>46160.904872685183</v>
      </c>
      <c r="AJ786" s="14" t="s">
        <v>47</v>
      </c>
      <c r="AK786" s="14" t="s">
        <v>47</v>
      </c>
      <c r="AL786" s="2">
        <v>46160.904872685183</v>
      </c>
      <c r="AM786" s="2">
        <v>46160.904872685183</v>
      </c>
    </row>
    <row r="787" spans="1:39" x14ac:dyDescent="0.3">
      <c r="A787" s="14" t="s">
        <v>4285</v>
      </c>
      <c r="B787" s="14" t="s">
        <v>4286</v>
      </c>
      <c r="C787" s="14" t="s">
        <v>41</v>
      </c>
      <c r="D787" s="14" t="s">
        <v>4287</v>
      </c>
      <c r="E787" s="14" t="s">
        <v>4288</v>
      </c>
      <c r="F787" s="14" t="s">
        <v>47</v>
      </c>
      <c r="G787" s="14" t="s">
        <v>47</v>
      </c>
      <c r="H787" s="14" t="s">
        <v>85</v>
      </c>
      <c r="I787" s="14" t="s">
        <v>47</v>
      </c>
      <c r="J787" s="14" t="s">
        <v>47</v>
      </c>
      <c r="K787" s="14" t="s">
        <v>48</v>
      </c>
      <c r="L787" s="14" t="s">
        <v>47</v>
      </c>
      <c r="M787" s="1">
        <v>46114</v>
      </c>
      <c r="N787" s="1">
        <v>46114</v>
      </c>
      <c r="O787" s="1">
        <v>46114</v>
      </c>
      <c r="P787" s="14" t="s">
        <v>49</v>
      </c>
      <c r="Q787" s="14" t="s">
        <v>50</v>
      </c>
      <c r="R787">
        <v>2</v>
      </c>
      <c r="S787" t="b">
        <v>0</v>
      </c>
      <c r="T787" s="14" t="s">
        <v>47</v>
      </c>
      <c r="U787" s="14" t="s">
        <v>47</v>
      </c>
      <c r="V787" s="14" t="s">
        <v>47</v>
      </c>
      <c r="W787" s="14" t="s">
        <v>47</v>
      </c>
      <c r="X787" s="14" t="s">
        <v>51</v>
      </c>
      <c r="Y787" t="b">
        <v>0</v>
      </c>
      <c r="Z787" s="14" t="s">
        <v>47</v>
      </c>
      <c r="AA787" s="14" t="s">
        <v>47</v>
      </c>
      <c r="AB787" s="14" t="s">
        <v>47</v>
      </c>
      <c r="AC787" t="b">
        <v>1</v>
      </c>
      <c r="AD787" s="14" t="s">
        <v>52</v>
      </c>
      <c r="AE787" s="14" t="s">
        <v>4289</v>
      </c>
      <c r="AF787" s="14" t="s">
        <v>4287</v>
      </c>
      <c r="AG787" s="14" t="s">
        <v>3611</v>
      </c>
      <c r="AH787" s="14" t="s">
        <v>87</v>
      </c>
      <c r="AI787" s="2">
        <v>46160.904872685183</v>
      </c>
      <c r="AJ787" s="14" t="s">
        <v>47</v>
      </c>
      <c r="AK787" s="14" t="s">
        <v>47</v>
      </c>
      <c r="AL787" s="2">
        <v>46160.904872685183</v>
      </c>
      <c r="AM787" s="2">
        <v>46160.904872685183</v>
      </c>
    </row>
    <row r="788" spans="1:39" x14ac:dyDescent="0.3">
      <c r="A788" s="14" t="s">
        <v>4290</v>
      </c>
      <c r="B788" s="14" t="s">
        <v>4291</v>
      </c>
      <c r="C788" s="14" t="s">
        <v>41</v>
      </c>
      <c r="D788" s="14" t="s">
        <v>4292</v>
      </c>
      <c r="E788" s="14" t="s">
        <v>4293</v>
      </c>
      <c r="F788" s="14" t="s">
        <v>47</v>
      </c>
      <c r="G788" s="14" t="s">
        <v>47</v>
      </c>
      <c r="H788" s="14" t="s">
        <v>2059</v>
      </c>
      <c r="I788" s="14" t="s">
        <v>47</v>
      </c>
      <c r="J788" s="14" t="s">
        <v>47</v>
      </c>
      <c r="K788" s="14" t="s">
        <v>47</v>
      </c>
      <c r="L788" s="14" t="s">
        <v>47</v>
      </c>
      <c r="M788" s="1">
        <v>46139</v>
      </c>
      <c r="N788" s="1">
        <v>46139</v>
      </c>
      <c r="O788" s="1">
        <v>46139</v>
      </c>
      <c r="P788" s="14" t="s">
        <v>1678</v>
      </c>
      <c r="Q788" s="14" t="s">
        <v>50</v>
      </c>
      <c r="R788">
        <v>1</v>
      </c>
      <c r="S788" t="b">
        <v>0</v>
      </c>
      <c r="T788" s="14" t="s">
        <v>47</v>
      </c>
      <c r="U788" s="14" t="s">
        <v>47</v>
      </c>
      <c r="V788" s="14" t="s">
        <v>47</v>
      </c>
      <c r="W788" s="14" t="s">
        <v>47</v>
      </c>
      <c r="X788" s="14" t="s">
        <v>51</v>
      </c>
      <c r="Y788" t="b">
        <v>0</v>
      </c>
      <c r="Z788" s="14" t="s">
        <v>47</v>
      </c>
      <c r="AA788" s="14" t="s">
        <v>47</v>
      </c>
      <c r="AB788" s="14" t="s">
        <v>47</v>
      </c>
      <c r="AC788" t="b">
        <v>1</v>
      </c>
      <c r="AD788" s="14" t="s">
        <v>52</v>
      </c>
      <c r="AE788" s="14" t="s">
        <v>4294</v>
      </c>
      <c r="AF788" s="14" t="s">
        <v>4292</v>
      </c>
      <c r="AG788" s="14" t="s">
        <v>3611</v>
      </c>
      <c r="AH788" s="14" t="s">
        <v>87</v>
      </c>
      <c r="AI788" s="2">
        <v>46160.904872685183</v>
      </c>
      <c r="AJ788" s="14" t="s">
        <v>47</v>
      </c>
      <c r="AK788" s="14" t="s">
        <v>47</v>
      </c>
      <c r="AL788" s="2">
        <v>46160.904872685183</v>
      </c>
      <c r="AM788" s="2">
        <v>46160.904872685183</v>
      </c>
    </row>
    <row r="789" spans="1:39" x14ac:dyDescent="0.3">
      <c r="A789" s="14" t="s">
        <v>4295</v>
      </c>
      <c r="B789" s="14" t="s">
        <v>4296</v>
      </c>
      <c r="C789" s="14" t="s">
        <v>41</v>
      </c>
      <c r="D789" s="14" t="s">
        <v>4297</v>
      </c>
      <c r="E789" s="14" t="s">
        <v>4298</v>
      </c>
      <c r="F789" s="14" t="s">
        <v>47</v>
      </c>
      <c r="G789" s="14" t="s">
        <v>47</v>
      </c>
      <c r="H789" s="14" t="s">
        <v>85</v>
      </c>
      <c r="I789" s="14" t="s">
        <v>47</v>
      </c>
      <c r="J789" s="14" t="s">
        <v>47</v>
      </c>
      <c r="K789" s="14" t="s">
        <v>48</v>
      </c>
      <c r="L789" s="14" t="s">
        <v>47</v>
      </c>
      <c r="M789" s="1">
        <v>46132</v>
      </c>
      <c r="N789" s="1">
        <v>46132</v>
      </c>
      <c r="O789" s="1">
        <v>46132</v>
      </c>
      <c r="P789" s="14" t="s">
        <v>49</v>
      </c>
      <c r="Q789" s="14" t="s">
        <v>50</v>
      </c>
      <c r="R789">
        <v>2</v>
      </c>
      <c r="S789" t="b">
        <v>0</v>
      </c>
      <c r="T789" s="14" t="s">
        <v>47</v>
      </c>
      <c r="U789" s="14" t="s">
        <v>47</v>
      </c>
      <c r="V789" s="14" t="s">
        <v>47</v>
      </c>
      <c r="W789" s="14" t="s">
        <v>47</v>
      </c>
      <c r="X789" s="14" t="s">
        <v>51</v>
      </c>
      <c r="Y789" t="b">
        <v>0</v>
      </c>
      <c r="Z789" s="14" t="s">
        <v>47</v>
      </c>
      <c r="AA789" s="14" t="s">
        <v>47</v>
      </c>
      <c r="AB789" s="14" t="s">
        <v>47</v>
      </c>
      <c r="AC789" t="b">
        <v>1</v>
      </c>
      <c r="AD789" s="14" t="s">
        <v>52</v>
      </c>
      <c r="AE789" s="14" t="s">
        <v>4299</v>
      </c>
      <c r="AF789" s="14" t="s">
        <v>4297</v>
      </c>
      <c r="AG789" s="14" t="s">
        <v>3611</v>
      </c>
      <c r="AH789" s="14" t="s">
        <v>87</v>
      </c>
      <c r="AI789" s="2">
        <v>46160.904872685183</v>
      </c>
      <c r="AJ789" s="14" t="s">
        <v>47</v>
      </c>
      <c r="AK789" s="14" t="s">
        <v>47</v>
      </c>
      <c r="AL789" s="2">
        <v>46160.904872685183</v>
      </c>
      <c r="AM789" s="2">
        <v>46160.904872685183</v>
      </c>
    </row>
    <row r="790" spans="1:39" x14ac:dyDescent="0.3">
      <c r="A790" s="14" t="s">
        <v>4300</v>
      </c>
      <c r="B790" s="14" t="s">
        <v>4301</v>
      </c>
      <c r="C790" s="14" t="s">
        <v>41</v>
      </c>
      <c r="D790" s="14" t="s">
        <v>4302</v>
      </c>
      <c r="E790" s="14" t="s">
        <v>4303</v>
      </c>
      <c r="F790" s="14" t="s">
        <v>47</v>
      </c>
      <c r="G790" s="14" t="s">
        <v>47</v>
      </c>
      <c r="H790" s="14" t="s">
        <v>85</v>
      </c>
      <c r="I790" s="14" t="s">
        <v>47</v>
      </c>
      <c r="J790" s="14" t="s">
        <v>47</v>
      </c>
      <c r="K790" s="14" t="s">
        <v>48</v>
      </c>
      <c r="L790" s="14" t="s">
        <v>47</v>
      </c>
      <c r="M790" s="1">
        <v>46130</v>
      </c>
      <c r="N790" s="1">
        <v>46130</v>
      </c>
      <c r="O790" s="1">
        <v>46130</v>
      </c>
      <c r="P790" s="14" t="s">
        <v>49</v>
      </c>
      <c r="Q790" s="14" t="s">
        <v>50</v>
      </c>
      <c r="R790">
        <v>2</v>
      </c>
      <c r="S790" t="b">
        <v>0</v>
      </c>
      <c r="T790" s="14" t="s">
        <v>47</v>
      </c>
      <c r="U790" s="14" t="s">
        <v>47</v>
      </c>
      <c r="V790" s="14" t="s">
        <v>47</v>
      </c>
      <c r="W790" s="14" t="s">
        <v>47</v>
      </c>
      <c r="X790" s="14" t="s">
        <v>51</v>
      </c>
      <c r="Y790" t="b">
        <v>0</v>
      </c>
      <c r="Z790" s="14" t="s">
        <v>47</v>
      </c>
      <c r="AA790" s="14" t="s">
        <v>47</v>
      </c>
      <c r="AB790" s="14" t="s">
        <v>47</v>
      </c>
      <c r="AC790" t="b">
        <v>1</v>
      </c>
      <c r="AD790" s="14" t="s">
        <v>52</v>
      </c>
      <c r="AE790" s="14" t="s">
        <v>4304</v>
      </c>
      <c r="AF790" s="14" t="s">
        <v>4302</v>
      </c>
      <c r="AG790" s="14" t="s">
        <v>3611</v>
      </c>
      <c r="AH790" s="14" t="s">
        <v>87</v>
      </c>
      <c r="AI790" s="2">
        <v>46160.904872685183</v>
      </c>
      <c r="AJ790" s="14" t="s">
        <v>47</v>
      </c>
      <c r="AK790" s="14" t="s">
        <v>47</v>
      </c>
      <c r="AL790" s="2">
        <v>46160.904872685183</v>
      </c>
      <c r="AM790" s="2">
        <v>46160.904872685183</v>
      </c>
    </row>
    <row r="791" spans="1:39" x14ac:dyDescent="0.3">
      <c r="A791" s="14" t="s">
        <v>4305</v>
      </c>
      <c r="B791" s="14" t="s">
        <v>4306</v>
      </c>
      <c r="C791" s="14" t="s">
        <v>41</v>
      </c>
      <c r="D791" s="14" t="s">
        <v>4307</v>
      </c>
      <c r="E791" s="14" t="s">
        <v>4308</v>
      </c>
      <c r="F791" s="14" t="s">
        <v>47</v>
      </c>
      <c r="G791" s="14" t="s">
        <v>47</v>
      </c>
      <c r="H791" s="14" t="s">
        <v>174</v>
      </c>
      <c r="I791" s="14" t="s">
        <v>47</v>
      </c>
      <c r="J791" s="14" t="s">
        <v>47</v>
      </c>
      <c r="K791" s="14" t="s">
        <v>130</v>
      </c>
      <c r="L791" s="14" t="s">
        <v>47</v>
      </c>
      <c r="M791" s="1">
        <v>46141</v>
      </c>
      <c r="N791" s="1">
        <v>46141</v>
      </c>
      <c r="O791" s="1">
        <v>46141</v>
      </c>
      <c r="P791" s="14" t="s">
        <v>49</v>
      </c>
      <c r="Q791" s="14" t="s">
        <v>50</v>
      </c>
      <c r="R791">
        <v>3</v>
      </c>
      <c r="S791" t="b">
        <v>1</v>
      </c>
      <c r="T791" s="14" t="s">
        <v>47</v>
      </c>
      <c r="U791" s="14" t="s">
        <v>47</v>
      </c>
      <c r="V791" s="14" t="s">
        <v>47</v>
      </c>
      <c r="W791" s="14" t="s">
        <v>47</v>
      </c>
      <c r="X791" s="14" t="s">
        <v>51</v>
      </c>
      <c r="Y791" t="b">
        <v>0</v>
      </c>
      <c r="Z791" s="14" t="s">
        <v>47</v>
      </c>
      <c r="AA791" s="14" t="s">
        <v>47</v>
      </c>
      <c r="AB791" s="14" t="s">
        <v>47</v>
      </c>
      <c r="AC791" t="b">
        <v>1</v>
      </c>
      <c r="AD791" s="14" t="s">
        <v>52</v>
      </c>
      <c r="AE791" s="14" t="s">
        <v>4309</v>
      </c>
      <c r="AF791" s="14" t="s">
        <v>4307</v>
      </c>
      <c r="AG791" s="14" t="s">
        <v>3611</v>
      </c>
      <c r="AH791" s="14" t="s">
        <v>87</v>
      </c>
      <c r="AI791" s="2">
        <v>46160.904872685183</v>
      </c>
      <c r="AJ791" s="14" t="s">
        <v>47</v>
      </c>
      <c r="AK791" s="14" t="s">
        <v>47</v>
      </c>
      <c r="AL791" s="2">
        <v>46160.904872685183</v>
      </c>
      <c r="AM791" s="2">
        <v>46160.904872685183</v>
      </c>
    </row>
    <row r="792" spans="1:39" x14ac:dyDescent="0.3">
      <c r="A792" s="14" t="s">
        <v>4310</v>
      </c>
      <c r="B792" s="14" t="s">
        <v>4311</v>
      </c>
      <c r="C792" s="14" t="s">
        <v>41</v>
      </c>
      <c r="D792" s="14" t="s">
        <v>4312</v>
      </c>
      <c r="E792" s="14" t="s">
        <v>4313</v>
      </c>
      <c r="F792" s="14" t="s">
        <v>47</v>
      </c>
      <c r="G792" s="14" t="s">
        <v>47</v>
      </c>
      <c r="H792" s="14" t="s">
        <v>85</v>
      </c>
      <c r="I792" s="14" t="s">
        <v>47</v>
      </c>
      <c r="J792" s="14" t="s">
        <v>47</v>
      </c>
      <c r="K792" s="14" t="s">
        <v>48</v>
      </c>
      <c r="L792" s="14" t="s">
        <v>47</v>
      </c>
      <c r="M792" s="1">
        <v>46129</v>
      </c>
      <c r="N792" s="1">
        <v>46129</v>
      </c>
      <c r="O792" s="1">
        <v>46129</v>
      </c>
      <c r="P792" s="14" t="s">
        <v>49</v>
      </c>
      <c r="Q792" s="14" t="s">
        <v>50</v>
      </c>
      <c r="R792">
        <v>2</v>
      </c>
      <c r="S792" t="b">
        <v>0</v>
      </c>
      <c r="T792" s="14" t="s">
        <v>47</v>
      </c>
      <c r="U792" s="14" t="s">
        <v>47</v>
      </c>
      <c r="V792" s="14" t="s">
        <v>47</v>
      </c>
      <c r="W792" s="14" t="s">
        <v>47</v>
      </c>
      <c r="X792" s="14" t="s">
        <v>51</v>
      </c>
      <c r="Y792" t="b">
        <v>0</v>
      </c>
      <c r="Z792" s="14" t="s">
        <v>47</v>
      </c>
      <c r="AA792" s="14" t="s">
        <v>47</v>
      </c>
      <c r="AB792" s="14" t="s">
        <v>47</v>
      </c>
      <c r="AC792" t="b">
        <v>1</v>
      </c>
      <c r="AD792" s="14" t="s">
        <v>52</v>
      </c>
      <c r="AE792" s="14" t="s">
        <v>4314</v>
      </c>
      <c r="AF792" s="14" t="s">
        <v>4312</v>
      </c>
      <c r="AG792" s="14" t="s">
        <v>3611</v>
      </c>
      <c r="AH792" s="14" t="s">
        <v>87</v>
      </c>
      <c r="AI792" s="2">
        <v>46160.904872685183</v>
      </c>
      <c r="AJ792" s="14" t="s">
        <v>47</v>
      </c>
      <c r="AK792" s="14" t="s">
        <v>47</v>
      </c>
      <c r="AL792" s="2">
        <v>46160.904872685183</v>
      </c>
      <c r="AM792" s="2">
        <v>46160.904872685183</v>
      </c>
    </row>
    <row r="793" spans="1:39" x14ac:dyDescent="0.3">
      <c r="A793" s="14" t="s">
        <v>4315</v>
      </c>
      <c r="B793" s="14" t="s">
        <v>4316</v>
      </c>
      <c r="C793" s="14" t="s">
        <v>41</v>
      </c>
      <c r="D793" s="14" t="s">
        <v>4317</v>
      </c>
      <c r="E793" s="14" t="s">
        <v>4318</v>
      </c>
      <c r="F793" s="14" t="s">
        <v>47</v>
      </c>
      <c r="G793" s="14" t="s">
        <v>47</v>
      </c>
      <c r="H793" s="14" t="s">
        <v>3101</v>
      </c>
      <c r="I793" s="14" t="s">
        <v>47</v>
      </c>
      <c r="J793" s="14" t="s">
        <v>47</v>
      </c>
      <c r="K793" s="14" t="s">
        <v>47</v>
      </c>
      <c r="L793" s="14" t="s">
        <v>47</v>
      </c>
      <c r="M793" s="1">
        <v>46139</v>
      </c>
      <c r="N793" s="1">
        <v>46139</v>
      </c>
      <c r="O793" s="1">
        <v>46139</v>
      </c>
      <c r="P793" s="14" t="s">
        <v>183</v>
      </c>
      <c r="Q793" s="14" t="s">
        <v>184</v>
      </c>
      <c r="R793">
        <v>2</v>
      </c>
      <c r="S793" t="b">
        <v>0</v>
      </c>
      <c r="T793" s="14" t="s">
        <v>47</v>
      </c>
      <c r="U793" s="14" t="s">
        <v>47</v>
      </c>
      <c r="V793" s="14" t="s">
        <v>47</v>
      </c>
      <c r="W793" s="14" t="s">
        <v>47</v>
      </c>
      <c r="X793" s="14" t="s">
        <v>51</v>
      </c>
      <c r="Y793" t="b">
        <v>0</v>
      </c>
      <c r="Z793" s="14" t="s">
        <v>47</v>
      </c>
      <c r="AA793" s="14" t="s">
        <v>47</v>
      </c>
      <c r="AB793" s="14" t="s">
        <v>47</v>
      </c>
      <c r="AC793" t="b">
        <v>1</v>
      </c>
      <c r="AD793" s="14" t="s">
        <v>52</v>
      </c>
      <c r="AE793" s="14" t="s">
        <v>4319</v>
      </c>
      <c r="AF793" s="14" t="s">
        <v>4317</v>
      </c>
      <c r="AG793" s="14" t="s">
        <v>3611</v>
      </c>
      <c r="AH793" s="14" t="s">
        <v>87</v>
      </c>
      <c r="AI793" s="2">
        <v>46160.904872685183</v>
      </c>
      <c r="AJ793" s="14" t="s">
        <v>47</v>
      </c>
      <c r="AK793" s="14" t="s">
        <v>47</v>
      </c>
      <c r="AL793" s="2">
        <v>46160.904872685183</v>
      </c>
      <c r="AM793" s="2">
        <v>46160.904872685183</v>
      </c>
    </row>
    <row r="794" spans="1:39" x14ac:dyDescent="0.3">
      <c r="A794" s="14" t="s">
        <v>4320</v>
      </c>
      <c r="B794" s="14" t="s">
        <v>4321</v>
      </c>
      <c r="C794" s="14" t="s">
        <v>41</v>
      </c>
      <c r="D794" s="14" t="s">
        <v>4322</v>
      </c>
      <c r="E794" s="14" t="s">
        <v>4323</v>
      </c>
      <c r="F794" s="14" t="s">
        <v>47</v>
      </c>
      <c r="G794" s="14" t="s">
        <v>47</v>
      </c>
      <c r="H794" s="14" t="s">
        <v>85</v>
      </c>
      <c r="I794" s="14" t="s">
        <v>47</v>
      </c>
      <c r="J794" s="14" t="s">
        <v>47</v>
      </c>
      <c r="K794" s="14" t="s">
        <v>48</v>
      </c>
      <c r="L794" s="14" t="s">
        <v>47</v>
      </c>
      <c r="M794" s="1">
        <v>46130</v>
      </c>
      <c r="N794" s="1">
        <v>46130</v>
      </c>
      <c r="O794" s="1">
        <v>46130</v>
      </c>
      <c r="P794" s="14" t="s">
        <v>49</v>
      </c>
      <c r="Q794" s="14" t="s">
        <v>50</v>
      </c>
      <c r="R794">
        <v>2</v>
      </c>
      <c r="S794" t="b">
        <v>0</v>
      </c>
      <c r="T794" s="14" t="s">
        <v>47</v>
      </c>
      <c r="U794" s="14" t="s">
        <v>47</v>
      </c>
      <c r="V794" s="14" t="s">
        <v>47</v>
      </c>
      <c r="W794" s="14" t="s">
        <v>47</v>
      </c>
      <c r="X794" s="14" t="s">
        <v>51</v>
      </c>
      <c r="Y794" t="b">
        <v>0</v>
      </c>
      <c r="Z794" s="14" t="s">
        <v>47</v>
      </c>
      <c r="AA794" s="14" t="s">
        <v>47</v>
      </c>
      <c r="AB794" s="14" t="s">
        <v>47</v>
      </c>
      <c r="AC794" t="b">
        <v>1</v>
      </c>
      <c r="AD794" s="14" t="s">
        <v>52</v>
      </c>
      <c r="AE794" s="14" t="s">
        <v>4324</v>
      </c>
      <c r="AF794" s="14" t="s">
        <v>4322</v>
      </c>
      <c r="AG794" s="14" t="s">
        <v>3611</v>
      </c>
      <c r="AH794" s="14" t="s">
        <v>87</v>
      </c>
      <c r="AI794" s="2">
        <v>46160.904872685183</v>
      </c>
      <c r="AJ794" s="14" t="s">
        <v>47</v>
      </c>
      <c r="AK794" s="14" t="s">
        <v>47</v>
      </c>
      <c r="AL794" s="2">
        <v>46160.904872685183</v>
      </c>
      <c r="AM794" s="2">
        <v>46160.904872685183</v>
      </c>
    </row>
    <row r="795" spans="1:39" x14ac:dyDescent="0.3">
      <c r="A795" s="14" t="s">
        <v>4325</v>
      </c>
      <c r="B795" s="14" t="s">
        <v>4326</v>
      </c>
      <c r="C795" s="14" t="s">
        <v>41</v>
      </c>
      <c r="D795" s="14" t="s">
        <v>4327</v>
      </c>
      <c r="E795" s="14" t="s">
        <v>4328</v>
      </c>
      <c r="F795" s="14" t="s">
        <v>47</v>
      </c>
      <c r="G795" s="14" t="s">
        <v>47</v>
      </c>
      <c r="H795" s="14" t="s">
        <v>85</v>
      </c>
      <c r="I795" s="14" t="s">
        <v>47</v>
      </c>
      <c r="J795" s="14" t="s">
        <v>47</v>
      </c>
      <c r="K795" s="14" t="s">
        <v>48</v>
      </c>
      <c r="L795" s="14" t="s">
        <v>47</v>
      </c>
      <c r="M795" s="1">
        <v>46134</v>
      </c>
      <c r="N795" s="1">
        <v>46134</v>
      </c>
      <c r="O795" s="1">
        <v>46134</v>
      </c>
      <c r="P795" s="14" t="s">
        <v>49</v>
      </c>
      <c r="Q795" s="14" t="s">
        <v>50</v>
      </c>
      <c r="R795">
        <v>2</v>
      </c>
      <c r="S795" t="b">
        <v>0</v>
      </c>
      <c r="T795" s="14" t="s">
        <v>47</v>
      </c>
      <c r="U795" s="14" t="s">
        <v>47</v>
      </c>
      <c r="V795" s="14" t="s">
        <v>47</v>
      </c>
      <c r="W795" s="14" t="s">
        <v>47</v>
      </c>
      <c r="X795" s="14" t="s">
        <v>51</v>
      </c>
      <c r="Y795" t="b">
        <v>0</v>
      </c>
      <c r="Z795" s="14" t="s">
        <v>47</v>
      </c>
      <c r="AA795" s="14" t="s">
        <v>47</v>
      </c>
      <c r="AB795" s="14" t="s">
        <v>47</v>
      </c>
      <c r="AC795" t="b">
        <v>1</v>
      </c>
      <c r="AD795" s="14" t="s">
        <v>52</v>
      </c>
      <c r="AE795" s="14" t="s">
        <v>4329</v>
      </c>
      <c r="AF795" s="14" t="s">
        <v>4327</v>
      </c>
      <c r="AG795" s="14" t="s">
        <v>3611</v>
      </c>
      <c r="AH795" s="14" t="s">
        <v>87</v>
      </c>
      <c r="AI795" s="2">
        <v>46160.904872685183</v>
      </c>
      <c r="AJ795" s="14" t="s">
        <v>47</v>
      </c>
      <c r="AK795" s="14" t="s">
        <v>47</v>
      </c>
      <c r="AL795" s="2">
        <v>46160.904872685183</v>
      </c>
      <c r="AM795" s="2">
        <v>46160.904872685183</v>
      </c>
    </row>
    <row r="796" spans="1:39" x14ac:dyDescent="0.3">
      <c r="A796" s="14" t="s">
        <v>4330</v>
      </c>
      <c r="B796" s="14" t="s">
        <v>4331</v>
      </c>
      <c r="C796" s="14" t="s">
        <v>41</v>
      </c>
      <c r="D796" s="14" t="s">
        <v>4332</v>
      </c>
      <c r="E796" s="14" t="s">
        <v>4333</v>
      </c>
      <c r="F796" s="14" t="s">
        <v>47</v>
      </c>
      <c r="G796" s="14" t="s">
        <v>47</v>
      </c>
      <c r="H796" s="14" t="s">
        <v>85</v>
      </c>
      <c r="I796" s="14" t="s">
        <v>47</v>
      </c>
      <c r="J796" s="14" t="s">
        <v>47</v>
      </c>
      <c r="K796" s="14" t="s">
        <v>48</v>
      </c>
      <c r="L796" s="14" t="s">
        <v>47</v>
      </c>
      <c r="M796" s="1">
        <v>46133</v>
      </c>
      <c r="N796" s="1">
        <v>46133</v>
      </c>
      <c r="O796" s="1">
        <v>46133</v>
      </c>
      <c r="P796" s="14" t="s">
        <v>49</v>
      </c>
      <c r="Q796" s="14" t="s">
        <v>50</v>
      </c>
      <c r="R796">
        <v>2</v>
      </c>
      <c r="S796" t="b">
        <v>0</v>
      </c>
      <c r="T796" s="14" t="s">
        <v>47</v>
      </c>
      <c r="U796" s="14" t="s">
        <v>47</v>
      </c>
      <c r="V796" s="14" t="s">
        <v>47</v>
      </c>
      <c r="W796" s="14" t="s">
        <v>47</v>
      </c>
      <c r="X796" s="14" t="s">
        <v>51</v>
      </c>
      <c r="Y796" t="b">
        <v>0</v>
      </c>
      <c r="Z796" s="14" t="s">
        <v>47</v>
      </c>
      <c r="AA796" s="14" t="s">
        <v>47</v>
      </c>
      <c r="AB796" s="14" t="s">
        <v>47</v>
      </c>
      <c r="AC796" t="b">
        <v>1</v>
      </c>
      <c r="AD796" s="14" t="s">
        <v>52</v>
      </c>
      <c r="AE796" s="14" t="s">
        <v>4334</v>
      </c>
      <c r="AF796" s="14" t="s">
        <v>4332</v>
      </c>
      <c r="AG796" s="14" t="s">
        <v>3611</v>
      </c>
      <c r="AH796" s="14" t="s">
        <v>87</v>
      </c>
      <c r="AI796" s="2">
        <v>46160.904872685183</v>
      </c>
      <c r="AJ796" s="14" t="s">
        <v>47</v>
      </c>
      <c r="AK796" s="14" t="s">
        <v>47</v>
      </c>
      <c r="AL796" s="2">
        <v>46160.904872685183</v>
      </c>
      <c r="AM796" s="2">
        <v>46160.904872685183</v>
      </c>
    </row>
    <row r="797" spans="1:39" x14ac:dyDescent="0.3">
      <c r="A797" s="14" t="s">
        <v>4335</v>
      </c>
      <c r="B797" s="14" t="s">
        <v>4336</v>
      </c>
      <c r="C797" s="14" t="s">
        <v>41</v>
      </c>
      <c r="D797" s="14" t="s">
        <v>4337</v>
      </c>
      <c r="E797" s="14" t="s">
        <v>4338</v>
      </c>
      <c r="F797" s="14" t="s">
        <v>47</v>
      </c>
      <c r="G797" s="14" t="s">
        <v>47</v>
      </c>
      <c r="H797" s="14" t="s">
        <v>85</v>
      </c>
      <c r="I797" s="14" t="s">
        <v>47</v>
      </c>
      <c r="J797" s="14" t="s">
        <v>47</v>
      </c>
      <c r="K797" s="14" t="s">
        <v>48</v>
      </c>
      <c r="L797" s="14" t="s">
        <v>47</v>
      </c>
      <c r="M797" s="1">
        <v>46133</v>
      </c>
      <c r="N797" s="1">
        <v>46133</v>
      </c>
      <c r="O797" s="1">
        <v>46133</v>
      </c>
      <c r="P797" s="14" t="s">
        <v>49</v>
      </c>
      <c r="Q797" s="14" t="s">
        <v>50</v>
      </c>
      <c r="R797">
        <v>2</v>
      </c>
      <c r="S797" t="b">
        <v>0</v>
      </c>
      <c r="T797" s="14" t="s">
        <v>47</v>
      </c>
      <c r="U797" s="14" t="s">
        <v>47</v>
      </c>
      <c r="V797" s="14" t="s">
        <v>47</v>
      </c>
      <c r="W797" s="14" t="s">
        <v>47</v>
      </c>
      <c r="X797" s="14" t="s">
        <v>51</v>
      </c>
      <c r="Y797" t="b">
        <v>0</v>
      </c>
      <c r="Z797" s="14" t="s">
        <v>47</v>
      </c>
      <c r="AA797" s="14" t="s">
        <v>47</v>
      </c>
      <c r="AB797" s="14" t="s">
        <v>47</v>
      </c>
      <c r="AC797" t="b">
        <v>1</v>
      </c>
      <c r="AD797" s="14" t="s">
        <v>52</v>
      </c>
      <c r="AE797" s="14" t="s">
        <v>4339</v>
      </c>
      <c r="AF797" s="14" t="s">
        <v>4337</v>
      </c>
      <c r="AG797" s="14" t="s">
        <v>3611</v>
      </c>
      <c r="AH797" s="14" t="s">
        <v>87</v>
      </c>
      <c r="AI797" s="2">
        <v>46160.904872685183</v>
      </c>
      <c r="AJ797" s="14" t="s">
        <v>47</v>
      </c>
      <c r="AK797" s="14" t="s">
        <v>47</v>
      </c>
      <c r="AL797" s="2">
        <v>46160.904872685183</v>
      </c>
      <c r="AM797" s="2">
        <v>46160.904872685183</v>
      </c>
    </row>
    <row r="798" spans="1:39" x14ac:dyDescent="0.3">
      <c r="A798" s="14" t="s">
        <v>4340</v>
      </c>
      <c r="B798" s="14" t="s">
        <v>4341</v>
      </c>
      <c r="C798" s="14" t="s">
        <v>41</v>
      </c>
      <c r="D798" s="14" t="s">
        <v>4342</v>
      </c>
      <c r="E798" s="14" t="s">
        <v>4343</v>
      </c>
      <c r="F798" s="14" t="s">
        <v>47</v>
      </c>
      <c r="G798" s="14" t="s">
        <v>47</v>
      </c>
      <c r="H798" s="14" t="s">
        <v>3101</v>
      </c>
      <c r="I798" s="14" t="s">
        <v>47</v>
      </c>
      <c r="J798" s="14" t="s">
        <v>47</v>
      </c>
      <c r="K798" s="14" t="s">
        <v>47</v>
      </c>
      <c r="L798" s="14" t="s">
        <v>47</v>
      </c>
      <c r="M798" s="1">
        <v>46139</v>
      </c>
      <c r="N798" s="1">
        <v>46139</v>
      </c>
      <c r="O798" s="1">
        <v>46139</v>
      </c>
      <c r="P798" s="14" t="s">
        <v>183</v>
      </c>
      <c r="Q798" s="14" t="s">
        <v>184</v>
      </c>
      <c r="R798">
        <v>2</v>
      </c>
      <c r="S798" t="b">
        <v>0</v>
      </c>
      <c r="T798" s="14" t="s">
        <v>47</v>
      </c>
      <c r="U798" s="14" t="s">
        <v>47</v>
      </c>
      <c r="V798" s="14" t="s">
        <v>47</v>
      </c>
      <c r="W798" s="14" t="s">
        <v>47</v>
      </c>
      <c r="X798" s="14" t="s">
        <v>51</v>
      </c>
      <c r="Y798" t="b">
        <v>0</v>
      </c>
      <c r="Z798" s="14" t="s">
        <v>47</v>
      </c>
      <c r="AA798" s="14" t="s">
        <v>47</v>
      </c>
      <c r="AB798" s="14" t="s">
        <v>47</v>
      </c>
      <c r="AC798" t="b">
        <v>1</v>
      </c>
      <c r="AD798" s="14" t="s">
        <v>52</v>
      </c>
      <c r="AE798" s="14" t="s">
        <v>4344</v>
      </c>
      <c r="AF798" s="14" t="s">
        <v>4342</v>
      </c>
      <c r="AG798" s="14" t="s">
        <v>3611</v>
      </c>
      <c r="AH798" s="14" t="s">
        <v>87</v>
      </c>
      <c r="AI798" s="2">
        <v>46160.904872685183</v>
      </c>
      <c r="AJ798" s="14" t="s">
        <v>47</v>
      </c>
      <c r="AK798" s="14" t="s">
        <v>47</v>
      </c>
      <c r="AL798" s="2">
        <v>46160.904872685183</v>
      </c>
      <c r="AM798" s="2">
        <v>46160.904872685183</v>
      </c>
    </row>
    <row r="799" spans="1:39" x14ac:dyDescent="0.3">
      <c r="A799" s="14" t="s">
        <v>4345</v>
      </c>
      <c r="B799" s="14" t="s">
        <v>4346</v>
      </c>
      <c r="C799" s="14" t="s">
        <v>41</v>
      </c>
      <c r="D799" s="14" t="s">
        <v>4347</v>
      </c>
      <c r="E799" s="14" t="s">
        <v>4348</v>
      </c>
      <c r="F799" s="14" t="s">
        <v>47</v>
      </c>
      <c r="G799" s="14" t="s">
        <v>47</v>
      </c>
      <c r="H799" s="14" t="s">
        <v>1034</v>
      </c>
      <c r="I799" s="14" t="s">
        <v>47</v>
      </c>
      <c r="J799" s="14" t="s">
        <v>47</v>
      </c>
      <c r="K799" s="14" t="s">
        <v>47</v>
      </c>
      <c r="L799" s="14" t="s">
        <v>47</v>
      </c>
      <c r="M799" s="1">
        <v>46114</v>
      </c>
      <c r="N799" s="1">
        <v>46114</v>
      </c>
      <c r="O799" s="1">
        <v>46114</v>
      </c>
      <c r="P799" s="14" t="s">
        <v>49</v>
      </c>
      <c r="Q799" s="14" t="s">
        <v>50</v>
      </c>
      <c r="R799">
        <v>2</v>
      </c>
      <c r="S799" t="b">
        <v>0</v>
      </c>
      <c r="T799" s="14" t="s">
        <v>47</v>
      </c>
      <c r="U799" s="14" t="s">
        <v>47</v>
      </c>
      <c r="V799" s="14" t="s">
        <v>47</v>
      </c>
      <c r="W799" s="14" t="s">
        <v>47</v>
      </c>
      <c r="X799" s="14" t="s">
        <v>51</v>
      </c>
      <c r="Y799" t="b">
        <v>0</v>
      </c>
      <c r="Z799" s="14" t="s">
        <v>47</v>
      </c>
      <c r="AA799" s="14" t="s">
        <v>47</v>
      </c>
      <c r="AB799" s="14" t="s">
        <v>47</v>
      </c>
      <c r="AC799" t="b">
        <v>1</v>
      </c>
      <c r="AD799" s="14" t="s">
        <v>52</v>
      </c>
      <c r="AE799" s="14" t="s">
        <v>4349</v>
      </c>
      <c r="AF799" s="14" t="s">
        <v>4347</v>
      </c>
      <c r="AG799" s="14" t="s">
        <v>3611</v>
      </c>
      <c r="AH799" s="14" t="s">
        <v>87</v>
      </c>
      <c r="AI799" s="2">
        <v>46160.904872685183</v>
      </c>
      <c r="AJ799" s="14" t="s">
        <v>47</v>
      </c>
      <c r="AK799" s="14" t="s">
        <v>47</v>
      </c>
      <c r="AL799" s="2">
        <v>46160.904872685183</v>
      </c>
      <c r="AM799" s="2">
        <v>46160.904872685183</v>
      </c>
    </row>
    <row r="800" spans="1:39" x14ac:dyDescent="0.3">
      <c r="A800" s="14" t="s">
        <v>4350</v>
      </c>
      <c r="B800" s="14" t="s">
        <v>4351</v>
      </c>
      <c r="C800" s="14" t="s">
        <v>41</v>
      </c>
      <c r="D800" s="14" t="s">
        <v>4352</v>
      </c>
      <c r="E800" s="14" t="s">
        <v>4353</v>
      </c>
      <c r="F800" s="14" t="s">
        <v>47</v>
      </c>
      <c r="G800" s="14" t="s">
        <v>47</v>
      </c>
      <c r="H800" s="14" t="s">
        <v>720</v>
      </c>
      <c r="I800" s="14" t="s">
        <v>47</v>
      </c>
      <c r="J800" s="14" t="s">
        <v>47</v>
      </c>
      <c r="K800" s="14" t="s">
        <v>721</v>
      </c>
      <c r="L800" s="14" t="s">
        <v>47</v>
      </c>
      <c r="M800" s="1">
        <v>46114</v>
      </c>
      <c r="N800" s="1">
        <v>46114</v>
      </c>
      <c r="O800" s="1">
        <v>46114</v>
      </c>
      <c r="P800" s="14" t="s">
        <v>722</v>
      </c>
      <c r="Q800" s="14" t="s">
        <v>50</v>
      </c>
      <c r="R800">
        <v>3</v>
      </c>
      <c r="S800" t="b">
        <v>1</v>
      </c>
      <c r="T800" s="14" t="s">
        <v>47</v>
      </c>
      <c r="U800" s="14" t="s">
        <v>47</v>
      </c>
      <c r="V800" s="14" t="s">
        <v>47</v>
      </c>
      <c r="W800" s="14" t="s">
        <v>47</v>
      </c>
      <c r="X800" s="14" t="s">
        <v>51</v>
      </c>
      <c r="Y800" t="b">
        <v>0</v>
      </c>
      <c r="Z800" s="14" t="s">
        <v>47</v>
      </c>
      <c r="AA800" s="14" t="s">
        <v>47</v>
      </c>
      <c r="AB800" s="14" t="s">
        <v>47</v>
      </c>
      <c r="AC800" t="b">
        <v>1</v>
      </c>
      <c r="AD800" s="14" t="s">
        <v>52</v>
      </c>
      <c r="AE800" s="14" t="s">
        <v>4354</v>
      </c>
      <c r="AF800" s="14" t="s">
        <v>4352</v>
      </c>
      <c r="AG800" s="14" t="s">
        <v>3611</v>
      </c>
      <c r="AH800" s="14" t="s">
        <v>87</v>
      </c>
      <c r="AI800" s="2">
        <v>46160.904872685183</v>
      </c>
      <c r="AJ800" s="14" t="s">
        <v>47</v>
      </c>
      <c r="AK800" s="14" t="s">
        <v>47</v>
      </c>
      <c r="AL800" s="2">
        <v>46160.904872685183</v>
      </c>
      <c r="AM800" s="2">
        <v>46160.904872685183</v>
      </c>
    </row>
    <row r="801" spans="1:39" x14ac:dyDescent="0.3">
      <c r="A801" s="14" t="s">
        <v>4355</v>
      </c>
      <c r="B801" s="14" t="s">
        <v>4356</v>
      </c>
      <c r="C801" s="14" t="s">
        <v>41</v>
      </c>
      <c r="D801" s="14" t="s">
        <v>4357</v>
      </c>
      <c r="E801" s="14" t="s">
        <v>4358</v>
      </c>
      <c r="F801" s="14" t="s">
        <v>47</v>
      </c>
      <c r="G801" s="14" t="s">
        <v>47</v>
      </c>
      <c r="H801" s="14" t="s">
        <v>85</v>
      </c>
      <c r="I801" s="14" t="s">
        <v>47</v>
      </c>
      <c r="J801" s="14" t="s">
        <v>47</v>
      </c>
      <c r="K801" s="14" t="s">
        <v>48</v>
      </c>
      <c r="L801" s="14" t="s">
        <v>47</v>
      </c>
      <c r="M801" s="1">
        <v>46128</v>
      </c>
      <c r="N801" s="1">
        <v>46128</v>
      </c>
      <c r="O801" s="1">
        <v>46128</v>
      </c>
      <c r="P801" s="14" t="s">
        <v>49</v>
      </c>
      <c r="Q801" s="14" t="s">
        <v>50</v>
      </c>
      <c r="R801">
        <v>2</v>
      </c>
      <c r="S801" t="b">
        <v>0</v>
      </c>
      <c r="T801" s="14" t="s">
        <v>47</v>
      </c>
      <c r="U801" s="14" t="s">
        <v>47</v>
      </c>
      <c r="V801" s="14" t="s">
        <v>47</v>
      </c>
      <c r="W801" s="14" t="s">
        <v>47</v>
      </c>
      <c r="X801" s="14" t="s">
        <v>51</v>
      </c>
      <c r="Y801" t="b">
        <v>0</v>
      </c>
      <c r="Z801" s="14" t="s">
        <v>47</v>
      </c>
      <c r="AA801" s="14" t="s">
        <v>47</v>
      </c>
      <c r="AB801" s="14" t="s">
        <v>47</v>
      </c>
      <c r="AC801" t="b">
        <v>1</v>
      </c>
      <c r="AD801" s="14" t="s">
        <v>52</v>
      </c>
      <c r="AE801" s="14" t="s">
        <v>4359</v>
      </c>
      <c r="AF801" s="14" t="s">
        <v>4357</v>
      </c>
      <c r="AG801" s="14" t="s">
        <v>3611</v>
      </c>
      <c r="AH801" s="14" t="s">
        <v>87</v>
      </c>
      <c r="AI801" s="2">
        <v>46160.904872685183</v>
      </c>
      <c r="AJ801" s="14" t="s">
        <v>47</v>
      </c>
      <c r="AK801" s="14" t="s">
        <v>47</v>
      </c>
      <c r="AL801" s="2">
        <v>46160.904872685183</v>
      </c>
      <c r="AM801" s="2">
        <v>46160.904872685183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531940-4BC3-434A-96D2-99B48F78FA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regulations_raw_data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Ifham  Mohamed</dc:creator>
  <cp:lastModifiedBy>Ifham  Mohamed</cp:lastModifiedBy>
  <dcterms:created xsi:type="dcterms:W3CDTF">2026-05-18T10:31:59Z</dcterms:created>
  <dcterms:modified xsi:type="dcterms:W3CDTF">2026-05-18T16:30:15Z</dcterms:modified>
</cp:coreProperties>
</file>